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D:\CHARISSE\INVENTORY REPORTS\2026\"/>
    </mc:Choice>
  </mc:AlternateContent>
  <xr:revisionPtr revIDLastSave="0" documentId="13_ncr:1_{F31E2632-561B-4667-89BA-CB3F63B14660}" xr6:coauthVersionLast="47" xr6:coauthVersionMax="47" xr10:uidLastSave="{00000000-0000-0000-0000-000000000000}"/>
  <bookViews>
    <workbookView xWindow="-120" yWindow="-120" windowWidth="29040" windowHeight="15840" tabRatio="552" activeTab="2" xr2:uid="{00000000-000D-0000-FFFF-FFFF00000000}"/>
  </bookViews>
  <sheets>
    <sheet name="COCA COLA" sheetId="19" r:id="rId1"/>
    <sheet name="BEGINNING" sheetId="33" r:id="rId2"/>
    <sheet name="END" sheetId="36" r:id="rId3"/>
    <sheet name="VB" sheetId="20" r:id="rId4"/>
  </sheets>
  <definedNames>
    <definedName name="_xlnm._FilterDatabase" localSheetId="0" hidden="1">'COCA COLA'!$B$5:$X$61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2" i="20" l="1"/>
  <c r="E52" i="20" s="1"/>
  <c r="E45" i="20"/>
  <c r="E46" i="20"/>
  <c r="E47" i="20"/>
  <c r="E48" i="20"/>
  <c r="E49" i="20"/>
  <c r="E50" i="20"/>
  <c r="E51" i="20"/>
  <c r="E53" i="20"/>
  <c r="E54" i="20"/>
  <c r="E55" i="20"/>
  <c r="E43" i="20"/>
  <c r="D44" i="20"/>
  <c r="U50" i="20"/>
  <c r="T50" i="20"/>
  <c r="D56" i="20" l="1"/>
  <c r="E44" i="20"/>
  <c r="E56" i="20" s="1"/>
  <c r="Q46" i="19"/>
  <c r="S46" i="19" s="1"/>
  <c r="L39" i="36"/>
  <c r="N51" i="36"/>
  <c r="N10" i="36"/>
  <c r="Q10" i="19"/>
  <c r="S10" i="19" s="1"/>
  <c r="B43" i="36"/>
  <c r="S7" i="19"/>
  <c r="S8" i="19"/>
  <c r="S9"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S42" i="19"/>
  <c r="S43" i="19"/>
  <c r="S44" i="19"/>
  <c r="S45" i="19"/>
  <c r="S47" i="19"/>
  <c r="S48" i="19"/>
  <c r="S49" i="19"/>
  <c r="S50" i="19"/>
  <c r="S51" i="19"/>
  <c r="S52" i="19"/>
  <c r="S53" i="19"/>
  <c r="S54" i="19"/>
  <c r="S55" i="19"/>
  <c r="S6" i="19"/>
  <c r="E13" i="36"/>
  <c r="E45" i="36"/>
  <c r="N46" i="36"/>
  <c r="E44" i="36"/>
  <c r="N47" i="36"/>
  <c r="E10" i="36"/>
  <c r="E7" i="36"/>
  <c r="E43" i="36"/>
  <c r="N22" i="36"/>
  <c r="E22" i="36"/>
  <c r="N6" i="19" l="1"/>
  <c r="J41" i="19"/>
  <c r="N7" i="19" l="1"/>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l="1"/>
  <c r="P54" i="36"/>
  <c r="M54" i="36"/>
  <c r="J54" i="36"/>
  <c r="G54" i="36"/>
  <c r="D54" i="36"/>
  <c r="P53" i="36"/>
  <c r="M53" i="36"/>
  <c r="J53" i="36"/>
  <c r="G53" i="36"/>
  <c r="D53" i="36"/>
  <c r="P52" i="36"/>
  <c r="M52" i="36"/>
  <c r="J52" i="36"/>
  <c r="G52" i="36"/>
  <c r="D52" i="36"/>
  <c r="P51" i="36"/>
  <c r="M51" i="36"/>
  <c r="J51" i="36"/>
  <c r="G51" i="36"/>
  <c r="D51" i="36"/>
  <c r="P50" i="36"/>
  <c r="M50" i="36"/>
  <c r="J50" i="36"/>
  <c r="G50" i="36"/>
  <c r="D50" i="36"/>
  <c r="P49" i="36"/>
  <c r="M49" i="36"/>
  <c r="J49" i="36"/>
  <c r="G49" i="36"/>
  <c r="D49" i="36"/>
  <c r="P48" i="36"/>
  <c r="M48" i="36"/>
  <c r="J48" i="36"/>
  <c r="G48" i="36"/>
  <c r="D48" i="36"/>
  <c r="P47" i="36"/>
  <c r="M47" i="36"/>
  <c r="J47" i="36"/>
  <c r="G47" i="36"/>
  <c r="D47" i="36"/>
  <c r="P46" i="36"/>
  <c r="M46" i="36"/>
  <c r="J46" i="36"/>
  <c r="G46" i="36"/>
  <c r="D46" i="36"/>
  <c r="P45" i="36"/>
  <c r="M45" i="36"/>
  <c r="J45" i="36"/>
  <c r="G45" i="36"/>
  <c r="D45" i="36"/>
  <c r="P44" i="36"/>
  <c r="M44" i="36"/>
  <c r="J44" i="36"/>
  <c r="G44" i="36"/>
  <c r="D44" i="36"/>
  <c r="P43" i="36"/>
  <c r="M43" i="36"/>
  <c r="J43" i="36"/>
  <c r="G43" i="36"/>
  <c r="D43" i="36"/>
  <c r="P42" i="36"/>
  <c r="M42" i="36"/>
  <c r="J42" i="36"/>
  <c r="G42" i="36"/>
  <c r="D42" i="36"/>
  <c r="P41" i="36"/>
  <c r="M41" i="36"/>
  <c r="J41" i="36"/>
  <c r="G41" i="36"/>
  <c r="D41" i="36"/>
  <c r="Q41" i="36" s="1"/>
  <c r="S41" i="36" s="1"/>
  <c r="P40" i="36"/>
  <c r="M40" i="36"/>
  <c r="J40" i="36"/>
  <c r="G40" i="36"/>
  <c r="D40" i="36"/>
  <c r="P39" i="36"/>
  <c r="M39" i="36"/>
  <c r="J39" i="36"/>
  <c r="G39" i="36"/>
  <c r="D39" i="36"/>
  <c r="P38" i="36"/>
  <c r="M38" i="36"/>
  <c r="J38" i="36"/>
  <c r="G38" i="36"/>
  <c r="D38" i="36"/>
  <c r="P37" i="36"/>
  <c r="M37" i="36"/>
  <c r="J37" i="36"/>
  <c r="G37" i="36"/>
  <c r="D37" i="36"/>
  <c r="Q37" i="36" s="1"/>
  <c r="S37" i="36" s="1"/>
  <c r="P36" i="36"/>
  <c r="M36" i="36"/>
  <c r="J36" i="36"/>
  <c r="G36" i="36"/>
  <c r="D36" i="36"/>
  <c r="P35" i="36"/>
  <c r="M35" i="36"/>
  <c r="J35" i="36"/>
  <c r="G35" i="36"/>
  <c r="D35" i="36"/>
  <c r="P34" i="36"/>
  <c r="M34" i="36"/>
  <c r="J34" i="36"/>
  <c r="G34" i="36"/>
  <c r="D34" i="36"/>
  <c r="Q34" i="36" s="1"/>
  <c r="S34" i="36" s="1"/>
  <c r="P33" i="36"/>
  <c r="M33" i="36"/>
  <c r="J33" i="36"/>
  <c r="G33" i="36"/>
  <c r="D33" i="36"/>
  <c r="P32" i="36"/>
  <c r="M32" i="36"/>
  <c r="J32" i="36"/>
  <c r="G32" i="36"/>
  <c r="D32" i="36"/>
  <c r="P31" i="36"/>
  <c r="M31" i="36"/>
  <c r="J31" i="36"/>
  <c r="G31" i="36"/>
  <c r="D31" i="36"/>
  <c r="P30" i="36"/>
  <c r="M30" i="36"/>
  <c r="J30" i="36"/>
  <c r="G30" i="36"/>
  <c r="D30" i="36"/>
  <c r="P29" i="36"/>
  <c r="M29" i="36"/>
  <c r="J29" i="36"/>
  <c r="G29" i="36"/>
  <c r="D29" i="36"/>
  <c r="P28" i="36"/>
  <c r="M28" i="36"/>
  <c r="J28" i="36"/>
  <c r="G28" i="36"/>
  <c r="D28" i="36"/>
  <c r="P27" i="36"/>
  <c r="M27" i="36"/>
  <c r="J27" i="36"/>
  <c r="G27" i="36"/>
  <c r="D27" i="36"/>
  <c r="P26" i="36"/>
  <c r="M26" i="36"/>
  <c r="J26" i="36"/>
  <c r="G26" i="36"/>
  <c r="D26" i="36"/>
  <c r="P25" i="36"/>
  <c r="M25" i="36"/>
  <c r="J25" i="36"/>
  <c r="G25" i="36"/>
  <c r="D25" i="36"/>
  <c r="P24" i="36"/>
  <c r="M24" i="36"/>
  <c r="J24" i="36"/>
  <c r="G24" i="36"/>
  <c r="D24" i="36"/>
  <c r="P23" i="36"/>
  <c r="M23" i="36"/>
  <c r="J23" i="36"/>
  <c r="G23" i="36"/>
  <c r="D23" i="36"/>
  <c r="P22" i="36"/>
  <c r="M22" i="36"/>
  <c r="J22" i="36"/>
  <c r="G22" i="36"/>
  <c r="D22" i="36"/>
  <c r="P21" i="36"/>
  <c r="M21" i="36"/>
  <c r="J21" i="36"/>
  <c r="G21" i="36"/>
  <c r="D21" i="36"/>
  <c r="P20" i="36"/>
  <c r="M20" i="36"/>
  <c r="J20" i="36"/>
  <c r="G20" i="36"/>
  <c r="D20" i="36"/>
  <c r="P19" i="36"/>
  <c r="M19" i="36"/>
  <c r="J19" i="36"/>
  <c r="G19" i="36"/>
  <c r="D19" i="36"/>
  <c r="P18" i="36"/>
  <c r="M18" i="36"/>
  <c r="J18" i="36"/>
  <c r="G18" i="36"/>
  <c r="D18" i="36"/>
  <c r="P17" i="36"/>
  <c r="M17" i="36"/>
  <c r="J17" i="36"/>
  <c r="G17" i="36"/>
  <c r="D17" i="36"/>
  <c r="P16" i="36"/>
  <c r="M16" i="36"/>
  <c r="J16" i="36"/>
  <c r="G16" i="36"/>
  <c r="D16" i="36"/>
  <c r="P15" i="36"/>
  <c r="M15" i="36"/>
  <c r="J15" i="36"/>
  <c r="G15" i="36"/>
  <c r="D15" i="36"/>
  <c r="P14" i="36"/>
  <c r="M14" i="36"/>
  <c r="J14" i="36"/>
  <c r="G14" i="36"/>
  <c r="D14" i="36"/>
  <c r="P13" i="36"/>
  <c r="M13" i="36"/>
  <c r="J13" i="36"/>
  <c r="G13" i="36"/>
  <c r="D13" i="36"/>
  <c r="P12" i="36"/>
  <c r="M12" i="36"/>
  <c r="J12" i="36"/>
  <c r="G12" i="36"/>
  <c r="D12" i="36"/>
  <c r="P11" i="36"/>
  <c r="M11" i="36"/>
  <c r="J11" i="36"/>
  <c r="G11" i="36"/>
  <c r="D11" i="36"/>
  <c r="P10" i="36"/>
  <c r="M10" i="36"/>
  <c r="J10" i="36"/>
  <c r="G10" i="36"/>
  <c r="D10" i="36"/>
  <c r="P9" i="36"/>
  <c r="M9" i="36"/>
  <c r="J9" i="36"/>
  <c r="G9" i="36"/>
  <c r="D9" i="36"/>
  <c r="P8" i="36"/>
  <c r="M8" i="36"/>
  <c r="J8" i="36"/>
  <c r="G8" i="36"/>
  <c r="D8" i="36"/>
  <c r="P7" i="36"/>
  <c r="M7" i="36"/>
  <c r="J7" i="36"/>
  <c r="G7" i="36"/>
  <c r="D7" i="36"/>
  <c r="N49" i="33"/>
  <c r="Q39" i="36" l="1"/>
  <c r="S39" i="36" s="1"/>
  <c r="Q8" i="36"/>
  <c r="S8" i="36" s="1"/>
  <c r="Q44" i="36"/>
  <c r="S44" i="36" s="1"/>
  <c r="Q22" i="36"/>
  <c r="Q45" i="36"/>
  <c r="S45" i="36" s="1"/>
  <c r="Q18" i="36"/>
  <c r="S18" i="36" s="1"/>
  <c r="Q30" i="36"/>
  <c r="S30" i="36" s="1"/>
  <c r="Q54" i="36"/>
  <c r="S54" i="36" s="1"/>
  <c r="Q43" i="36"/>
  <c r="S43" i="36" s="1"/>
  <c r="Q25" i="36"/>
  <c r="S25" i="36" s="1"/>
  <c r="Q35" i="36"/>
  <c r="S35" i="36" s="1"/>
  <c r="Q11" i="36"/>
  <c r="S11" i="36" s="1"/>
  <c r="Q50" i="36"/>
  <c r="S50" i="36" s="1"/>
  <c r="Q13" i="36"/>
  <c r="S13" i="36" s="1"/>
  <c r="Q27" i="36"/>
  <c r="S27" i="36" s="1"/>
  <c r="Q46" i="36"/>
  <c r="S46" i="36" s="1"/>
  <c r="Q14" i="36"/>
  <c r="S14" i="36" s="1"/>
  <c r="Q28" i="36"/>
  <c r="S28" i="36" s="1"/>
  <c r="Q21" i="36"/>
  <c r="S21" i="36" s="1"/>
  <c r="Q40" i="36"/>
  <c r="S40" i="36" s="1"/>
  <c r="Q12" i="36"/>
  <c r="S12" i="36" s="1"/>
  <c r="Q19" i="36"/>
  <c r="S19" i="36" s="1"/>
  <c r="Q26" i="36"/>
  <c r="S26" i="36" s="1"/>
  <c r="Q17" i="36"/>
  <c r="S17" i="36" s="1"/>
  <c r="Q31" i="36"/>
  <c r="S31" i="36" s="1"/>
  <c r="Q29" i="36"/>
  <c r="S29" i="36" s="1"/>
  <c r="Q36" i="36"/>
  <c r="S36" i="36" s="1"/>
  <c r="Q53" i="36"/>
  <c r="S53" i="36" s="1"/>
  <c r="Q16" i="36"/>
  <c r="S16" i="36" s="1"/>
  <c r="Q32" i="36"/>
  <c r="S32" i="36" s="1"/>
  <c r="Q9" i="36"/>
  <c r="S9" i="36" s="1"/>
  <c r="Q23" i="36"/>
  <c r="S23" i="36" s="1"/>
  <c r="Q7" i="36"/>
  <c r="S7" i="36" s="1"/>
  <c r="Q33" i="36"/>
  <c r="S33" i="36" s="1"/>
  <c r="Q24" i="36"/>
  <c r="S24" i="36" s="1"/>
  <c r="Q38" i="36"/>
  <c r="S38" i="36" s="1"/>
  <c r="Q15" i="36"/>
  <c r="S15" i="36" s="1"/>
  <c r="Q20" i="36"/>
  <c r="S20" i="36" s="1"/>
  <c r="Q48" i="36"/>
  <c r="S48" i="36" s="1"/>
  <c r="Q42" i="36"/>
  <c r="S42" i="36" s="1"/>
  <c r="Q51" i="36"/>
  <c r="S51" i="36" s="1"/>
  <c r="Q49" i="36"/>
  <c r="S49" i="36" s="1"/>
  <c r="Q47" i="36"/>
  <c r="S47" i="36" s="1"/>
  <c r="Q10" i="36"/>
  <c r="S10" i="36" s="1"/>
  <c r="Q52" i="36"/>
  <c r="S52" i="36" s="1"/>
  <c r="N48" i="33"/>
  <c r="N46" i="33"/>
  <c r="L37" i="33"/>
  <c r="Q55" i="36" l="1"/>
  <c r="S55" i="36"/>
  <c r="B7" i="33"/>
  <c r="N35" i="33"/>
  <c r="N52" i="33"/>
  <c r="L52" i="33"/>
  <c r="O51" i="33"/>
  <c r="N50" i="33"/>
  <c r="N47" i="33"/>
  <c r="N10" i="33"/>
  <c r="O21" i="33"/>
  <c r="N21" i="33"/>
  <c r="D22" i="33"/>
  <c r="G22" i="33"/>
  <c r="J22" i="33"/>
  <c r="M22" i="33"/>
  <c r="P22" i="33"/>
  <c r="P7" i="33"/>
  <c r="Q22" i="33" l="1"/>
  <c r="J45" i="19" l="1"/>
  <c r="L45" i="19"/>
  <c r="P45" i="19"/>
  <c r="R45" i="19" s="1"/>
  <c r="J26" i="19"/>
  <c r="J27" i="19"/>
  <c r="J28" i="19"/>
  <c r="J29" i="19"/>
  <c r="J30" i="19"/>
  <c r="J31" i="19"/>
  <c r="J32" i="19"/>
  <c r="J33" i="19"/>
  <c r="J34" i="19"/>
  <c r="J35" i="19"/>
  <c r="J36" i="19"/>
  <c r="J37" i="19"/>
  <c r="J38" i="19"/>
  <c r="J39" i="19"/>
  <c r="J25" i="19"/>
  <c r="J7" i="19"/>
  <c r="J8" i="19"/>
  <c r="J9" i="19"/>
  <c r="J10" i="19"/>
  <c r="J11" i="19"/>
  <c r="J12" i="19"/>
  <c r="J13" i="19"/>
  <c r="J14" i="19"/>
  <c r="J15" i="19"/>
  <c r="J16" i="19"/>
  <c r="J17" i="19"/>
  <c r="J18" i="19"/>
  <c r="J19" i="19"/>
  <c r="J20" i="19"/>
  <c r="J21" i="19"/>
  <c r="J22" i="19"/>
  <c r="J23" i="19"/>
  <c r="J24" i="19"/>
  <c r="J40" i="19"/>
  <c r="J42" i="19"/>
  <c r="J43" i="19"/>
  <c r="J44" i="19"/>
  <c r="J46" i="19"/>
  <c r="J47" i="19"/>
  <c r="J48" i="19"/>
  <c r="J49" i="19"/>
  <c r="J50" i="19"/>
  <c r="J51" i="19"/>
  <c r="J52" i="19"/>
  <c r="J53" i="19"/>
  <c r="J54" i="19"/>
  <c r="J55" i="19"/>
  <c r="J6" i="19"/>
  <c r="J56" i="19" l="1"/>
  <c r="U45" i="19"/>
  <c r="T45" i="19"/>
  <c r="L30" i="19"/>
  <c r="P30" i="19"/>
  <c r="L12" i="19"/>
  <c r="P12" i="19"/>
  <c r="R12" i="19" s="1"/>
  <c r="L10" i="19"/>
  <c r="P10" i="19"/>
  <c r="R10" i="19" s="1"/>
  <c r="L7" i="19"/>
  <c r="L8" i="19"/>
  <c r="L9" i="19"/>
  <c r="L11" i="19"/>
  <c r="L13" i="19"/>
  <c r="L14" i="19"/>
  <c r="L15" i="19"/>
  <c r="L16" i="19"/>
  <c r="L17" i="19"/>
  <c r="L18" i="19"/>
  <c r="L19" i="19"/>
  <c r="L20" i="19"/>
  <c r="L21" i="19"/>
  <c r="L22" i="19"/>
  <c r="L23" i="19"/>
  <c r="L24" i="19"/>
  <c r="L25" i="19"/>
  <c r="L26" i="19"/>
  <c r="L27" i="19"/>
  <c r="L28" i="19"/>
  <c r="L29" i="19"/>
  <c r="L31" i="19"/>
  <c r="L32" i="19"/>
  <c r="L33" i="19"/>
  <c r="L34" i="19"/>
  <c r="L35" i="19"/>
  <c r="L36" i="19"/>
  <c r="L37" i="19"/>
  <c r="L38" i="19"/>
  <c r="L39" i="19"/>
  <c r="L40" i="19"/>
  <c r="L41" i="19"/>
  <c r="L42" i="19"/>
  <c r="L43" i="19"/>
  <c r="L44" i="19"/>
  <c r="L46" i="19"/>
  <c r="L47" i="19"/>
  <c r="L48" i="19"/>
  <c r="L49" i="19"/>
  <c r="L50" i="19"/>
  <c r="L51" i="19"/>
  <c r="L52" i="19"/>
  <c r="L53" i="19"/>
  <c r="L54" i="19"/>
  <c r="L55" i="19"/>
  <c r="L6" i="19"/>
  <c r="P7" i="19"/>
  <c r="T30" i="19" l="1"/>
  <c r="R30" i="19"/>
  <c r="T7" i="19"/>
  <c r="R7" i="19"/>
  <c r="U12" i="19"/>
  <c r="U30" i="19"/>
  <c r="T12" i="19"/>
  <c r="L56" i="19"/>
  <c r="U10" i="19"/>
  <c r="T10" i="19"/>
  <c r="U7" i="19"/>
  <c r="E15" i="20" l="1"/>
  <c r="P54" i="33" l="1"/>
  <c r="M54" i="33"/>
  <c r="J54" i="33"/>
  <c r="G54" i="33"/>
  <c r="D54" i="33"/>
  <c r="P53" i="33"/>
  <c r="M53" i="33"/>
  <c r="J53" i="33"/>
  <c r="G53" i="33"/>
  <c r="D53" i="33"/>
  <c r="P52" i="33"/>
  <c r="M52" i="33"/>
  <c r="J52" i="33"/>
  <c r="G52" i="33"/>
  <c r="D52" i="33"/>
  <c r="P51" i="33"/>
  <c r="M51" i="33"/>
  <c r="J51" i="33"/>
  <c r="G51" i="33"/>
  <c r="D51" i="33"/>
  <c r="P50" i="33"/>
  <c r="M50" i="33"/>
  <c r="J50" i="33"/>
  <c r="G50" i="33"/>
  <c r="D50" i="33"/>
  <c r="P49" i="33"/>
  <c r="M49" i="33"/>
  <c r="J49" i="33"/>
  <c r="G49" i="33"/>
  <c r="D49" i="33"/>
  <c r="P48" i="33"/>
  <c r="M48" i="33"/>
  <c r="J48" i="33"/>
  <c r="G48" i="33"/>
  <c r="D48" i="33"/>
  <c r="P47" i="33"/>
  <c r="M47" i="33"/>
  <c r="J47" i="33"/>
  <c r="G47" i="33"/>
  <c r="D47" i="33"/>
  <c r="P46" i="33"/>
  <c r="M46" i="33"/>
  <c r="J46" i="33"/>
  <c r="G46" i="33"/>
  <c r="D46" i="33"/>
  <c r="P45" i="33"/>
  <c r="M45" i="33"/>
  <c r="J45" i="33"/>
  <c r="G45" i="33"/>
  <c r="D45" i="33"/>
  <c r="P44" i="33"/>
  <c r="M44" i="33"/>
  <c r="J44" i="33"/>
  <c r="G44" i="33"/>
  <c r="D44" i="33"/>
  <c r="P43" i="33"/>
  <c r="M43" i="33"/>
  <c r="J43" i="33"/>
  <c r="G43" i="33"/>
  <c r="D43" i="33"/>
  <c r="P42" i="33"/>
  <c r="M42" i="33"/>
  <c r="J42" i="33"/>
  <c r="G42" i="33"/>
  <c r="D42" i="33"/>
  <c r="P41" i="33"/>
  <c r="M41" i="33"/>
  <c r="J41" i="33"/>
  <c r="G41" i="33"/>
  <c r="D41" i="33"/>
  <c r="P40" i="33"/>
  <c r="M40" i="33"/>
  <c r="J40" i="33"/>
  <c r="G40" i="33"/>
  <c r="D40" i="33"/>
  <c r="P39" i="33"/>
  <c r="M39" i="33"/>
  <c r="J39" i="33"/>
  <c r="G39" i="33"/>
  <c r="D39" i="33"/>
  <c r="P38" i="33"/>
  <c r="M38" i="33"/>
  <c r="J38" i="33"/>
  <c r="G38" i="33"/>
  <c r="D38" i="33"/>
  <c r="P37" i="33"/>
  <c r="M37" i="33"/>
  <c r="J37" i="33"/>
  <c r="G37" i="33"/>
  <c r="D37" i="33"/>
  <c r="P36" i="33"/>
  <c r="M36" i="33"/>
  <c r="J36" i="33"/>
  <c r="G36" i="33"/>
  <c r="D36" i="33"/>
  <c r="P35" i="33"/>
  <c r="M35" i="33"/>
  <c r="J35" i="33"/>
  <c r="G35" i="33"/>
  <c r="D35" i="33"/>
  <c r="P34" i="33"/>
  <c r="M34" i="33"/>
  <c r="J34" i="33"/>
  <c r="G34" i="33"/>
  <c r="D34" i="33"/>
  <c r="P33" i="33"/>
  <c r="M33" i="33"/>
  <c r="J33" i="33"/>
  <c r="G33" i="33"/>
  <c r="D33" i="33"/>
  <c r="P32" i="33"/>
  <c r="M32" i="33"/>
  <c r="J32" i="33"/>
  <c r="G32" i="33"/>
  <c r="D32" i="33"/>
  <c r="P31" i="33"/>
  <c r="M31" i="33"/>
  <c r="J31" i="33"/>
  <c r="G31" i="33"/>
  <c r="D31" i="33"/>
  <c r="P30" i="33"/>
  <c r="M30" i="33"/>
  <c r="J30" i="33"/>
  <c r="G30" i="33"/>
  <c r="D30" i="33"/>
  <c r="P29" i="33"/>
  <c r="M29" i="33"/>
  <c r="J29" i="33"/>
  <c r="G29" i="33"/>
  <c r="D29" i="33"/>
  <c r="P28" i="33"/>
  <c r="M28" i="33"/>
  <c r="J28" i="33"/>
  <c r="G28" i="33"/>
  <c r="D28" i="33"/>
  <c r="P27" i="33"/>
  <c r="M27" i="33"/>
  <c r="J27" i="33"/>
  <c r="G27" i="33"/>
  <c r="D27" i="33"/>
  <c r="P26" i="33"/>
  <c r="M26" i="33"/>
  <c r="J26" i="33"/>
  <c r="G26" i="33"/>
  <c r="D26" i="33"/>
  <c r="P25" i="33"/>
  <c r="M25" i="33"/>
  <c r="J25" i="33"/>
  <c r="G25" i="33"/>
  <c r="D25" i="33"/>
  <c r="P24" i="33"/>
  <c r="M24" i="33"/>
  <c r="J24" i="33"/>
  <c r="G24" i="33"/>
  <c r="D24" i="33"/>
  <c r="P23" i="33"/>
  <c r="M23" i="33"/>
  <c r="J23" i="33"/>
  <c r="G23" i="33"/>
  <c r="D23" i="33"/>
  <c r="P21" i="33"/>
  <c r="M21" i="33"/>
  <c r="J21" i="33"/>
  <c r="G21" i="33"/>
  <c r="D21" i="33"/>
  <c r="P20" i="33"/>
  <c r="M20" i="33"/>
  <c r="J20" i="33"/>
  <c r="G20" i="33"/>
  <c r="D20" i="33"/>
  <c r="P19" i="33"/>
  <c r="M19" i="33"/>
  <c r="J19" i="33"/>
  <c r="G19" i="33"/>
  <c r="D19" i="33"/>
  <c r="P18" i="33"/>
  <c r="M18" i="33"/>
  <c r="J18" i="33"/>
  <c r="G18" i="33"/>
  <c r="D18" i="33"/>
  <c r="P17" i="33"/>
  <c r="M17" i="33"/>
  <c r="J17" i="33"/>
  <c r="G17" i="33"/>
  <c r="D17" i="33"/>
  <c r="P16" i="33"/>
  <c r="M16" i="33"/>
  <c r="J16" i="33"/>
  <c r="G16" i="33"/>
  <c r="D16" i="33"/>
  <c r="P15" i="33"/>
  <c r="M15" i="33"/>
  <c r="J15" i="33"/>
  <c r="G15" i="33"/>
  <c r="D15" i="33"/>
  <c r="P14" i="33"/>
  <c r="M14" i="33"/>
  <c r="J14" i="33"/>
  <c r="G14" i="33"/>
  <c r="D14" i="33"/>
  <c r="P13" i="33"/>
  <c r="M13" i="33"/>
  <c r="J13" i="33"/>
  <c r="G13" i="33"/>
  <c r="D13" i="33"/>
  <c r="P12" i="33"/>
  <c r="M12" i="33"/>
  <c r="J12" i="33"/>
  <c r="G12" i="33"/>
  <c r="D12" i="33"/>
  <c r="P11" i="33"/>
  <c r="M11" i="33"/>
  <c r="J11" i="33"/>
  <c r="G11" i="33"/>
  <c r="D11" i="33"/>
  <c r="P10" i="33"/>
  <c r="M10" i="33"/>
  <c r="J10" i="33"/>
  <c r="G10" i="33"/>
  <c r="D10" i="33"/>
  <c r="P9" i="33"/>
  <c r="M9" i="33"/>
  <c r="J9" i="33"/>
  <c r="G9" i="33"/>
  <c r="D9" i="33"/>
  <c r="P8" i="33"/>
  <c r="M8" i="33"/>
  <c r="J8" i="33"/>
  <c r="G8" i="33"/>
  <c r="D8" i="33"/>
  <c r="M7" i="33"/>
  <c r="J7" i="33"/>
  <c r="G7" i="33"/>
  <c r="D7" i="33"/>
  <c r="Q7" i="33" l="1"/>
  <c r="S7" i="33" s="1"/>
  <c r="Q49" i="33"/>
  <c r="S49" i="33" s="1"/>
  <c r="Q46" i="33"/>
  <c r="S46" i="33" s="1"/>
  <c r="Q11" i="33"/>
  <c r="S11" i="33" s="1"/>
  <c r="Q33" i="33"/>
  <c r="S33" i="33" s="1"/>
  <c r="Q8" i="33"/>
  <c r="S8" i="33" s="1"/>
  <c r="Q34" i="33"/>
  <c r="S34" i="33" s="1"/>
  <c r="Q40" i="33"/>
  <c r="S40" i="33" s="1"/>
  <c r="Q27" i="33"/>
  <c r="S27" i="33" s="1"/>
  <c r="Q39" i="33"/>
  <c r="S39" i="33" s="1"/>
  <c r="Q19" i="33"/>
  <c r="S19" i="33" s="1"/>
  <c r="Q14" i="33"/>
  <c r="S14" i="33" s="1"/>
  <c r="Q53" i="33"/>
  <c r="S53" i="33" s="1"/>
  <c r="Q54" i="33"/>
  <c r="S54" i="33" s="1"/>
  <c r="Q16" i="33"/>
  <c r="S16" i="33" s="1"/>
  <c r="Q18" i="33"/>
  <c r="S18" i="33" s="1"/>
  <c r="Q41" i="33"/>
  <c r="S41" i="33" s="1"/>
  <c r="Q50" i="33"/>
  <c r="S50" i="33" s="1"/>
  <c r="Q15" i="33"/>
  <c r="S15" i="33" s="1"/>
  <c r="Q51" i="33"/>
  <c r="S51" i="33" s="1"/>
  <c r="Q17" i="33"/>
  <c r="S17" i="33" s="1"/>
  <c r="Q37" i="33"/>
  <c r="S37" i="33" s="1"/>
  <c r="Q48" i="33"/>
  <c r="S48" i="33" s="1"/>
  <c r="Q23" i="33"/>
  <c r="S23" i="33" s="1"/>
  <c r="Q28" i="33"/>
  <c r="S28" i="33" s="1"/>
  <c r="Q30" i="33"/>
  <c r="S30" i="33" s="1"/>
  <c r="Q26" i="33"/>
  <c r="S26" i="33" s="1"/>
  <c r="Q31" i="33"/>
  <c r="S31" i="33" s="1"/>
  <c r="Q9" i="33"/>
  <c r="S9" i="33" s="1"/>
  <c r="Q24" i="33"/>
  <c r="S24" i="33" s="1"/>
  <c r="Q36" i="33"/>
  <c r="S36" i="33" s="1"/>
  <c r="Q29" i="33"/>
  <c r="S29" i="33" s="1"/>
  <c r="Q43" i="33"/>
  <c r="S43" i="33" s="1"/>
  <c r="Q45" i="33"/>
  <c r="S45" i="33" s="1"/>
  <c r="Q47" i="33"/>
  <c r="S47" i="33" s="1"/>
  <c r="Q25" i="33"/>
  <c r="S25" i="33" s="1"/>
  <c r="Q32" i="33"/>
  <c r="S32" i="33" s="1"/>
  <c r="Q35" i="33"/>
  <c r="S35" i="33" s="1"/>
  <c r="Q13" i="33"/>
  <c r="S13" i="33" s="1"/>
  <c r="Q12" i="33"/>
  <c r="S12" i="33" s="1"/>
  <c r="Q10" i="33"/>
  <c r="S10" i="33" s="1"/>
  <c r="Q42" i="33"/>
  <c r="S42" i="33" s="1"/>
  <c r="Q20" i="33"/>
  <c r="S20" i="33" s="1"/>
  <c r="Q38" i="33"/>
  <c r="S38" i="33" s="1"/>
  <c r="Q44" i="33"/>
  <c r="S44" i="33" s="1"/>
  <c r="Q52" i="33"/>
  <c r="S52" i="33" s="1"/>
  <c r="Q21" i="33"/>
  <c r="S21" i="33" s="1"/>
  <c r="S55" i="33" l="1"/>
  <c r="Q55" i="33"/>
  <c r="K56" i="19" l="1"/>
  <c r="W56" i="19"/>
  <c r="P54" i="19"/>
  <c r="P33" i="19"/>
  <c r="R33" i="19" s="1"/>
  <c r="P17" i="19"/>
  <c r="R17" i="19" s="1"/>
  <c r="P11" i="19"/>
  <c r="R11" i="19" s="1"/>
  <c r="P13" i="19"/>
  <c r="R13" i="19" s="1"/>
  <c r="P40" i="19"/>
  <c r="P41" i="19"/>
  <c r="R41" i="19" s="1"/>
  <c r="P28" i="19"/>
  <c r="R28" i="19" s="1"/>
  <c r="P8" i="19"/>
  <c r="R8" i="19" s="1"/>
  <c r="P9" i="19"/>
  <c r="P14" i="19"/>
  <c r="R14" i="19" s="1"/>
  <c r="P15" i="19"/>
  <c r="R15" i="19" s="1"/>
  <c r="P16" i="19"/>
  <c r="P18" i="19"/>
  <c r="R18" i="19" s="1"/>
  <c r="P19" i="19"/>
  <c r="R19" i="19" s="1"/>
  <c r="P20" i="19"/>
  <c r="P21" i="19"/>
  <c r="P22" i="19"/>
  <c r="R22" i="19" s="1"/>
  <c r="P23" i="19"/>
  <c r="R23" i="19" s="1"/>
  <c r="P24" i="19"/>
  <c r="P25" i="19"/>
  <c r="P26" i="19"/>
  <c r="R26" i="19" s="1"/>
  <c r="P27" i="19"/>
  <c r="P29" i="19"/>
  <c r="R29" i="19" s="1"/>
  <c r="P31" i="19"/>
  <c r="R31" i="19" s="1"/>
  <c r="P32" i="19"/>
  <c r="R32" i="19" s="1"/>
  <c r="P34" i="19"/>
  <c r="P35" i="19"/>
  <c r="R35" i="19" s="1"/>
  <c r="P36" i="19"/>
  <c r="R36" i="19" s="1"/>
  <c r="P37" i="19"/>
  <c r="R37" i="19" s="1"/>
  <c r="P38" i="19"/>
  <c r="P39" i="19"/>
  <c r="P42" i="19"/>
  <c r="P43" i="19"/>
  <c r="R43" i="19" s="1"/>
  <c r="P44" i="19"/>
  <c r="R44" i="19" s="1"/>
  <c r="P46" i="19"/>
  <c r="R46" i="19" s="1"/>
  <c r="P47" i="19"/>
  <c r="P48" i="19"/>
  <c r="P49" i="19"/>
  <c r="R49" i="19" s="1"/>
  <c r="P50" i="19"/>
  <c r="R50" i="19" s="1"/>
  <c r="P51" i="19"/>
  <c r="P52" i="19"/>
  <c r="R52" i="19" s="1"/>
  <c r="P53" i="19"/>
  <c r="R53" i="19" s="1"/>
  <c r="P55" i="19"/>
  <c r="R55" i="19" s="1"/>
  <c r="T42" i="19" l="1"/>
  <c r="R42" i="19"/>
  <c r="T40" i="19"/>
  <c r="R40" i="19"/>
  <c r="T39" i="19"/>
  <c r="R39" i="19"/>
  <c r="T21" i="19"/>
  <c r="R21" i="19"/>
  <c r="T24" i="19"/>
  <c r="R24" i="19"/>
  <c r="U24" i="19" s="1"/>
  <c r="T20" i="19"/>
  <c r="R20" i="19"/>
  <c r="U20" i="19" s="1"/>
  <c r="T51" i="19"/>
  <c r="R51" i="19"/>
  <c r="T9" i="19"/>
  <c r="R9" i="19"/>
  <c r="T34" i="19"/>
  <c r="R34" i="19"/>
  <c r="T16" i="19"/>
  <c r="R16" i="19"/>
  <c r="U16" i="19" s="1"/>
  <c r="T54" i="19"/>
  <c r="R54" i="19"/>
  <c r="U54" i="19" s="1"/>
  <c r="T25" i="19"/>
  <c r="R25" i="19"/>
  <c r="U25" i="19" s="1"/>
  <c r="T38" i="19"/>
  <c r="R38" i="19"/>
  <c r="T48" i="19"/>
  <c r="R48" i="19"/>
  <c r="T47" i="19"/>
  <c r="R47" i="19"/>
  <c r="U47" i="19" s="1"/>
  <c r="T27" i="19"/>
  <c r="R27" i="19"/>
  <c r="U27" i="19" s="1"/>
  <c r="T35" i="19"/>
  <c r="T15" i="19"/>
  <c r="U15" i="19"/>
  <c r="S56" i="19"/>
  <c r="D60" i="19" s="1"/>
  <c r="T52" i="19"/>
  <c r="U33" i="19"/>
  <c r="U29" i="19"/>
  <c r="U46" i="19"/>
  <c r="U13" i="19"/>
  <c r="U11" i="19"/>
  <c r="U17" i="19"/>
  <c r="T33" i="19"/>
  <c r="T17" i="19"/>
  <c r="T13" i="19"/>
  <c r="T11" i="19"/>
  <c r="U8" i="19"/>
  <c r="U36" i="19"/>
  <c r="U41" i="19"/>
  <c r="U28" i="19"/>
  <c r="U31" i="19"/>
  <c r="U44" i="19"/>
  <c r="U50" i="19"/>
  <c r="U49" i="19"/>
  <c r="U19" i="19"/>
  <c r="U43" i="19"/>
  <c r="T46" i="19"/>
  <c r="U42" i="19"/>
  <c r="T32" i="19"/>
  <c r="U53" i="19"/>
  <c r="U23" i="19"/>
  <c r="U37" i="19"/>
  <c r="U18" i="19"/>
  <c r="U55" i="19"/>
  <c r="U32" i="19"/>
  <c r="U26" i="19"/>
  <c r="U22" i="19"/>
  <c r="U14" i="19"/>
  <c r="T19" i="19"/>
  <c r="T41" i="19"/>
  <c r="U40" i="19"/>
  <c r="T44" i="19"/>
  <c r="T31" i="19"/>
  <c r="T8" i="19"/>
  <c r="T50" i="19"/>
  <c r="T43" i="19"/>
  <c r="T37" i="19"/>
  <c r="T29" i="19"/>
  <c r="T23" i="19"/>
  <c r="T18" i="19"/>
  <c r="T49" i="19"/>
  <c r="T36" i="19"/>
  <c r="T28" i="19"/>
  <c r="T22" i="19"/>
  <c r="T55" i="19"/>
  <c r="T14" i="19"/>
  <c r="T53" i="19"/>
  <c r="T26" i="19"/>
  <c r="U51" i="19"/>
  <c r="U21" i="19"/>
  <c r="U48" i="19"/>
  <c r="U52" i="19"/>
  <c r="U39" i="19"/>
  <c r="U35" i="19"/>
  <c r="X56" i="19" s="1"/>
  <c r="U38" i="19"/>
  <c r="U9" i="19"/>
  <c r="U34" i="19"/>
  <c r="H56" i="19" l="1"/>
  <c r="D35" i="20" l="1"/>
  <c r="P6" i="19"/>
  <c r="R6" i="19" s="1"/>
  <c r="U6" i="19" l="1"/>
  <c r="T6" i="19"/>
  <c r="T56" i="19" s="1"/>
  <c r="M22" i="20" l="1"/>
  <c r="N22" i="20"/>
  <c r="N21" i="20"/>
  <c r="M21" i="20"/>
  <c r="N6" i="20"/>
  <c r="M6" i="20"/>
  <c r="M15" i="20" l="1"/>
  <c r="D15" i="20" l="1"/>
  <c r="E35" i="20"/>
  <c r="L35" i="20" l="1"/>
  <c r="K35" i="20"/>
  <c r="L15" i="20"/>
  <c r="K15" i="20"/>
  <c r="O56" i="19"/>
  <c r="M56" i="19"/>
  <c r="N35" i="20" l="1"/>
  <c r="M35" i="20"/>
  <c r="N15" i="20"/>
  <c r="N16" i="20" s="1"/>
  <c r="P56" i="19"/>
  <c r="E59" i="19" s="1"/>
  <c r="N36" i="20" l="1"/>
  <c r="R56" i="19"/>
  <c r="D59" i="19" s="1"/>
  <c r="Q56" i="19"/>
  <c r="E60" i="19" l="1"/>
  <c r="E61" i="19" s="1"/>
  <c r="D61" i="19"/>
  <c r="U56"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author>
  </authors>
  <commentList>
    <comment ref="Q5" authorId="0" shapeId="0" xr:uid="{00000000-0006-0000-0300-000001000000}">
      <text>
        <r>
          <rPr>
            <b/>
            <sz val="9"/>
            <rFont val="Tahoma"/>
            <family val="2"/>
          </rPr>
          <t>audit:</t>
        </r>
        <r>
          <rPr>
            <sz val="9"/>
            <rFont val="Tahoma"/>
            <family val="2"/>
          </rPr>
          <t xml:space="preserve">
REFER TO FORM NO.1</t>
        </r>
      </text>
    </comment>
    <comment ref="B67" authorId="0" shapeId="0" xr:uid="{00000000-0006-0000-0300-000002000000}">
      <text>
        <r>
          <rPr>
            <b/>
            <sz val="9"/>
            <rFont val="Tahoma"/>
            <family val="2"/>
          </rPr>
          <t>audit:</t>
        </r>
        <r>
          <rPr>
            <sz val="9"/>
            <rFont val="Tahoma"/>
            <family val="2"/>
          </rPr>
          <t xml:space="preserve">
Inventory Controller</t>
        </r>
      </text>
    </comment>
    <comment ref="E67" authorId="0" shapeId="0" xr:uid="{00000000-0006-0000-0300-000003000000}">
      <text>
        <r>
          <rPr>
            <b/>
            <sz val="9"/>
            <rFont val="Tahoma"/>
            <family val="2"/>
          </rPr>
          <t>audit:</t>
        </r>
        <r>
          <rPr>
            <sz val="9"/>
            <rFont val="Tahoma"/>
            <family val="2"/>
          </rPr>
          <t xml:space="preserve">
Bookkeeper</t>
        </r>
      </text>
    </comment>
    <comment ref="K67" authorId="0" shapeId="0" xr:uid="{00000000-0006-0000-0300-000004000000}">
      <text>
        <r>
          <rPr>
            <b/>
            <sz val="9"/>
            <rFont val="Tahoma"/>
            <family val="2"/>
          </rPr>
          <t>audit:</t>
        </r>
        <r>
          <rPr>
            <sz val="9"/>
            <rFont val="Tahoma"/>
            <family val="2"/>
          </rPr>
          <t xml:space="preserve">
Store Supervisor / Operations Head</t>
        </r>
      </text>
    </comment>
    <comment ref="B73" authorId="0" shapeId="0" xr:uid="{00000000-0006-0000-0300-000005000000}">
      <text>
        <r>
          <rPr>
            <b/>
            <sz val="9"/>
            <rFont val="Tahoma"/>
            <family val="2"/>
          </rPr>
          <t>audit:</t>
        </r>
        <r>
          <rPr>
            <sz val="9"/>
            <rFont val="Tahoma"/>
            <family val="2"/>
          </rPr>
          <t xml:space="preserve">
GM</t>
        </r>
      </text>
    </comment>
    <comment ref="K73" authorId="0" shapeId="0" xr:uid="{00000000-0006-0000-0300-000006000000}">
      <text>
        <r>
          <rPr>
            <b/>
            <sz val="9"/>
            <rFont val="Tahoma"/>
            <family val="2"/>
          </rPr>
          <t>audit:</t>
        </r>
        <r>
          <rPr>
            <sz val="9"/>
            <rFont val="Tahoma"/>
            <family val="2"/>
          </rPr>
          <t xml:space="preserve">
GM</t>
        </r>
      </text>
    </comment>
  </commentList>
</comments>
</file>

<file path=xl/sharedStrings.xml><?xml version="1.0" encoding="utf-8"?>
<sst xmlns="http://schemas.openxmlformats.org/spreadsheetml/2006/main" count="496" uniqueCount="217">
  <si>
    <t>INVENTORY REPORT</t>
  </si>
  <si>
    <t>SHELF NO.</t>
  </si>
  <si>
    <t>SHELF DESCRIPTION</t>
  </si>
  <si>
    <t>BARCODE</t>
  </si>
  <si>
    <t>PRODUCT NAME</t>
  </si>
  <si>
    <t>UNIT COST</t>
  </si>
  <si>
    <t>ACTUAL INVENTORY</t>
  </si>
  <si>
    <t>VARIANCE - QUANTITY</t>
  </si>
  <si>
    <t>VARIANCE - COST</t>
  </si>
  <si>
    <t>REMARKS / CAUSE OF VARIANCE</t>
  </si>
  <si>
    <t>TOTAL</t>
  </si>
  <si>
    <t>PARTICULARS</t>
  </si>
  <si>
    <t>TOTAL COST</t>
  </si>
  <si>
    <t>TOTAL QUANTITY</t>
  </si>
  <si>
    <t>ACTION PLAN ON THE DEVIATION</t>
  </si>
  <si>
    <t>RECORD</t>
  </si>
  <si>
    <t>VARIANCE</t>
  </si>
  <si>
    <t>PREPARED BY:</t>
  </si>
  <si>
    <t>CHECKED BY:</t>
  </si>
  <si>
    <t>CHARISSE DELOS AMA</t>
  </si>
  <si>
    <t>JENNY-LYN R. GANIGAN</t>
  </si>
  <si>
    <t>OPERATION - UNIT HEAD</t>
  </si>
  <si>
    <t>RECOMMENDING APPROVAL BY:</t>
  </si>
  <si>
    <t>APPROVED BY:</t>
  </si>
  <si>
    <t>JASPER D. SANTOS</t>
  </si>
  <si>
    <t>GENERAL MANAGER</t>
  </si>
  <si>
    <t>OVER</t>
  </si>
  <si>
    <t>RETURN</t>
  </si>
  <si>
    <t>SHORT</t>
  </si>
  <si>
    <t>COCA COLA</t>
  </si>
  <si>
    <t>BEGINNING INVENTORY</t>
  </si>
  <si>
    <t>PURCHASES</t>
  </si>
  <si>
    <t>SALES</t>
  </si>
  <si>
    <t>COCA-COLA PRODUCT</t>
  </si>
  <si>
    <t>4801981116072</t>
  </si>
  <si>
    <t>COKE 1.5LX12</t>
  </si>
  <si>
    <t>8881234567836</t>
  </si>
  <si>
    <t>COKE 237ML</t>
  </si>
  <si>
    <t>4801981110001</t>
  </si>
  <si>
    <t>COKE IN CAN ORIGINAL FLAVOR 330ML</t>
  </si>
  <si>
    <t>888123456781314</t>
  </si>
  <si>
    <t>COKE KASALO 750ML</t>
  </si>
  <si>
    <t>4801981116645</t>
  </si>
  <si>
    <t>COKE NO SUGAR 1.5L</t>
  </si>
  <si>
    <t>4801981127184</t>
  </si>
  <si>
    <t>4801981164851</t>
  </si>
  <si>
    <t>MINUTE MAID APPLE JUICE 200ML</t>
  </si>
  <si>
    <t>4801981164868</t>
  </si>
  <si>
    <t>MINUTE MAID ORANGE JUICE 200ML</t>
  </si>
  <si>
    <t>4801981195329</t>
  </si>
  <si>
    <t xml:space="preserve">NUTRI BOOST CHOCOLATE MILK 6X4 110ML </t>
  </si>
  <si>
    <t>4801981195336</t>
  </si>
  <si>
    <t>NUTRI BOOST STRAWBERRY 6X4 110ML</t>
  </si>
  <si>
    <t>8881234567835</t>
  </si>
  <si>
    <t>ROYAL 237ML</t>
  </si>
  <si>
    <t>4801981116270</t>
  </si>
  <si>
    <t>4801981105205</t>
  </si>
  <si>
    <t>SPRITE 237ML</t>
  </si>
  <si>
    <t>888123456781401</t>
  </si>
  <si>
    <t>SPRITE 750ML</t>
  </si>
  <si>
    <t>4801981119981</t>
  </si>
  <si>
    <t>WILKINS 1L</t>
  </si>
  <si>
    <t>4801981126866</t>
  </si>
  <si>
    <t>WILKINS 330ML</t>
  </si>
  <si>
    <t>4801981107971</t>
  </si>
  <si>
    <t>WILKINS 500ML</t>
  </si>
  <si>
    <t>WILKINS 5L</t>
  </si>
  <si>
    <t>4801981164714</t>
  </si>
  <si>
    <t>WILKINS 7L</t>
  </si>
  <si>
    <t xml:space="preserve"> </t>
  </si>
  <si>
    <r>
      <rPr>
        <b/>
        <sz val="12"/>
        <color theme="1"/>
        <rFont val="Calibri"/>
        <family val="2"/>
        <scheme val="minor"/>
      </rPr>
      <t>Note:</t>
    </r>
    <r>
      <rPr>
        <sz val="12"/>
        <color theme="1"/>
        <rFont val="Calibri"/>
        <family val="2"/>
        <scheme val="minor"/>
      </rPr>
      <t xml:space="preserve"> </t>
    </r>
  </si>
  <si>
    <t>The quantity of 2,520 pieces of Wilkins330x30 has been deducted to the record per accpos instead of the requested adjustment of Wilkins330x12 with the quantity of 2,592 pieces as it was the product that has been received in the warehouse.</t>
  </si>
  <si>
    <t>CONFORMED BY:</t>
  </si>
  <si>
    <t>SKU</t>
  </si>
  <si>
    <t>LOAD IN/OUT</t>
  </si>
  <si>
    <t>COST</t>
  </si>
  <si>
    <t>T1</t>
  </si>
  <si>
    <t>Case</t>
  </si>
  <si>
    <t>Pieces</t>
  </si>
  <si>
    <t>Total</t>
  </si>
  <si>
    <t>KASALO COKE</t>
  </si>
  <si>
    <t>KASALO ROYAL</t>
  </si>
  <si>
    <t>KASALO SPRITE</t>
  </si>
  <si>
    <t>MISMO COKE</t>
  </si>
  <si>
    <t>MISMO ROYAL</t>
  </si>
  <si>
    <t>MISMO SPRITE</t>
  </si>
  <si>
    <t>IN CAN COKE</t>
  </si>
  <si>
    <t>IN CAN ROYAL</t>
  </si>
  <si>
    <t>IN CAN SPRITE</t>
  </si>
  <si>
    <t>IN CAN COKE ZERO</t>
  </si>
  <si>
    <t>1.5 COKE</t>
  </si>
  <si>
    <t>1.5 ROYAL</t>
  </si>
  <si>
    <t>1.5 SPRITE</t>
  </si>
  <si>
    <t>1.5 COKE ZERO</t>
  </si>
  <si>
    <t>MINUTE MAID ORANGE</t>
  </si>
  <si>
    <t>MINUTE MAID APPLE</t>
  </si>
  <si>
    <t>PREDATOR</t>
  </si>
  <si>
    <t>WILKINS 330</t>
  </si>
  <si>
    <t>WILKINS 500</t>
  </si>
  <si>
    <t>237ML COKE</t>
  </si>
  <si>
    <t>237ML ROYAL</t>
  </si>
  <si>
    <t>237ML SPRITE</t>
  </si>
  <si>
    <t>237ML ROYAL LEMON</t>
  </si>
  <si>
    <t>SWAKTO COKE</t>
  </si>
  <si>
    <t>SWAKTO ROYAL</t>
  </si>
  <si>
    <t>SWAKTO SPRITE</t>
  </si>
  <si>
    <t>SWAKTO COKE ZERO</t>
  </si>
  <si>
    <t>NUTRIBOOST CHOCOX24</t>
  </si>
  <si>
    <t>NUTRIBOOST STRAWBX24</t>
  </si>
  <si>
    <t>JACK AND COKE IN CAN</t>
  </si>
  <si>
    <t>FUZE TEA</t>
  </si>
  <si>
    <t>ACTUAL COUNT</t>
  </si>
  <si>
    <t>BAD ORDER</t>
  </si>
  <si>
    <t>VARIANCE BREAKDOWN (COKE-TALAVERA)</t>
  </si>
  <si>
    <t>CS</t>
  </si>
  <si>
    <t>PC</t>
  </si>
  <si>
    <t>MINUTE MAID MANGO</t>
  </si>
  <si>
    <t>WILKINS 330X12</t>
  </si>
  <si>
    <t>COCA COLA - TALAVERA</t>
  </si>
  <si>
    <t>MINUTE MAID PINEAPPLE</t>
  </si>
  <si>
    <t>CONSOLIDATED</t>
  </si>
  <si>
    <t>ENDING INVENTORY SUMMARY</t>
  </si>
  <si>
    <t>ACCOUNTING SUPERVISOR</t>
  </si>
  <si>
    <t>TERESITA B. OLAR</t>
  </si>
  <si>
    <t>FINANCE, ACCTG &amp; ADMIN MANAGER/OPERATIONS MANAGER</t>
  </si>
  <si>
    <t>KATHERINE DC. SANTOS     /     MICHAEL S. GUTIERREZ</t>
  </si>
  <si>
    <t>MISMO ROYAL STRAWBERRY</t>
  </si>
  <si>
    <t>1.5 COKE LITE</t>
  </si>
  <si>
    <t>MINUTE MAID ORANGE 250ML</t>
  </si>
  <si>
    <t>WILKINS DISTLED 1L</t>
  </si>
  <si>
    <t>ACTING BOOKKEEPER</t>
  </si>
  <si>
    <t>8881234567888</t>
  </si>
  <si>
    <t>8881234567890</t>
  </si>
  <si>
    <t>8881234567891</t>
  </si>
  <si>
    <t>8881234567876</t>
  </si>
  <si>
    <t>8881234567877</t>
  </si>
  <si>
    <t>8881234567896</t>
  </si>
  <si>
    <t>8881234567892</t>
  </si>
  <si>
    <t>8881234567844</t>
  </si>
  <si>
    <t>888038</t>
  </si>
  <si>
    <t>4801981190119</t>
  </si>
  <si>
    <t>4897036694404</t>
  </si>
  <si>
    <t>4801981091355</t>
  </si>
  <si>
    <t>8881234567878</t>
  </si>
  <si>
    <t>8881234567850</t>
  </si>
  <si>
    <t>8881234567898</t>
  </si>
  <si>
    <t>8881234567894</t>
  </si>
  <si>
    <t>8881234567885</t>
  </si>
  <si>
    <t>4801981097081</t>
  </si>
  <si>
    <t>8881234567902</t>
  </si>
  <si>
    <t>4801981091362</t>
  </si>
  <si>
    <t>8881234567879</t>
  </si>
  <si>
    <t>8881234567899</t>
  </si>
  <si>
    <t>8881234567895</t>
  </si>
  <si>
    <t>8881234567887</t>
  </si>
  <si>
    <t>4801981092376</t>
  </si>
  <si>
    <t>PREDATOR ENERGY 245ML</t>
  </si>
  <si>
    <t>ROYAL TRU STRBY MISMO 250ML</t>
  </si>
  <si>
    <t>WILKINS 330MLX12</t>
  </si>
  <si>
    <t>MISMO COKE ZERO</t>
  </si>
  <si>
    <t>1L COKE</t>
  </si>
  <si>
    <t>1L ROYAL</t>
  </si>
  <si>
    <t>1L SPRITE</t>
  </si>
  <si>
    <t>8881234567897</t>
  </si>
  <si>
    <t>4801981097876</t>
  </si>
  <si>
    <t>4801981098927</t>
  </si>
  <si>
    <t>COKE 1.5L - 3</t>
  </si>
  <si>
    <t>COKE IN CAN ORIGINAL FLAVOR 330ML - 2</t>
  </si>
  <si>
    <t>COKE IN CAN ZERO 320ML - 2</t>
  </si>
  <si>
    <t>COKE MISMO 290ML - 3</t>
  </si>
  <si>
    <t>COKE SWAKTO 190ML - 3</t>
  </si>
  <si>
    <t>COKE SWAKTO ZERO SUGAR 190ML</t>
  </si>
  <si>
    <t>COKE SWAKTO ZERO SUGAR 190ML - 2</t>
  </si>
  <si>
    <t>COKE ZERO MISMO 290ML - 2</t>
  </si>
  <si>
    <t>FREE - WILKINS 330MLX12</t>
  </si>
  <si>
    <t>NUTRI BOOST CHOCOLATE MILK 6X4 110ML - 2</t>
  </si>
  <si>
    <t>ROYAL 1.5L - 3</t>
  </si>
  <si>
    <t>ROYAL 1L</t>
  </si>
  <si>
    <t>ROYAL 237ML TALL</t>
  </si>
  <si>
    <t>ROYAL IN CAN 330ML - 2</t>
  </si>
  <si>
    <t>ROYAL LEMON 237ML - 2</t>
  </si>
  <si>
    <t>ROYAL MISMO 250ML - 3</t>
  </si>
  <si>
    <t>ROYAL SWAKTO 190ML - 3</t>
  </si>
  <si>
    <t>ROYAL TRU GRAPE MISMO 250ML</t>
  </si>
  <si>
    <t>ROYAL TRU LYCHEE MISMO 250ML</t>
  </si>
  <si>
    <t>SPRITE 1.5L</t>
  </si>
  <si>
    <t>SPRITE 1.5L - 3</t>
  </si>
  <si>
    <t>SPRITE 1L</t>
  </si>
  <si>
    <t>SPRITE 1L - 2</t>
  </si>
  <si>
    <t>SPRITE 237ML TALL</t>
  </si>
  <si>
    <t>SPRITE IN CAN 330ML - 2</t>
  </si>
  <si>
    <t>SPRITE MISMO 290ML - 3</t>
  </si>
  <si>
    <t>SPRITE SWAKTO 190ML - 3</t>
  </si>
  <si>
    <t>SRP</t>
  </si>
  <si>
    <t>ENDING INVENTORY-MANUAL</t>
  </si>
  <si>
    <t>TOTAL COST - MANUAL</t>
  </si>
  <si>
    <t>TOTAL COST - ACTUAL</t>
  </si>
  <si>
    <t>VARIANCE - QUANTITY     (ACTUAL VS. MANUAL)</t>
  </si>
  <si>
    <t>VARIANCE - COST     (ACTUAL VS. MANUAL)</t>
  </si>
  <si>
    <t>COOP</t>
  </si>
  <si>
    <t>MISMO ROYAL TRU GRAPE</t>
  </si>
  <si>
    <t>MISMO ROYAL TRU LYCHEE</t>
  </si>
  <si>
    <t>8881234567900</t>
  </si>
  <si>
    <t>888123456781415</t>
  </si>
  <si>
    <t>COKE 1L - 2</t>
  </si>
  <si>
    <t>ROYAL 750ML</t>
  </si>
  <si>
    <t>TOTAL COST - BEGINNING INVENTORY</t>
  </si>
  <si>
    <t>COKE 237ML - 2</t>
  </si>
  <si>
    <t>COKE 1.5L + 250ML FREE</t>
  </si>
  <si>
    <t>COKE IN CAN ZERO 320ML</t>
  </si>
  <si>
    <t>TOTAL COST - PURCHASES</t>
  </si>
  <si>
    <t>JULY 2026</t>
  </si>
  <si>
    <t>CONVIE</t>
  </si>
  <si>
    <t>1.5 COKE + 250ML</t>
  </si>
  <si>
    <t>AUGUST 2026</t>
  </si>
  <si>
    <t>AS OF AUGUST 2026</t>
  </si>
  <si>
    <t>TOTAL COST -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</si>
</sst>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9"/>
      <color theme="1"/>
      <name val="Calibri"/>
      <family val="2"/>
      <scheme val="minor"/>
    </font>
    <font>
      <sz val="11"/>
      <color indexed="8"/>
      <name val="Calibri"/>
      <family val="2"/>
      <scheme val="minor"/>
    </font>
    <font>
      <sz val="8"/>
      <color theme="1"/>
      <name val="Calibri"/>
      <family val="2"/>
      <scheme val="minor"/>
    </font>
    <font>
      <b/>
      <i/>
      <sz val="11"/>
      <color theme="1"/>
      <name val="Calibri"/>
      <family val="2"/>
      <scheme val="minor"/>
    </font>
    <font>
      <b/>
      <sz val="12"/>
      <color theme="1"/>
      <name val="Calibri"/>
      <family val="2"/>
      <scheme val="minor"/>
    </font>
    <font>
      <sz val="11"/>
      <color indexed="8"/>
      <name val="Calibri"/>
      <family val="2"/>
    </font>
    <font>
      <sz val="12"/>
      <color theme="1"/>
      <name val="Calibri"/>
      <family val="2"/>
      <scheme val="minor"/>
    </font>
    <font>
      <sz val="9"/>
      <name val="Tahoma"/>
      <family val="2"/>
    </font>
    <font>
      <b/>
      <sz val="9"/>
      <name val="Tahoma"/>
      <family val="2"/>
    </font>
    <font>
      <sz val="11"/>
      <color theme="1"/>
      <name val="Calibri"/>
      <family val="2"/>
      <scheme val="minor"/>
    </font>
    <font>
      <b/>
      <sz val="8"/>
      <color theme="1"/>
      <name val="Calibri"/>
      <family val="2"/>
      <scheme val="minor"/>
    </font>
    <font>
      <b/>
      <sz val="11"/>
      <color theme="1"/>
      <name val="Calibri"/>
      <family val="2"/>
      <scheme val="minor"/>
    </font>
    <font>
      <b/>
      <sz val="14"/>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0070C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CCFF9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s>
  <cellStyleXfs count="9">
    <xf numFmtId="0" fontId="0" fillId="0" borderId="0"/>
    <xf numFmtId="43" fontId="18"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0" fontId="3" fillId="0" borderId="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cellStyleXfs>
  <cellXfs count="160">
    <xf numFmtId="0" fontId="0" fillId="0" borderId="0" xfId="0"/>
    <xf numFmtId="0" fontId="0" fillId="0" borderId="0" xfId="0" applyAlignment="1">
      <alignment horizontal="center" vertical="center" wrapText="1"/>
    </xf>
    <xf numFmtId="0" fontId="0" fillId="0" borderId="0" xfId="0" applyAlignment="1">
      <alignment vertical="center"/>
    </xf>
    <xf numFmtId="0" fontId="9" fillId="2" borderId="1" xfId="0" applyFont="1" applyFill="1" applyBorder="1" applyAlignment="1">
      <alignment horizontal="center" vertical="center" wrapText="1"/>
    </xf>
    <xf numFmtId="0" fontId="12" fillId="0" borderId="0" xfId="0" applyFont="1"/>
    <xf numFmtId="2" fontId="12" fillId="0" borderId="0" xfId="0" applyNumberFormat="1" applyFont="1"/>
    <xf numFmtId="0" fontId="7" fillId="0" borderId="3" xfId="0" applyFont="1" applyBorder="1" applyAlignment="1">
      <alignment horizontal="center"/>
    </xf>
    <xf numFmtId="0" fontId="0" fillId="0" borderId="0" xfId="0" applyAlignment="1">
      <alignment horizontal="center"/>
    </xf>
    <xf numFmtId="2" fontId="0" fillId="0" borderId="0" xfId="0" applyNumberFormat="1"/>
    <xf numFmtId="43" fontId="0" fillId="0" borderId="0" xfId="1" applyFont="1"/>
    <xf numFmtId="41" fontId="0" fillId="0" borderId="0" xfId="0" applyNumberFormat="1" applyAlignment="1">
      <alignment horizontal="center"/>
    </xf>
    <xf numFmtId="0" fontId="7" fillId="0" borderId="0" xfId="0" applyFont="1"/>
    <xf numFmtId="0" fontId="8" fillId="0" borderId="0" xfId="0" applyFont="1"/>
    <xf numFmtId="43" fontId="9" fillId="2" borderId="1" xfId="1" applyFont="1" applyFill="1" applyBorder="1" applyAlignment="1">
      <alignment horizontal="center" vertical="center" wrapText="1"/>
    </xf>
    <xf numFmtId="164" fontId="0" fillId="3" borderId="1" xfId="1" applyNumberFormat="1" applyFont="1" applyFill="1" applyBorder="1" applyAlignment="1">
      <alignment horizontal="center" vertical="center"/>
    </xf>
    <xf numFmtId="43" fontId="0" fillId="3" borderId="1" xfId="1" applyFont="1" applyFill="1" applyBorder="1" applyAlignment="1">
      <alignment horizontal="center" vertical="center"/>
    </xf>
    <xf numFmtId="0" fontId="9" fillId="2" borderId="1" xfId="0" applyFont="1" applyFill="1" applyBorder="1" applyAlignment="1">
      <alignment horizontal="center"/>
    </xf>
    <xf numFmtId="0" fontId="0" fillId="0" borderId="0" xfId="0" applyAlignment="1">
      <alignment wrapText="1"/>
    </xf>
    <xf numFmtId="0" fontId="14"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43" fontId="14" fillId="3" borderId="1" xfId="1" applyFont="1" applyFill="1" applyBorder="1" applyAlignment="1">
      <alignment horizontal="right" vertical="center" wrapText="1"/>
    </xf>
    <xf numFmtId="0" fontId="0" fillId="2" borderId="1" xfId="0" applyFill="1" applyBorder="1"/>
    <xf numFmtId="164" fontId="0" fillId="2" borderId="1" xfId="1" applyNumberFormat="1" applyFont="1" applyFill="1" applyBorder="1"/>
    <xf numFmtId="43" fontId="0" fillId="2" borderId="1" xfId="1" applyFont="1" applyFill="1" applyBorder="1"/>
    <xf numFmtId="164" fontId="0" fillId="0" borderId="0" xfId="1" applyNumberFormat="1" applyFont="1" applyFill="1" applyBorder="1"/>
    <xf numFmtId="43" fontId="0" fillId="0" borderId="0" xfId="1" applyFont="1" applyFill="1" applyBorder="1"/>
    <xf numFmtId="164" fontId="0" fillId="0" borderId="0" xfId="1" applyNumberFormat="1" applyFont="1"/>
    <xf numFmtId="43" fontId="9" fillId="2" borderId="1" xfId="0" applyNumberFormat="1" applyFont="1" applyFill="1" applyBorder="1" applyAlignment="1">
      <alignment horizontal="center" vertical="center" wrapText="1"/>
    </xf>
    <xf numFmtId="164" fontId="9" fillId="2" borderId="1" xfId="1" applyNumberFormat="1" applyFont="1" applyFill="1" applyBorder="1" applyAlignment="1">
      <alignment horizontal="center" vertical="center" wrapText="1"/>
    </xf>
    <xf numFmtId="0" fontId="7" fillId="2" borderId="2" xfId="0" applyFont="1" applyFill="1" applyBorder="1"/>
    <xf numFmtId="164" fontId="0" fillId="2" borderId="2" xfId="1" applyNumberFormat="1" applyFont="1" applyFill="1" applyBorder="1"/>
    <xf numFmtId="164" fontId="12" fillId="0" borderId="0" xfId="1" applyNumberFormat="1" applyFont="1"/>
    <xf numFmtId="43" fontId="0" fillId="2" borderId="2" xfId="1" applyFont="1" applyFill="1" applyBorder="1"/>
    <xf numFmtId="0" fontId="0" fillId="2" borderId="2" xfId="0" applyFill="1" applyBorder="1"/>
    <xf numFmtId="43" fontId="0" fillId="0" borderId="0" xfId="0" applyNumberFormat="1" applyAlignment="1">
      <alignment horizontal="center"/>
    </xf>
    <xf numFmtId="0" fontId="0" fillId="3" borderId="1" xfId="0" applyFill="1" applyBorder="1" applyAlignment="1">
      <alignment horizontal="center" vertical="center" wrapText="1"/>
    </xf>
    <xf numFmtId="0" fontId="10" fillId="3" borderId="1" xfId="0" applyFont="1" applyFill="1" applyBorder="1" applyAlignment="1">
      <alignment vertical="center" wrapText="1"/>
    </xf>
    <xf numFmtId="43" fontId="0" fillId="3" borderId="1" xfId="1" applyFont="1" applyFill="1" applyBorder="1" applyAlignment="1">
      <alignment horizontal="center" vertical="center" wrapText="1"/>
    </xf>
    <xf numFmtId="0" fontId="9" fillId="2" borderId="1" xfId="0" applyFont="1" applyFill="1" applyBorder="1"/>
    <xf numFmtId="43" fontId="0" fillId="0" borderId="1" xfId="0" applyNumberFormat="1" applyBorder="1" applyAlignment="1">
      <alignment horizontal="center" vertical="center"/>
    </xf>
    <xf numFmtId="41" fontId="0" fillId="0" borderId="1" xfId="0" applyNumberFormat="1" applyBorder="1"/>
    <xf numFmtId="0" fontId="11" fillId="0" borderId="1" xfId="0" applyFont="1" applyBorder="1"/>
    <xf numFmtId="43" fontId="7" fillId="2" borderId="1" xfId="0" applyNumberFormat="1" applyFont="1" applyFill="1" applyBorder="1" applyAlignment="1">
      <alignment horizontal="center" vertical="center"/>
    </xf>
    <xf numFmtId="41" fontId="7" fillId="2" borderId="1" xfId="0" applyNumberFormat="1" applyFont="1" applyFill="1" applyBorder="1"/>
    <xf numFmtId="1" fontId="9" fillId="2" borderId="1" xfId="0" applyNumberFormat="1" applyFont="1" applyFill="1" applyBorder="1" applyAlignment="1">
      <alignment horizontal="center" vertical="center" wrapText="1"/>
    </xf>
    <xf numFmtId="164" fontId="0" fillId="3" borderId="1" xfId="1" applyNumberFormat="1" applyFont="1" applyFill="1" applyBorder="1" applyAlignment="1">
      <alignment horizontal="center" vertical="center" wrapText="1"/>
    </xf>
    <xf numFmtId="0" fontId="0" fillId="2" borderId="0" xfId="0" applyFill="1"/>
    <xf numFmtId="0" fontId="0" fillId="5" borderId="0" xfId="0" applyFill="1" applyAlignment="1">
      <alignment horizontal="center"/>
    </xf>
    <xf numFmtId="0" fontId="0" fillId="6" borderId="0" xfId="0" applyFill="1" applyAlignment="1">
      <alignment horizontal="center"/>
    </xf>
    <xf numFmtId="0" fontId="7" fillId="0" borderId="0" xfId="0" applyFont="1" applyAlignment="1">
      <alignment horizontal="center"/>
    </xf>
    <xf numFmtId="0" fontId="7" fillId="6" borderId="0" xfId="0" applyFont="1" applyFill="1" applyAlignment="1">
      <alignment horizontal="center"/>
    </xf>
    <xf numFmtId="0" fontId="0" fillId="9" borderId="1" xfId="0" applyFill="1" applyBorder="1" applyAlignment="1">
      <alignment horizontal="center"/>
    </xf>
    <xf numFmtId="0" fontId="0" fillId="7" borderId="1" xfId="0" applyFill="1" applyBorder="1" applyAlignment="1">
      <alignment horizontal="left"/>
    </xf>
    <xf numFmtId="41" fontId="0" fillId="0" borderId="1" xfId="0" applyNumberFormat="1" applyBorder="1" applyAlignment="1">
      <alignment horizontal="center"/>
    </xf>
    <xf numFmtId="41" fontId="0" fillId="6" borderId="1" xfId="0" applyNumberFormat="1" applyFill="1" applyBorder="1" applyAlignment="1">
      <alignment horizontal="center"/>
    </xf>
    <xf numFmtId="164" fontId="0" fillId="0" borderId="0" xfId="1" applyNumberFormat="1" applyFont="1" applyAlignment="1">
      <alignment horizontal="center"/>
    </xf>
    <xf numFmtId="0" fontId="8" fillId="0" borderId="0" xfId="0" applyFont="1" applyAlignment="1">
      <alignment vertical="center" wrapText="1"/>
    </xf>
    <xf numFmtId="0" fontId="8" fillId="0" borderId="0" xfId="0" applyFont="1" applyAlignment="1">
      <alignment horizontal="center" vertical="center" wrapText="1"/>
    </xf>
    <xf numFmtId="0" fontId="0" fillId="0" borderId="0" xfId="0" applyAlignment="1">
      <alignment horizontal="left"/>
    </xf>
    <xf numFmtId="2" fontId="9" fillId="2" borderId="1" xfId="0" applyNumberFormat="1" applyFont="1" applyFill="1" applyBorder="1" applyAlignment="1">
      <alignment horizontal="center" vertical="center" wrapText="1"/>
    </xf>
    <xf numFmtId="2" fontId="0" fillId="2" borderId="2" xfId="0" applyNumberFormat="1" applyFill="1" applyBorder="1"/>
    <xf numFmtId="164" fontId="0" fillId="2" borderId="2" xfId="1" applyNumberFormat="1" applyFont="1" applyFill="1" applyBorder="1" applyAlignment="1">
      <alignment horizontal="center"/>
    </xf>
    <xf numFmtId="0" fontId="15" fillId="0" borderId="0" xfId="0" applyFont="1" applyAlignment="1">
      <alignment vertical="center" wrapText="1"/>
    </xf>
    <xf numFmtId="0" fontId="15" fillId="0" borderId="0" xfId="0" applyFont="1" applyAlignment="1">
      <alignment horizontal="center" vertical="center" wrapText="1"/>
    </xf>
    <xf numFmtId="0" fontId="9" fillId="0" borderId="0" xfId="0" applyFont="1"/>
    <xf numFmtId="0" fontId="0" fillId="3" borderId="1" xfId="0" applyFill="1" applyBorder="1" applyAlignment="1">
      <alignment vertical="center" wrapText="1"/>
    </xf>
    <xf numFmtId="164" fontId="15" fillId="0" borderId="0" xfId="1" applyNumberFormat="1" applyFont="1" applyAlignment="1">
      <alignment vertical="center" wrapText="1"/>
    </xf>
    <xf numFmtId="43" fontId="15" fillId="0" borderId="0" xfId="1" applyFont="1" applyAlignment="1">
      <alignment vertical="center" wrapText="1"/>
    </xf>
    <xf numFmtId="43" fontId="0" fillId="0" borderId="0" xfId="1" applyFont="1" applyAlignment="1">
      <alignment horizontal="center"/>
    </xf>
    <xf numFmtId="43" fontId="14" fillId="3" borderId="1" xfId="1" applyFont="1" applyFill="1" applyBorder="1" applyAlignment="1">
      <alignment horizontal="right" vertical="center"/>
    </xf>
    <xf numFmtId="164" fontId="0" fillId="2" borderId="1" xfId="1" applyNumberFormat="1" applyFont="1" applyFill="1" applyBorder="1" applyAlignment="1"/>
    <xf numFmtId="43" fontId="0" fillId="2" borderId="1" xfId="1" applyFont="1" applyFill="1" applyBorder="1" applyAlignment="1"/>
    <xf numFmtId="0" fontId="19" fillId="2" borderId="1" xfId="0" applyFont="1" applyFill="1" applyBorder="1" applyAlignment="1">
      <alignment horizontal="center" vertical="center"/>
    </xf>
    <xf numFmtId="43" fontId="19" fillId="2" borderId="1" xfId="0" applyNumberFormat="1" applyFont="1" applyFill="1" applyBorder="1" applyAlignment="1">
      <alignment horizontal="center" vertical="center"/>
    </xf>
    <xf numFmtId="1" fontId="14" fillId="3" borderId="1" xfId="0" applyNumberFormat="1" applyFont="1" applyFill="1" applyBorder="1" applyAlignment="1">
      <alignment horizontal="center" vertical="center" wrapText="1"/>
    </xf>
    <xf numFmtId="43" fontId="19" fillId="2" borderId="1" xfId="1" applyFont="1" applyFill="1" applyBorder="1" applyAlignment="1">
      <alignment horizontal="center" vertical="center"/>
    </xf>
    <xf numFmtId="43" fontId="20" fillId="2" borderId="1" xfId="1" applyFont="1" applyFill="1" applyBorder="1"/>
    <xf numFmtId="0" fontId="9" fillId="0" borderId="0" xfId="0" applyFont="1" applyAlignment="1">
      <alignment horizontal="left"/>
    </xf>
    <xf numFmtId="43" fontId="20" fillId="0" borderId="0" xfId="1" applyFont="1" applyFill="1" applyBorder="1"/>
    <xf numFmtId="1" fontId="19" fillId="2" borderId="13" xfId="0" applyNumberFormat="1" applyFont="1" applyFill="1" applyBorder="1" applyAlignment="1">
      <alignment horizontal="center" vertical="center" wrapText="1"/>
    </xf>
    <xf numFmtId="0" fontId="19" fillId="2" borderId="13" xfId="0" applyFont="1" applyFill="1" applyBorder="1" applyAlignment="1">
      <alignment horizontal="center" vertical="center" wrapText="1"/>
    </xf>
    <xf numFmtId="43" fontId="19" fillId="2" borderId="13" xfId="0" applyNumberFormat="1" applyFont="1" applyFill="1" applyBorder="1" applyAlignment="1">
      <alignment horizontal="center" vertical="center" wrapText="1"/>
    </xf>
    <xf numFmtId="0" fontId="21" fillId="0" borderId="0" xfId="0" applyFont="1" applyAlignment="1">
      <alignment horizontal="center"/>
    </xf>
    <xf numFmtId="17" fontId="9" fillId="0" borderId="0" xfId="0" quotePrefix="1" applyNumberFormat="1" applyFont="1" applyAlignment="1">
      <alignment horizontal="left"/>
    </xf>
    <xf numFmtId="0" fontId="15" fillId="0" borderId="0" xfId="0" applyFont="1" applyAlignment="1">
      <alignment horizontal="left" vertical="center" wrapText="1"/>
    </xf>
    <xf numFmtId="43" fontId="14" fillId="3" borderId="1" xfId="1" applyFont="1" applyFill="1" applyBorder="1" applyAlignment="1">
      <alignment vertical="center"/>
    </xf>
    <xf numFmtId="164" fontId="14" fillId="4" borderId="1" xfId="1" applyNumberFormat="1" applyFont="1" applyFill="1" applyBorder="1" applyAlignment="1">
      <alignment horizontal="center" vertical="center" wrapText="1"/>
    </xf>
    <xf numFmtId="164" fontId="10" fillId="13" borderId="1" xfId="1" applyNumberFormat="1" applyFont="1" applyFill="1" applyBorder="1" applyAlignment="1">
      <alignment horizontal="center" vertical="center" wrapText="1"/>
    </xf>
    <xf numFmtId="43" fontId="0" fillId="3" borderId="1" xfId="1" applyFont="1" applyFill="1" applyBorder="1" applyAlignment="1"/>
    <xf numFmtId="0" fontId="4" fillId="3" borderId="1" xfId="0" applyFont="1" applyFill="1" applyBorder="1" applyAlignment="1">
      <alignment vertical="center" wrapText="1"/>
    </xf>
    <xf numFmtId="43" fontId="0" fillId="0" borderId="0" xfId="1" applyFont="1" applyAlignment="1">
      <alignment horizontal="center" vertical="center" wrapText="1"/>
    </xf>
    <xf numFmtId="43" fontId="0" fillId="14" borderId="0" xfId="1" applyFont="1" applyFill="1" applyAlignment="1">
      <alignment horizontal="center"/>
    </xf>
    <xf numFmtId="0" fontId="14" fillId="3" borderId="6" xfId="0" applyFont="1" applyFill="1" applyBorder="1" applyAlignment="1">
      <alignment horizontal="center" vertical="center" wrapText="1"/>
    </xf>
    <xf numFmtId="0" fontId="0" fillId="2" borderId="6" xfId="0" applyFill="1" applyBorder="1"/>
    <xf numFmtId="0" fontId="9" fillId="0" borderId="0" xfId="0" applyFont="1" applyAlignment="1">
      <alignment horizontal="center" vertical="center" wrapText="1"/>
    </xf>
    <xf numFmtId="43" fontId="0" fillId="0" borderId="0" xfId="0" applyNumberFormat="1"/>
    <xf numFmtId="43" fontId="0" fillId="0" borderId="0" xfId="7" applyFont="1"/>
    <xf numFmtId="164" fontId="0" fillId="0" borderId="1" xfId="7" applyNumberFormat="1" applyFont="1" applyFill="1" applyBorder="1" applyAlignment="1">
      <alignment horizontal="center"/>
    </xf>
    <xf numFmtId="164" fontId="0" fillId="10" borderId="1" xfId="7" applyNumberFormat="1" applyFont="1" applyFill="1" applyBorder="1" applyAlignment="1">
      <alignment horizontal="center"/>
    </xf>
    <xf numFmtId="164" fontId="0" fillId="11" borderId="1" xfId="7" applyNumberFormat="1" applyFont="1" applyFill="1" applyBorder="1" applyAlignment="1">
      <alignment horizontal="center"/>
    </xf>
    <xf numFmtId="164" fontId="0" fillId="0" borderId="1" xfId="7" applyNumberFormat="1" applyFont="1" applyBorder="1" applyAlignment="1">
      <alignment horizontal="center"/>
    </xf>
    <xf numFmtId="164" fontId="0" fillId="10" borderId="2" xfId="7" applyNumberFormat="1" applyFont="1" applyFill="1" applyBorder="1" applyAlignment="1">
      <alignment horizontal="center"/>
    </xf>
    <xf numFmtId="164" fontId="0" fillId="0" borderId="0" xfId="7" applyNumberFormat="1" applyFont="1" applyFill="1" applyBorder="1" applyAlignment="1">
      <alignment horizontal="center"/>
    </xf>
    <xf numFmtId="164" fontId="0" fillId="0" borderId="0" xfId="7" applyNumberFormat="1" applyFont="1" applyBorder="1" applyAlignment="1">
      <alignment horizontal="center"/>
    </xf>
    <xf numFmtId="164" fontId="0" fillId="0" borderId="0" xfId="7" applyNumberFormat="1" applyFont="1" applyAlignment="1">
      <alignment horizontal="center"/>
    </xf>
    <xf numFmtId="164" fontId="0" fillId="12" borderId="0" xfId="7" applyNumberFormat="1" applyFont="1" applyFill="1" applyAlignment="1">
      <alignment horizontal="center"/>
    </xf>
    <xf numFmtId="164" fontId="0" fillId="0" borderId="0" xfId="7" applyNumberFormat="1" applyFont="1" applyFill="1" applyAlignment="1">
      <alignment horizontal="center"/>
    </xf>
    <xf numFmtId="43" fontId="0" fillId="2" borderId="2" xfId="1" applyFont="1" applyFill="1" applyBorder="1" applyAlignment="1">
      <alignment horizontal="center"/>
    </xf>
    <xf numFmtId="43" fontId="15" fillId="0" borderId="0" xfId="1" applyFont="1" applyAlignment="1">
      <alignment horizontal="center" vertical="center" wrapText="1"/>
    </xf>
    <xf numFmtId="164" fontId="14" fillId="15" borderId="1" xfId="1" applyNumberFormat="1" applyFont="1" applyFill="1" applyBorder="1" applyAlignment="1">
      <alignment horizontal="center" vertical="center" wrapText="1"/>
    </xf>
    <xf numFmtId="164" fontId="14" fillId="16" borderId="1" xfId="1" applyNumberFormat="1" applyFont="1" applyFill="1" applyBorder="1" applyAlignment="1">
      <alignment horizontal="center" vertical="center" wrapText="1"/>
    </xf>
    <xf numFmtId="43" fontId="14" fillId="0" borderId="1" xfId="1" applyFont="1" applyFill="1" applyBorder="1" applyAlignment="1">
      <alignment horizontal="center" vertical="center" wrapText="1"/>
    </xf>
    <xf numFmtId="43" fontId="12" fillId="0" borderId="0" xfId="1" applyFont="1"/>
    <xf numFmtId="0" fontId="1" fillId="7" borderId="1" xfId="0" applyFont="1" applyFill="1" applyBorder="1" applyAlignment="1">
      <alignment horizontal="left"/>
    </xf>
    <xf numFmtId="164" fontId="0" fillId="17" borderId="1" xfId="1" applyNumberFormat="1" applyFont="1" applyFill="1" applyBorder="1" applyAlignment="1">
      <alignment horizontal="center" vertical="center" wrapText="1"/>
    </xf>
    <xf numFmtId="43" fontId="0" fillId="17" borderId="1" xfId="1" applyFont="1" applyFill="1" applyBorder="1" applyAlignment="1">
      <alignment horizontal="center" vertical="center" wrapText="1"/>
    </xf>
    <xf numFmtId="43" fontId="9" fillId="0" borderId="0" xfId="1" applyFont="1"/>
    <xf numFmtId="43" fontId="0" fillId="0" borderId="0" xfId="1" applyFont="1" applyAlignment="1">
      <alignment vertical="center"/>
    </xf>
    <xf numFmtId="0" fontId="8" fillId="0" borderId="0" xfId="0" applyFont="1" applyAlignment="1">
      <alignment horizontal="center" vertical="center"/>
    </xf>
    <xf numFmtId="0" fontId="11" fillId="0" borderId="5" xfId="0" applyFont="1" applyBorder="1" applyAlignment="1">
      <alignment horizontal="left"/>
    </xf>
    <xf numFmtId="0" fontId="11" fillId="0" borderId="6" xfId="0" applyFont="1" applyBorder="1" applyAlignment="1">
      <alignment horizontal="left"/>
    </xf>
    <xf numFmtId="0" fontId="7" fillId="0" borderId="3" xfId="0" applyFont="1" applyBorder="1" applyAlignment="1">
      <alignment horizontal="center"/>
    </xf>
    <xf numFmtId="0" fontId="0" fillId="0" borderId="4" xfId="0" applyBorder="1" applyAlignment="1">
      <alignment horizontal="center"/>
    </xf>
    <xf numFmtId="0" fontId="0" fillId="0" borderId="0" xfId="0" applyAlignment="1">
      <alignment horizontal="center"/>
    </xf>
    <xf numFmtId="0" fontId="9" fillId="4" borderId="1" xfId="0" applyFont="1" applyFill="1" applyBorder="1" applyAlignment="1">
      <alignment horizontal="center"/>
    </xf>
    <xf numFmtId="0" fontId="0" fillId="0" borderId="1" xfId="0" applyBorder="1" applyAlignment="1">
      <alignment horizontal="center" vertical="center"/>
    </xf>
    <xf numFmtId="0" fontId="15" fillId="0" borderId="0" xfId="0" applyFont="1" applyAlignment="1">
      <alignment horizontal="left" vertical="center" wrapText="1"/>
    </xf>
    <xf numFmtId="0" fontId="0" fillId="0" borderId="0" xfId="0" applyAlignment="1">
      <alignment horizontal="left"/>
    </xf>
    <xf numFmtId="43" fontId="0" fillId="0" borderId="9" xfId="7" applyFont="1" applyBorder="1" applyAlignment="1">
      <alignment horizontal="center" vertical="center"/>
    </xf>
    <xf numFmtId="43" fontId="0" fillId="0" borderId="0" xfId="7" applyFont="1" applyAlignment="1">
      <alignment horizontal="center" vertical="center" wrapText="1"/>
    </xf>
    <xf numFmtId="0" fontId="7" fillId="8" borderId="5" xfId="0" applyFont="1" applyFill="1" applyBorder="1" applyAlignment="1">
      <alignment horizontal="center"/>
    </xf>
    <xf numFmtId="0" fontId="7" fillId="8" borderId="7" xfId="0" applyFont="1" applyFill="1" applyBorder="1" applyAlignment="1">
      <alignment horizontal="center"/>
    </xf>
    <xf numFmtId="0" fontId="7" fillId="8" borderId="6" xfId="0" applyFont="1" applyFill="1" applyBorder="1" applyAlignment="1">
      <alignment horizontal="center"/>
    </xf>
    <xf numFmtId="0" fontId="7" fillId="8"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12" xfId="0" applyFont="1" applyFill="1" applyBorder="1" applyAlignment="1">
      <alignment horizontal="center" vertical="center" wrapText="1"/>
    </xf>
    <xf numFmtId="43" fontId="19" fillId="2" borderId="1" xfId="1" applyFont="1" applyFill="1" applyBorder="1" applyAlignment="1">
      <alignment horizontal="center" vertical="center" wrapText="1"/>
    </xf>
    <xf numFmtId="0" fontId="12" fillId="0" borderId="0" xfId="0" applyFont="1" applyAlignment="1">
      <alignment horizontal="left"/>
    </xf>
    <xf numFmtId="0" fontId="19" fillId="2" borderId="13" xfId="0" applyFont="1" applyFill="1" applyBorder="1" applyAlignment="1">
      <alignment horizontal="center" vertical="center" wrapText="1"/>
    </xf>
    <xf numFmtId="0" fontId="19" fillId="2" borderId="2" xfId="0" applyFont="1" applyFill="1" applyBorder="1" applyAlignment="1">
      <alignment horizontal="center" vertical="center" wrapText="1"/>
    </xf>
    <xf numFmtId="43" fontId="19" fillId="2" borderId="1" xfId="0" applyNumberFormat="1" applyFont="1" applyFill="1" applyBorder="1" applyAlignment="1">
      <alignment horizontal="center" vertical="center" wrapText="1"/>
    </xf>
    <xf numFmtId="1"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0" fontId="19" fillId="2" borderId="1" xfId="0" applyFont="1" applyFill="1" applyBorder="1" applyAlignment="1">
      <alignment horizontal="center" vertical="center" wrapText="1"/>
    </xf>
    <xf numFmtId="43" fontId="19" fillId="2" borderId="13" xfId="0" applyNumberFormat="1" applyFont="1" applyFill="1" applyBorder="1" applyAlignment="1">
      <alignment horizontal="center" vertical="center" wrapText="1"/>
    </xf>
    <xf numFmtId="43" fontId="19" fillId="2" borderId="2" xfId="0" applyNumberFormat="1" applyFont="1" applyFill="1" applyBorder="1" applyAlignment="1">
      <alignment horizontal="center" vertical="center" wrapText="1"/>
    </xf>
    <xf numFmtId="1" fontId="19" fillId="2" borderId="13" xfId="0" applyNumberFormat="1" applyFont="1" applyFill="1" applyBorder="1" applyAlignment="1">
      <alignment horizontal="center" vertical="center" wrapText="1"/>
    </xf>
    <xf numFmtId="1" fontId="19" fillId="2" borderId="2" xfId="0" applyNumberFormat="1" applyFont="1" applyFill="1" applyBorder="1" applyAlignment="1">
      <alignment horizontal="center" vertical="center" wrapText="1"/>
    </xf>
    <xf numFmtId="0" fontId="21" fillId="2" borderId="0" xfId="0" applyFont="1" applyFill="1" applyAlignment="1">
      <alignment horizontal="center"/>
    </xf>
    <xf numFmtId="1" fontId="19" fillId="2" borderId="11" xfId="0" applyNumberFormat="1" applyFont="1" applyFill="1" applyBorder="1" applyAlignment="1">
      <alignment horizontal="center" vertical="center"/>
    </xf>
    <xf numFmtId="1" fontId="19" fillId="2" borderId="12" xfId="0" applyNumberFormat="1" applyFont="1" applyFill="1" applyBorder="1" applyAlignment="1">
      <alignment horizontal="center" vertical="center"/>
    </xf>
    <xf numFmtId="0" fontId="19" fillId="2" borderId="13" xfId="0" applyFont="1" applyFill="1" applyBorder="1" applyAlignment="1">
      <alignment horizontal="center" vertical="center"/>
    </xf>
    <xf numFmtId="0" fontId="19" fillId="2" borderId="2" xfId="0" applyFont="1" applyFill="1" applyBorder="1" applyAlignment="1">
      <alignment horizontal="center" vertical="center"/>
    </xf>
  </cellXfs>
  <cellStyles count="9">
    <cellStyle name="Comma" xfId="1" builtinId="3"/>
    <cellStyle name="Comma 2" xfId="2" xr:uid="{5D2B6CBC-FF3B-4ABB-98A0-17508C781F70}"/>
    <cellStyle name="Comma 3" xfId="3" xr:uid="{DEC7EA3F-38C0-424E-9D93-5468E70CD097}"/>
    <cellStyle name="Comma 3 2" xfId="7" xr:uid="{AAB94F35-01A0-4CE0-8A79-136869243879}"/>
    <cellStyle name="Comma 4" xfId="5" xr:uid="{12120947-6CA9-4E7F-BBEC-89EA5A9F4B63}"/>
    <cellStyle name="Comma 5" xfId="6" xr:uid="{25DBEAB7-1FB4-4AD4-8BEF-EEB249BC91B5}"/>
    <cellStyle name="Normal" xfId="0" builtinId="0"/>
    <cellStyle name="Normal 2" xfId="4" xr:uid="{5E5A18C2-151C-4DD7-9B71-13FCCBB5BBA6}"/>
    <cellStyle name="Normal 3" xfId="8" xr:uid="{4D1B6D25-902A-44C4-AA92-374323F1F2F1}"/>
  </cellStyles>
  <dxfs count="0"/>
  <tableStyles count="0" defaultTableStyle="TableStyleMedium2" defaultPivotStyle="PivotStyleLight16"/>
  <colors>
    <mruColors>
      <color rgb="FFCCFF99"/>
      <color rgb="FFFF99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B1:X83"/>
  <sheetViews>
    <sheetView zoomScale="85" zoomScaleNormal="85" workbookViewId="0">
      <pane xSplit="7" ySplit="5" topLeftCell="I36" activePane="bottomRight" state="frozen"/>
      <selection pane="topRight" activeCell="H1" sqref="H1"/>
      <selection pane="bottomLeft" activeCell="A6" sqref="A6"/>
      <selection pane="bottomRight" activeCell="S56" sqref="S56"/>
    </sheetView>
  </sheetViews>
  <sheetFormatPr defaultColWidth="9" defaultRowHeight="15"/>
  <cols>
    <col min="3" max="3" width="20.5703125" customWidth="1"/>
    <col min="4" max="4" width="17" bestFit="1" customWidth="1"/>
    <col min="5" max="5" width="41.85546875" bestFit="1" customWidth="1"/>
    <col min="6" max="7" width="7.42578125" style="8" customWidth="1"/>
    <col min="8" max="8" width="12.5703125" style="55" bestFit="1" customWidth="1"/>
    <col min="9" max="9" width="7.7109375" style="68" customWidth="1"/>
    <col min="10" max="10" width="18.7109375" style="68" customWidth="1"/>
    <col min="11" max="11" width="14" style="55" customWidth="1"/>
    <col min="12" max="12" width="15.140625" style="68" customWidth="1"/>
    <col min="13" max="13" width="10.42578125" style="55" customWidth="1"/>
    <col min="14" max="14" width="15.28515625" style="68" customWidth="1"/>
    <col min="15" max="15" width="10.42578125" style="55" customWidth="1"/>
    <col min="16" max="16" width="12.7109375" style="55" customWidth="1"/>
    <col min="17" max="17" width="12.42578125" style="26" customWidth="1"/>
    <col min="18" max="19" width="14.140625" style="9" customWidth="1"/>
    <col min="20" max="20" width="23.42578125" style="26" customWidth="1"/>
    <col min="21" max="21" width="23.42578125" style="9" customWidth="1"/>
    <col min="22" max="22" width="17.85546875" bestFit="1" customWidth="1"/>
    <col min="23" max="23" width="13.42578125" style="9" customWidth="1"/>
    <col min="24" max="24" width="13.5703125" style="9" customWidth="1"/>
  </cols>
  <sheetData>
    <row r="1" spans="2:24">
      <c r="B1" s="11" t="s">
        <v>0</v>
      </c>
    </row>
    <row r="2" spans="2:24">
      <c r="B2" s="11" t="s">
        <v>215</v>
      </c>
    </row>
    <row r="3" spans="2:24">
      <c r="B3" s="12" t="s">
        <v>29</v>
      </c>
    </row>
    <row r="5" spans="2:24" s="1" customFormat="1" ht="37.5" customHeight="1">
      <c r="B5" s="3" t="s">
        <v>1</v>
      </c>
      <c r="C5" s="3" t="s">
        <v>2</v>
      </c>
      <c r="D5" s="3" t="s">
        <v>3</v>
      </c>
      <c r="E5" s="3" t="s">
        <v>4</v>
      </c>
      <c r="F5" s="59" t="s">
        <v>5</v>
      </c>
      <c r="G5" s="59" t="s">
        <v>193</v>
      </c>
      <c r="H5" s="28" t="s">
        <v>30</v>
      </c>
      <c r="I5" s="13" t="s">
        <v>5</v>
      </c>
      <c r="J5" s="13" t="s">
        <v>206</v>
      </c>
      <c r="K5" s="28" t="s">
        <v>31</v>
      </c>
      <c r="L5" s="13" t="s">
        <v>210</v>
      </c>
      <c r="M5" s="28" t="s">
        <v>32</v>
      </c>
      <c r="N5" s="13" t="s">
        <v>216</v>
      </c>
      <c r="O5" s="28" t="s">
        <v>27</v>
      </c>
      <c r="P5" s="28" t="s">
        <v>194</v>
      </c>
      <c r="Q5" s="28" t="s">
        <v>6</v>
      </c>
      <c r="R5" s="13" t="s">
        <v>195</v>
      </c>
      <c r="S5" s="13" t="s">
        <v>196</v>
      </c>
      <c r="T5" s="28" t="s">
        <v>197</v>
      </c>
      <c r="U5" s="13" t="s">
        <v>198</v>
      </c>
      <c r="V5" s="3" t="s">
        <v>9</v>
      </c>
      <c r="W5" s="90" t="s">
        <v>28</v>
      </c>
      <c r="X5" s="90" t="s">
        <v>26</v>
      </c>
    </row>
    <row r="6" spans="2:24" ht="18" customHeight="1">
      <c r="B6" s="35">
        <v>24</v>
      </c>
      <c r="C6" s="36" t="s">
        <v>33</v>
      </c>
      <c r="D6" s="18" t="s">
        <v>131</v>
      </c>
      <c r="E6" s="19" t="s">
        <v>166</v>
      </c>
      <c r="F6" s="85">
        <v>59.17</v>
      </c>
      <c r="G6" s="85">
        <v>61</v>
      </c>
      <c r="H6" s="109">
        <v>134</v>
      </c>
      <c r="I6" s="85">
        <v>59.17</v>
      </c>
      <c r="J6" s="111">
        <f>H6*I6</f>
        <v>7928.7800000000007</v>
      </c>
      <c r="K6" s="110"/>
      <c r="L6" s="111">
        <f>F6*K6</f>
        <v>0</v>
      </c>
      <c r="M6" s="110">
        <v>40</v>
      </c>
      <c r="N6" s="111">
        <f>M6*F6</f>
        <v>2366.8000000000002</v>
      </c>
      <c r="O6" s="110"/>
      <c r="P6" s="86">
        <f t="shared" ref="P6:P37" si="0">H6+K6-M6-O6</f>
        <v>94</v>
      </c>
      <c r="Q6" s="87">
        <v>94</v>
      </c>
      <c r="R6" s="37">
        <f>P6*I6</f>
        <v>5561.9800000000005</v>
      </c>
      <c r="S6" s="37">
        <f>Q6*I6</f>
        <v>5561.9800000000005</v>
      </c>
      <c r="T6" s="114">
        <f t="shared" ref="T6:T41" si="1">P6-Q6</f>
        <v>0</v>
      </c>
      <c r="U6" s="115">
        <f t="shared" ref="U6:U41" si="2">R6-S6</f>
        <v>0</v>
      </c>
      <c r="V6" s="89"/>
      <c r="W6" s="68"/>
      <c r="X6" s="68"/>
    </row>
    <row r="7" spans="2:24" ht="18" customHeight="1">
      <c r="B7" s="35">
        <v>24</v>
      </c>
      <c r="C7" s="36" t="s">
        <v>33</v>
      </c>
      <c r="D7" s="74">
        <v>8881234567851</v>
      </c>
      <c r="E7" s="19" t="s">
        <v>208</v>
      </c>
      <c r="F7" s="85">
        <v>60.17</v>
      </c>
      <c r="G7" s="85">
        <v>61</v>
      </c>
      <c r="H7" s="109">
        <v>3504</v>
      </c>
      <c r="I7" s="85">
        <v>60.1666666666666</v>
      </c>
      <c r="J7" s="111">
        <f t="shared" ref="J7:J55" si="3">H7*I7</f>
        <v>210823.99999999977</v>
      </c>
      <c r="K7" s="110"/>
      <c r="L7" s="111">
        <f>F7*K7</f>
        <v>0</v>
      </c>
      <c r="M7" s="110">
        <v>2181</v>
      </c>
      <c r="N7" s="111">
        <f t="shared" ref="N7:N55" si="4">M7*F7</f>
        <v>131230.76999999999</v>
      </c>
      <c r="O7" s="110"/>
      <c r="P7" s="86">
        <f t="shared" si="0"/>
        <v>1323</v>
      </c>
      <c r="Q7" s="87">
        <v>1323</v>
      </c>
      <c r="R7" s="37">
        <f>P7*I7</f>
        <v>79600.499999999913</v>
      </c>
      <c r="S7" s="37">
        <f t="shared" ref="S7:S55" si="5">Q7*I7</f>
        <v>79600.499999999913</v>
      </c>
      <c r="T7" s="114">
        <f t="shared" ref="T7" si="6">P7-Q7</f>
        <v>0</v>
      </c>
      <c r="U7" s="115">
        <f t="shared" ref="U7" si="7">R7-S7</f>
        <v>0</v>
      </c>
      <c r="V7" s="89"/>
      <c r="W7" s="68"/>
      <c r="X7" s="68"/>
    </row>
    <row r="8" spans="2:24" ht="18" customHeight="1">
      <c r="B8" s="35">
        <v>24</v>
      </c>
      <c r="C8" s="36" t="s">
        <v>33</v>
      </c>
      <c r="D8" s="18" t="s">
        <v>202</v>
      </c>
      <c r="E8" s="19" t="s">
        <v>204</v>
      </c>
      <c r="F8" s="85">
        <v>36.5</v>
      </c>
      <c r="G8" s="85">
        <v>37.33</v>
      </c>
      <c r="H8" s="109">
        <v>72</v>
      </c>
      <c r="I8" s="85">
        <v>36.5</v>
      </c>
      <c r="J8" s="111">
        <f t="shared" si="3"/>
        <v>2628</v>
      </c>
      <c r="K8" s="110"/>
      <c r="L8" s="111">
        <f>F8*K8</f>
        <v>0</v>
      </c>
      <c r="M8" s="110">
        <v>59</v>
      </c>
      <c r="N8" s="111">
        <f t="shared" si="4"/>
        <v>2153.5</v>
      </c>
      <c r="O8" s="110"/>
      <c r="P8" s="86">
        <f t="shared" si="0"/>
        <v>13</v>
      </c>
      <c r="Q8" s="87">
        <v>1</v>
      </c>
      <c r="R8" s="37">
        <f t="shared" ref="R8:R55" si="8">P8*I8</f>
        <v>474.5</v>
      </c>
      <c r="S8" s="37">
        <f t="shared" si="5"/>
        <v>36.5</v>
      </c>
      <c r="T8" s="114">
        <f t="shared" si="1"/>
        <v>12</v>
      </c>
      <c r="U8" s="115">
        <f t="shared" si="2"/>
        <v>438</v>
      </c>
      <c r="V8" s="65"/>
      <c r="W8" s="34"/>
      <c r="X8" s="68"/>
    </row>
    <row r="9" spans="2:24" ht="18" customHeight="1">
      <c r="B9" s="35">
        <v>24</v>
      </c>
      <c r="C9" s="36" t="s">
        <v>33</v>
      </c>
      <c r="D9" s="18" t="s">
        <v>36</v>
      </c>
      <c r="E9" s="19" t="s">
        <v>37</v>
      </c>
      <c r="F9" s="88">
        <v>7.67</v>
      </c>
      <c r="G9" s="88">
        <v>8.17</v>
      </c>
      <c r="H9" s="109">
        <v>12116</v>
      </c>
      <c r="I9" s="88">
        <v>7.67</v>
      </c>
      <c r="J9" s="111">
        <f t="shared" si="3"/>
        <v>92929.72</v>
      </c>
      <c r="K9" s="110"/>
      <c r="L9" s="111">
        <f>F9*K9</f>
        <v>0</v>
      </c>
      <c r="M9" s="110">
        <v>10854</v>
      </c>
      <c r="N9" s="111">
        <f t="shared" si="4"/>
        <v>83250.179999999993</v>
      </c>
      <c r="O9" s="110"/>
      <c r="P9" s="86">
        <f t="shared" si="0"/>
        <v>1262</v>
      </c>
      <c r="Q9" s="87">
        <v>1262</v>
      </c>
      <c r="R9" s="37">
        <f t="shared" si="8"/>
        <v>9679.5399999999991</v>
      </c>
      <c r="S9" s="37">
        <f t="shared" si="5"/>
        <v>9679.5399999999991</v>
      </c>
      <c r="T9" s="114">
        <f t="shared" si="1"/>
        <v>0</v>
      </c>
      <c r="U9" s="115">
        <f t="shared" si="2"/>
        <v>0</v>
      </c>
      <c r="V9" s="65"/>
      <c r="W9" s="34"/>
      <c r="X9" s="68"/>
    </row>
    <row r="10" spans="2:24" ht="18" customHeight="1">
      <c r="B10" s="35">
        <v>24</v>
      </c>
      <c r="C10" s="36" t="s">
        <v>33</v>
      </c>
      <c r="D10" s="74">
        <v>8881234567837</v>
      </c>
      <c r="E10" s="19" t="s">
        <v>207</v>
      </c>
      <c r="F10" s="88">
        <v>8.0399999999999991</v>
      </c>
      <c r="G10" s="88">
        <v>8.5399999999999991</v>
      </c>
      <c r="H10" s="109">
        <v>30864</v>
      </c>
      <c r="I10" s="88">
        <v>8.0416666666666607</v>
      </c>
      <c r="J10" s="111">
        <f t="shared" si="3"/>
        <v>248197.99999999983</v>
      </c>
      <c r="K10" s="110"/>
      <c r="L10" s="111">
        <f t="shared" ref="L10" si="9">F10*K10</f>
        <v>0</v>
      </c>
      <c r="M10" s="110">
        <v>1995</v>
      </c>
      <c r="N10" s="111">
        <f t="shared" si="4"/>
        <v>16039.799999999997</v>
      </c>
      <c r="O10" s="110"/>
      <c r="P10" s="86">
        <f t="shared" si="0"/>
        <v>28869</v>
      </c>
      <c r="Q10" s="87">
        <f>28298+576</f>
        <v>28874</v>
      </c>
      <c r="R10" s="37">
        <f t="shared" si="8"/>
        <v>232154.87499999983</v>
      </c>
      <c r="S10" s="37">
        <f t="shared" si="5"/>
        <v>232195.08333333317</v>
      </c>
      <c r="T10" s="114">
        <f t="shared" ref="T10" si="10">P10-Q10</f>
        <v>-5</v>
      </c>
      <c r="U10" s="115">
        <f t="shared" ref="U10" si="11">R10-S10</f>
        <v>-40.208333333343035</v>
      </c>
      <c r="V10" s="65"/>
      <c r="W10" s="34"/>
      <c r="X10" s="68"/>
    </row>
    <row r="11" spans="2:24" ht="18" customHeight="1">
      <c r="B11" s="35">
        <v>24</v>
      </c>
      <c r="C11" s="36" t="s">
        <v>33</v>
      </c>
      <c r="D11" s="18" t="s">
        <v>134</v>
      </c>
      <c r="E11" s="19" t="s">
        <v>167</v>
      </c>
      <c r="F11" s="88">
        <v>31.25</v>
      </c>
      <c r="G11" s="88">
        <v>32.75</v>
      </c>
      <c r="H11" s="109">
        <v>48</v>
      </c>
      <c r="I11" s="88">
        <v>31.25</v>
      </c>
      <c r="J11" s="111">
        <f t="shared" si="3"/>
        <v>1500</v>
      </c>
      <c r="K11" s="110"/>
      <c r="L11" s="111">
        <f>F11*K11</f>
        <v>0</v>
      </c>
      <c r="M11" s="110">
        <v>6</v>
      </c>
      <c r="N11" s="111">
        <f t="shared" si="4"/>
        <v>187.5</v>
      </c>
      <c r="O11" s="110"/>
      <c r="P11" s="86">
        <f t="shared" si="0"/>
        <v>42</v>
      </c>
      <c r="Q11" s="87">
        <v>48</v>
      </c>
      <c r="R11" s="37">
        <f t="shared" si="8"/>
        <v>1312.5</v>
      </c>
      <c r="S11" s="37">
        <f t="shared" si="5"/>
        <v>1500</v>
      </c>
      <c r="T11" s="114">
        <f t="shared" si="1"/>
        <v>-6</v>
      </c>
      <c r="U11" s="115">
        <f t="shared" si="2"/>
        <v>-187.5</v>
      </c>
      <c r="V11" s="65"/>
      <c r="W11" s="34"/>
      <c r="X11" s="68"/>
    </row>
    <row r="12" spans="2:24" ht="18" customHeight="1">
      <c r="B12" s="35">
        <v>24</v>
      </c>
      <c r="C12" s="36" t="s">
        <v>33</v>
      </c>
      <c r="D12" s="74">
        <v>4801981025640</v>
      </c>
      <c r="E12" s="19" t="s">
        <v>209</v>
      </c>
      <c r="F12" s="88">
        <v>32</v>
      </c>
      <c r="G12" s="88">
        <v>32.75</v>
      </c>
      <c r="H12" s="109">
        <v>240</v>
      </c>
      <c r="I12" s="88">
        <v>32</v>
      </c>
      <c r="J12" s="111">
        <f t="shared" si="3"/>
        <v>7680</v>
      </c>
      <c r="K12" s="110"/>
      <c r="L12" s="111">
        <f t="shared" ref="L12" si="12">F12*K12</f>
        <v>0</v>
      </c>
      <c r="M12" s="110"/>
      <c r="N12" s="111">
        <f t="shared" si="4"/>
        <v>0</v>
      </c>
      <c r="O12" s="110"/>
      <c r="P12" s="86">
        <f t="shared" si="0"/>
        <v>240</v>
      </c>
      <c r="Q12" s="87">
        <v>240</v>
      </c>
      <c r="R12" s="37">
        <f t="shared" si="8"/>
        <v>7680</v>
      </c>
      <c r="S12" s="37">
        <f t="shared" si="5"/>
        <v>7680</v>
      </c>
      <c r="T12" s="114">
        <f t="shared" ref="T12" si="13">P12-Q12</f>
        <v>0</v>
      </c>
      <c r="U12" s="115">
        <f t="shared" ref="U12" si="14">R12-S12</f>
        <v>0</v>
      </c>
      <c r="V12" s="65"/>
      <c r="W12" s="34"/>
      <c r="X12" s="68"/>
    </row>
    <row r="13" spans="2:24" ht="18" customHeight="1">
      <c r="B13" s="35">
        <v>24</v>
      </c>
      <c r="C13" s="36" t="s">
        <v>33</v>
      </c>
      <c r="D13" s="74" t="s">
        <v>135</v>
      </c>
      <c r="E13" s="19" t="s">
        <v>168</v>
      </c>
      <c r="F13" s="88">
        <v>31.25</v>
      </c>
      <c r="G13" s="88">
        <v>32.75</v>
      </c>
      <c r="H13" s="109">
        <v>312</v>
      </c>
      <c r="I13" s="88">
        <v>31.25</v>
      </c>
      <c r="J13" s="111">
        <f t="shared" si="3"/>
        <v>9750</v>
      </c>
      <c r="K13" s="110"/>
      <c r="L13" s="111">
        <f t="shared" ref="L13:L29" si="15">F13*K13</f>
        <v>0</v>
      </c>
      <c r="M13" s="110"/>
      <c r="N13" s="111">
        <f t="shared" si="4"/>
        <v>0</v>
      </c>
      <c r="O13" s="110"/>
      <c r="P13" s="86">
        <f t="shared" si="0"/>
        <v>312</v>
      </c>
      <c r="Q13" s="87">
        <v>298</v>
      </c>
      <c r="R13" s="37">
        <f t="shared" si="8"/>
        <v>9750</v>
      </c>
      <c r="S13" s="37">
        <f t="shared" si="5"/>
        <v>9312.5</v>
      </c>
      <c r="T13" s="114">
        <f t="shared" si="1"/>
        <v>14</v>
      </c>
      <c r="U13" s="115">
        <f t="shared" si="2"/>
        <v>437.5</v>
      </c>
      <c r="V13" s="89"/>
      <c r="W13" s="68"/>
      <c r="X13" s="68"/>
    </row>
    <row r="14" spans="2:24" ht="18" customHeight="1">
      <c r="B14" s="35">
        <v>24</v>
      </c>
      <c r="C14" s="36" t="s">
        <v>33</v>
      </c>
      <c r="D14" s="18" t="s">
        <v>40</v>
      </c>
      <c r="E14" s="19" t="s">
        <v>41</v>
      </c>
      <c r="F14" s="85">
        <v>22.33</v>
      </c>
      <c r="G14" s="85">
        <v>23.58</v>
      </c>
      <c r="H14" s="109">
        <v>11947</v>
      </c>
      <c r="I14" s="85">
        <v>22.3333333333333</v>
      </c>
      <c r="J14" s="111">
        <f t="shared" si="3"/>
        <v>266816.33333333296</v>
      </c>
      <c r="K14" s="110"/>
      <c r="L14" s="111">
        <f t="shared" si="15"/>
        <v>0</v>
      </c>
      <c r="M14" s="110">
        <v>6876</v>
      </c>
      <c r="N14" s="111">
        <f t="shared" si="4"/>
        <v>153541.07999999999</v>
      </c>
      <c r="O14" s="110"/>
      <c r="P14" s="86">
        <f t="shared" si="0"/>
        <v>5071</v>
      </c>
      <c r="Q14" s="87">
        <v>5045</v>
      </c>
      <c r="R14" s="37">
        <f t="shared" si="8"/>
        <v>113252.33333333317</v>
      </c>
      <c r="S14" s="37">
        <f t="shared" si="5"/>
        <v>112671.6666666665</v>
      </c>
      <c r="T14" s="114">
        <f t="shared" si="1"/>
        <v>26</v>
      </c>
      <c r="U14" s="115">
        <f t="shared" si="2"/>
        <v>580.66666666667152</v>
      </c>
      <c r="V14" s="65"/>
      <c r="W14" s="34"/>
      <c r="X14" s="68"/>
    </row>
    <row r="15" spans="2:24" ht="18" customHeight="1">
      <c r="B15" s="35">
        <v>24</v>
      </c>
      <c r="C15" s="36" t="s">
        <v>33</v>
      </c>
      <c r="D15" s="18" t="s">
        <v>136</v>
      </c>
      <c r="E15" s="19" t="s">
        <v>169</v>
      </c>
      <c r="F15" s="85">
        <v>15.92</v>
      </c>
      <c r="G15" s="85">
        <v>16.329999999999998</v>
      </c>
      <c r="H15" s="109">
        <v>18660</v>
      </c>
      <c r="I15" s="85">
        <v>15.9166666666666</v>
      </c>
      <c r="J15" s="111">
        <f t="shared" si="3"/>
        <v>297004.99999999878</v>
      </c>
      <c r="K15" s="110"/>
      <c r="L15" s="111">
        <f t="shared" si="15"/>
        <v>0</v>
      </c>
      <c r="M15" s="110">
        <v>7077</v>
      </c>
      <c r="N15" s="111">
        <f t="shared" si="4"/>
        <v>112665.84</v>
      </c>
      <c r="O15" s="110"/>
      <c r="P15" s="86">
        <f t="shared" si="0"/>
        <v>11583</v>
      </c>
      <c r="Q15" s="87">
        <v>11590</v>
      </c>
      <c r="R15" s="37">
        <f t="shared" si="8"/>
        <v>184362.74999999924</v>
      </c>
      <c r="S15" s="37">
        <f t="shared" si="5"/>
        <v>184474.1666666659</v>
      </c>
      <c r="T15" s="114">
        <f t="shared" si="1"/>
        <v>-7</v>
      </c>
      <c r="U15" s="115">
        <f t="shared" si="2"/>
        <v>-111.41666666665697</v>
      </c>
      <c r="V15" s="65"/>
      <c r="W15" s="68"/>
      <c r="X15" s="68"/>
    </row>
    <row r="16" spans="2:24" ht="18" customHeight="1">
      <c r="B16" s="35">
        <v>24</v>
      </c>
      <c r="C16" s="36" t="s">
        <v>33</v>
      </c>
      <c r="D16" s="18" t="s">
        <v>137</v>
      </c>
      <c r="E16" s="19" t="s">
        <v>170</v>
      </c>
      <c r="F16" s="85">
        <v>11.58</v>
      </c>
      <c r="G16" s="85">
        <v>12</v>
      </c>
      <c r="H16" s="109">
        <v>10547</v>
      </c>
      <c r="I16" s="85">
        <v>11.58333333</v>
      </c>
      <c r="J16" s="111">
        <f t="shared" si="3"/>
        <v>122169.41663151</v>
      </c>
      <c r="K16" s="110"/>
      <c r="L16" s="111">
        <f t="shared" si="15"/>
        <v>0</v>
      </c>
      <c r="M16" s="110">
        <v>1917</v>
      </c>
      <c r="N16" s="111">
        <f t="shared" si="4"/>
        <v>22198.86</v>
      </c>
      <c r="O16" s="110"/>
      <c r="P16" s="86">
        <f t="shared" si="0"/>
        <v>8630</v>
      </c>
      <c r="Q16" s="87">
        <v>8678</v>
      </c>
      <c r="R16" s="37">
        <f t="shared" si="8"/>
        <v>99964.166637900009</v>
      </c>
      <c r="S16" s="37">
        <f t="shared" si="5"/>
        <v>100520.16663774</v>
      </c>
      <c r="T16" s="114">
        <f t="shared" si="1"/>
        <v>-48</v>
      </c>
      <c r="U16" s="115">
        <f t="shared" si="2"/>
        <v>-555.99999983998714</v>
      </c>
      <c r="V16" s="65"/>
      <c r="W16" s="34"/>
      <c r="X16" s="68"/>
    </row>
    <row r="17" spans="2:24" ht="18" customHeight="1">
      <c r="B17" s="35">
        <v>24</v>
      </c>
      <c r="C17" s="36" t="s">
        <v>33</v>
      </c>
      <c r="D17" s="74" t="s">
        <v>44</v>
      </c>
      <c r="E17" s="19" t="s">
        <v>171</v>
      </c>
      <c r="F17" s="85">
        <v>11.58</v>
      </c>
      <c r="G17" s="85">
        <v>12</v>
      </c>
      <c r="H17" s="109">
        <v>72</v>
      </c>
      <c r="I17" s="85">
        <v>11.58</v>
      </c>
      <c r="J17" s="111">
        <f t="shared" si="3"/>
        <v>833.76</v>
      </c>
      <c r="K17" s="110"/>
      <c r="L17" s="111">
        <f t="shared" si="15"/>
        <v>0</v>
      </c>
      <c r="M17" s="110"/>
      <c r="N17" s="111">
        <f t="shared" si="4"/>
        <v>0</v>
      </c>
      <c r="O17" s="110"/>
      <c r="P17" s="86">
        <f t="shared" si="0"/>
        <v>72</v>
      </c>
      <c r="Q17" s="87">
        <v>72</v>
      </c>
      <c r="R17" s="37">
        <f t="shared" si="8"/>
        <v>833.76</v>
      </c>
      <c r="S17" s="37">
        <f t="shared" si="5"/>
        <v>833.76</v>
      </c>
      <c r="T17" s="114">
        <f t="shared" si="1"/>
        <v>0</v>
      </c>
      <c r="U17" s="115">
        <f>R17-S17</f>
        <v>0</v>
      </c>
      <c r="V17" s="89"/>
      <c r="W17" s="68"/>
      <c r="X17" s="68"/>
    </row>
    <row r="18" spans="2:24" ht="18" customHeight="1">
      <c r="B18" s="35">
        <v>24</v>
      </c>
      <c r="C18" s="36" t="s">
        <v>33</v>
      </c>
      <c r="D18" s="18" t="s">
        <v>138</v>
      </c>
      <c r="E18" s="19" t="s">
        <v>172</v>
      </c>
      <c r="F18" s="85">
        <v>11.5</v>
      </c>
      <c r="G18" s="85">
        <v>12</v>
      </c>
      <c r="H18" s="109">
        <v>408</v>
      </c>
      <c r="I18" s="85">
        <v>11.5</v>
      </c>
      <c r="J18" s="111">
        <f t="shared" si="3"/>
        <v>4692</v>
      </c>
      <c r="K18" s="110"/>
      <c r="L18" s="111">
        <f t="shared" si="15"/>
        <v>0</v>
      </c>
      <c r="M18" s="110"/>
      <c r="N18" s="111">
        <f t="shared" si="4"/>
        <v>0</v>
      </c>
      <c r="O18" s="110"/>
      <c r="P18" s="86">
        <f t="shared" si="0"/>
        <v>408</v>
      </c>
      <c r="Q18" s="87">
        <v>408</v>
      </c>
      <c r="R18" s="37">
        <f t="shared" si="8"/>
        <v>4692</v>
      </c>
      <c r="S18" s="37">
        <f t="shared" si="5"/>
        <v>4692</v>
      </c>
      <c r="T18" s="114">
        <f t="shared" si="1"/>
        <v>0</v>
      </c>
      <c r="U18" s="115">
        <f t="shared" si="2"/>
        <v>0</v>
      </c>
      <c r="V18" s="65"/>
      <c r="W18" s="34"/>
      <c r="X18" s="68"/>
    </row>
    <row r="19" spans="2:24" ht="18" customHeight="1">
      <c r="B19" s="35">
        <v>24</v>
      </c>
      <c r="C19" s="36" t="s">
        <v>33</v>
      </c>
      <c r="D19" s="18" t="s">
        <v>163</v>
      </c>
      <c r="E19" s="19" t="s">
        <v>173</v>
      </c>
      <c r="F19" s="85">
        <v>15.92</v>
      </c>
      <c r="G19" s="85">
        <v>16.329999999999998</v>
      </c>
      <c r="H19" s="109">
        <v>308</v>
      </c>
      <c r="I19" s="85">
        <v>15.92</v>
      </c>
      <c r="J19" s="111">
        <f t="shared" si="3"/>
        <v>4903.3599999999997</v>
      </c>
      <c r="K19" s="110"/>
      <c r="L19" s="111">
        <f t="shared" si="15"/>
        <v>0</v>
      </c>
      <c r="M19" s="110">
        <v>4</v>
      </c>
      <c r="N19" s="111">
        <f t="shared" si="4"/>
        <v>63.68</v>
      </c>
      <c r="O19" s="110"/>
      <c r="P19" s="86">
        <f t="shared" si="0"/>
        <v>304</v>
      </c>
      <c r="Q19" s="87">
        <v>290</v>
      </c>
      <c r="R19" s="37">
        <f t="shared" si="8"/>
        <v>4839.68</v>
      </c>
      <c r="S19" s="37">
        <f t="shared" si="5"/>
        <v>4616.8</v>
      </c>
      <c r="T19" s="114">
        <f t="shared" si="1"/>
        <v>14</v>
      </c>
      <c r="U19" s="115">
        <f t="shared" si="2"/>
        <v>222.88000000000011</v>
      </c>
      <c r="V19" s="65"/>
      <c r="W19" s="34"/>
      <c r="X19" s="68"/>
    </row>
    <row r="20" spans="2:24">
      <c r="B20" s="35">
        <v>24</v>
      </c>
      <c r="C20" s="36" t="s">
        <v>33</v>
      </c>
      <c r="D20" s="18" t="s">
        <v>139</v>
      </c>
      <c r="E20" s="19" t="s">
        <v>174</v>
      </c>
      <c r="F20" s="85">
        <v>0</v>
      </c>
      <c r="G20" s="85">
        <v>7.25</v>
      </c>
      <c r="H20" s="109">
        <v>24</v>
      </c>
      <c r="I20" s="85">
        <v>0</v>
      </c>
      <c r="J20" s="111">
        <f t="shared" si="3"/>
        <v>0</v>
      </c>
      <c r="K20" s="110"/>
      <c r="L20" s="111">
        <f t="shared" si="15"/>
        <v>0</v>
      </c>
      <c r="M20" s="110"/>
      <c r="N20" s="111">
        <f t="shared" si="4"/>
        <v>0</v>
      </c>
      <c r="O20" s="110"/>
      <c r="P20" s="86">
        <f t="shared" si="0"/>
        <v>24</v>
      </c>
      <c r="Q20" s="87">
        <v>24</v>
      </c>
      <c r="R20" s="37">
        <f t="shared" si="8"/>
        <v>0</v>
      </c>
      <c r="S20" s="37">
        <f t="shared" si="5"/>
        <v>0</v>
      </c>
      <c r="T20" s="114">
        <f t="shared" si="1"/>
        <v>0</v>
      </c>
      <c r="U20" s="115">
        <f t="shared" si="2"/>
        <v>0</v>
      </c>
      <c r="V20" s="65"/>
      <c r="W20" s="7"/>
      <c r="X20" s="68"/>
    </row>
    <row r="21" spans="2:24" ht="18" customHeight="1">
      <c r="B21" s="35">
        <v>24</v>
      </c>
      <c r="C21" s="36" t="s">
        <v>33</v>
      </c>
      <c r="D21" s="18" t="s">
        <v>45</v>
      </c>
      <c r="E21" s="19" t="s">
        <v>46</v>
      </c>
      <c r="F21" s="85">
        <v>8.4</v>
      </c>
      <c r="G21" s="85">
        <v>8.8000000000000007</v>
      </c>
      <c r="H21" s="109">
        <v>30</v>
      </c>
      <c r="I21" s="85">
        <v>8.4</v>
      </c>
      <c r="J21" s="111">
        <f t="shared" si="3"/>
        <v>252</v>
      </c>
      <c r="K21" s="110"/>
      <c r="L21" s="111">
        <f t="shared" si="15"/>
        <v>0</v>
      </c>
      <c r="M21" s="110"/>
      <c r="N21" s="111">
        <f t="shared" si="4"/>
        <v>0</v>
      </c>
      <c r="O21" s="110"/>
      <c r="P21" s="86">
        <f t="shared" si="0"/>
        <v>30</v>
      </c>
      <c r="Q21" s="87">
        <v>30</v>
      </c>
      <c r="R21" s="37">
        <f t="shared" si="8"/>
        <v>252</v>
      </c>
      <c r="S21" s="37">
        <f t="shared" si="5"/>
        <v>252</v>
      </c>
      <c r="T21" s="114">
        <f t="shared" si="1"/>
        <v>0</v>
      </c>
      <c r="U21" s="115">
        <f t="shared" si="2"/>
        <v>0</v>
      </c>
      <c r="V21" s="65"/>
      <c r="W21" s="7"/>
      <c r="X21" s="68"/>
    </row>
    <row r="22" spans="2:24" ht="18" customHeight="1">
      <c r="B22" s="35">
        <v>24</v>
      </c>
      <c r="C22" s="36" t="s">
        <v>33</v>
      </c>
      <c r="D22" s="18" t="s">
        <v>47</v>
      </c>
      <c r="E22" s="19" t="s">
        <v>48</v>
      </c>
      <c r="F22" s="85">
        <v>8.4</v>
      </c>
      <c r="G22" s="85">
        <v>8.8000000000000007</v>
      </c>
      <c r="H22" s="109">
        <v>30</v>
      </c>
      <c r="I22" s="85">
        <v>8.4</v>
      </c>
      <c r="J22" s="111">
        <f t="shared" si="3"/>
        <v>252</v>
      </c>
      <c r="K22" s="110"/>
      <c r="L22" s="111">
        <f t="shared" si="15"/>
        <v>0</v>
      </c>
      <c r="M22" s="110"/>
      <c r="N22" s="111">
        <f t="shared" si="4"/>
        <v>0</v>
      </c>
      <c r="O22" s="110"/>
      <c r="P22" s="86">
        <f t="shared" si="0"/>
        <v>30</v>
      </c>
      <c r="Q22" s="87">
        <v>30</v>
      </c>
      <c r="R22" s="37">
        <f t="shared" si="8"/>
        <v>252</v>
      </c>
      <c r="S22" s="37">
        <f t="shared" si="5"/>
        <v>252</v>
      </c>
      <c r="T22" s="114">
        <f t="shared" si="1"/>
        <v>0</v>
      </c>
      <c r="U22" s="115">
        <f t="shared" si="2"/>
        <v>0</v>
      </c>
      <c r="V22" s="65"/>
      <c r="W22" s="7"/>
      <c r="X22" s="68"/>
    </row>
    <row r="23" spans="2:24" ht="18" customHeight="1">
      <c r="B23" s="35">
        <v>24</v>
      </c>
      <c r="C23" s="36" t="s">
        <v>33</v>
      </c>
      <c r="D23" s="18" t="s">
        <v>49</v>
      </c>
      <c r="E23" s="19" t="s">
        <v>50</v>
      </c>
      <c r="F23" s="85">
        <v>11.2</v>
      </c>
      <c r="G23" s="85">
        <v>11.58</v>
      </c>
      <c r="H23" s="109">
        <v>6</v>
      </c>
      <c r="I23" s="85">
        <v>11.2</v>
      </c>
      <c r="J23" s="111">
        <f t="shared" si="3"/>
        <v>67.199999999999989</v>
      </c>
      <c r="K23" s="110"/>
      <c r="L23" s="111">
        <f t="shared" si="15"/>
        <v>0</v>
      </c>
      <c r="M23" s="110"/>
      <c r="N23" s="111">
        <f t="shared" si="4"/>
        <v>0</v>
      </c>
      <c r="O23" s="110"/>
      <c r="P23" s="86">
        <f t="shared" si="0"/>
        <v>6</v>
      </c>
      <c r="Q23" s="87">
        <v>6</v>
      </c>
      <c r="R23" s="37">
        <f t="shared" si="8"/>
        <v>67.199999999999989</v>
      </c>
      <c r="S23" s="37">
        <f t="shared" si="5"/>
        <v>67.199999999999989</v>
      </c>
      <c r="T23" s="114">
        <f t="shared" si="1"/>
        <v>0</v>
      </c>
      <c r="U23" s="115">
        <f t="shared" si="2"/>
        <v>0</v>
      </c>
      <c r="V23" s="65"/>
      <c r="W23" s="7"/>
      <c r="X23" s="68"/>
    </row>
    <row r="24" spans="2:24" ht="18" customHeight="1">
      <c r="B24" s="35">
        <v>24</v>
      </c>
      <c r="C24" s="36" t="s">
        <v>33</v>
      </c>
      <c r="D24" s="18" t="s">
        <v>140</v>
      </c>
      <c r="E24" s="19" t="s">
        <v>175</v>
      </c>
      <c r="F24" s="85">
        <v>11.33</v>
      </c>
      <c r="G24" s="85">
        <v>11.58</v>
      </c>
      <c r="H24" s="109">
        <v>552</v>
      </c>
      <c r="I24" s="85">
        <v>11.33</v>
      </c>
      <c r="J24" s="111">
        <f t="shared" si="3"/>
        <v>6254.16</v>
      </c>
      <c r="K24" s="110"/>
      <c r="L24" s="111">
        <f t="shared" si="15"/>
        <v>0</v>
      </c>
      <c r="M24" s="110"/>
      <c r="N24" s="111">
        <f t="shared" si="4"/>
        <v>0</v>
      </c>
      <c r="O24" s="110"/>
      <c r="P24" s="86">
        <f t="shared" si="0"/>
        <v>552</v>
      </c>
      <c r="Q24" s="87">
        <v>552</v>
      </c>
      <c r="R24" s="37">
        <f t="shared" si="8"/>
        <v>6254.16</v>
      </c>
      <c r="S24" s="37">
        <f t="shared" si="5"/>
        <v>6254.16</v>
      </c>
      <c r="T24" s="114">
        <f t="shared" si="1"/>
        <v>0</v>
      </c>
      <c r="U24" s="115">
        <f t="shared" si="2"/>
        <v>0</v>
      </c>
      <c r="V24" s="65"/>
      <c r="W24" s="7"/>
      <c r="X24" s="68"/>
    </row>
    <row r="25" spans="2:24" ht="18" customHeight="1">
      <c r="B25" s="35">
        <v>24</v>
      </c>
      <c r="C25" s="36" t="s">
        <v>33</v>
      </c>
      <c r="D25" s="18" t="s">
        <v>51</v>
      </c>
      <c r="E25" s="19" t="s">
        <v>52</v>
      </c>
      <c r="F25" s="85">
        <v>11.2</v>
      </c>
      <c r="G25" s="85">
        <v>11.58</v>
      </c>
      <c r="H25" s="109">
        <v>1482</v>
      </c>
      <c r="I25" s="85">
        <v>11.2</v>
      </c>
      <c r="J25" s="111">
        <f>H25*I25</f>
        <v>16598.399999999998</v>
      </c>
      <c r="K25" s="110"/>
      <c r="L25" s="111">
        <f t="shared" si="15"/>
        <v>0</v>
      </c>
      <c r="M25" s="110"/>
      <c r="N25" s="111">
        <f t="shared" si="4"/>
        <v>0</v>
      </c>
      <c r="O25" s="110"/>
      <c r="P25" s="86">
        <f t="shared" si="0"/>
        <v>1482</v>
      </c>
      <c r="Q25" s="87">
        <v>1476</v>
      </c>
      <c r="R25" s="37">
        <f t="shared" si="8"/>
        <v>16598.399999999998</v>
      </c>
      <c r="S25" s="37">
        <f t="shared" si="5"/>
        <v>16531.2</v>
      </c>
      <c r="T25" s="114">
        <f t="shared" si="1"/>
        <v>6</v>
      </c>
      <c r="U25" s="115">
        <f t="shared" si="2"/>
        <v>67.19999999999709</v>
      </c>
      <c r="V25" s="65"/>
      <c r="W25" s="34"/>
      <c r="X25" s="68"/>
    </row>
    <row r="26" spans="2:24" ht="18" customHeight="1">
      <c r="B26" s="35">
        <v>24</v>
      </c>
      <c r="C26" s="36" t="s">
        <v>33</v>
      </c>
      <c r="D26" s="18" t="s">
        <v>141</v>
      </c>
      <c r="E26" s="19" t="s">
        <v>156</v>
      </c>
      <c r="F26" s="85">
        <v>11.33</v>
      </c>
      <c r="G26" s="85">
        <v>12</v>
      </c>
      <c r="H26" s="109">
        <v>780</v>
      </c>
      <c r="I26" s="85">
        <v>11.33</v>
      </c>
      <c r="J26" s="111">
        <f t="shared" ref="J26:J39" si="16">H26*I26</f>
        <v>8837.4</v>
      </c>
      <c r="K26" s="110"/>
      <c r="L26" s="111">
        <f t="shared" si="15"/>
        <v>0</v>
      </c>
      <c r="M26" s="110"/>
      <c r="N26" s="111">
        <f t="shared" si="4"/>
        <v>0</v>
      </c>
      <c r="O26" s="110"/>
      <c r="P26" s="86">
        <f t="shared" si="0"/>
        <v>780</v>
      </c>
      <c r="Q26" s="87">
        <v>780</v>
      </c>
      <c r="R26" s="37">
        <f t="shared" si="8"/>
        <v>8837.4</v>
      </c>
      <c r="S26" s="37">
        <f t="shared" si="5"/>
        <v>8837.4</v>
      </c>
      <c r="T26" s="114">
        <f t="shared" si="1"/>
        <v>0</v>
      </c>
      <c r="U26" s="115">
        <f t="shared" si="2"/>
        <v>0</v>
      </c>
      <c r="V26" s="65"/>
      <c r="W26" s="7"/>
      <c r="X26" s="68"/>
    </row>
    <row r="27" spans="2:24" ht="24" customHeight="1">
      <c r="B27" s="35">
        <v>24</v>
      </c>
      <c r="C27" s="36" t="s">
        <v>33</v>
      </c>
      <c r="D27" s="18" t="s">
        <v>132</v>
      </c>
      <c r="E27" s="19" t="s">
        <v>176</v>
      </c>
      <c r="F27" s="85">
        <v>59.17</v>
      </c>
      <c r="G27" s="85">
        <v>61</v>
      </c>
      <c r="H27" s="109">
        <v>777</v>
      </c>
      <c r="I27" s="85">
        <v>59.17</v>
      </c>
      <c r="J27" s="111">
        <f t="shared" si="16"/>
        <v>45975.090000000004</v>
      </c>
      <c r="K27" s="110"/>
      <c r="L27" s="111">
        <f t="shared" si="15"/>
        <v>0</v>
      </c>
      <c r="M27" s="110">
        <v>15</v>
      </c>
      <c r="N27" s="111">
        <f t="shared" si="4"/>
        <v>887.55000000000007</v>
      </c>
      <c r="O27" s="110"/>
      <c r="P27" s="86">
        <f t="shared" si="0"/>
        <v>762</v>
      </c>
      <c r="Q27" s="87">
        <v>758</v>
      </c>
      <c r="R27" s="37">
        <f t="shared" si="8"/>
        <v>45087.54</v>
      </c>
      <c r="S27" s="37">
        <f t="shared" si="5"/>
        <v>44850.86</v>
      </c>
      <c r="T27" s="114">
        <f t="shared" si="1"/>
        <v>4</v>
      </c>
      <c r="U27" s="115">
        <f t="shared" si="2"/>
        <v>236.68000000000029</v>
      </c>
      <c r="V27" s="65"/>
      <c r="W27" s="68"/>
      <c r="X27" s="68"/>
    </row>
    <row r="28" spans="2:24" ht="18" customHeight="1">
      <c r="B28" s="35">
        <v>24</v>
      </c>
      <c r="C28" s="36" t="s">
        <v>33</v>
      </c>
      <c r="D28" s="18" t="s">
        <v>142</v>
      </c>
      <c r="E28" s="19" t="s">
        <v>177</v>
      </c>
      <c r="F28" s="85">
        <v>36</v>
      </c>
      <c r="G28" s="85">
        <v>37.33</v>
      </c>
      <c r="H28" s="109">
        <v>12</v>
      </c>
      <c r="I28" s="85">
        <v>36</v>
      </c>
      <c r="J28" s="111">
        <f t="shared" si="16"/>
        <v>432</v>
      </c>
      <c r="K28" s="110"/>
      <c r="L28" s="111">
        <f t="shared" si="15"/>
        <v>0</v>
      </c>
      <c r="M28" s="110"/>
      <c r="N28" s="111">
        <f t="shared" si="4"/>
        <v>0</v>
      </c>
      <c r="O28" s="110"/>
      <c r="P28" s="86">
        <f t="shared" si="0"/>
        <v>12</v>
      </c>
      <c r="Q28" s="87">
        <v>12</v>
      </c>
      <c r="R28" s="37">
        <f t="shared" si="8"/>
        <v>432</v>
      </c>
      <c r="S28" s="37">
        <f t="shared" si="5"/>
        <v>432</v>
      </c>
      <c r="T28" s="114">
        <f t="shared" si="1"/>
        <v>0</v>
      </c>
      <c r="U28" s="115">
        <f t="shared" si="2"/>
        <v>0</v>
      </c>
      <c r="V28" s="65"/>
      <c r="W28" s="7"/>
      <c r="X28" s="68"/>
    </row>
    <row r="29" spans="2:24" ht="18" customHeight="1">
      <c r="B29" s="35">
        <v>24</v>
      </c>
      <c r="C29" s="36" t="s">
        <v>33</v>
      </c>
      <c r="D29" s="18" t="s">
        <v>53</v>
      </c>
      <c r="E29" s="19" t="s">
        <v>54</v>
      </c>
      <c r="F29" s="85">
        <v>7.67</v>
      </c>
      <c r="G29" s="85">
        <v>8.17</v>
      </c>
      <c r="H29" s="109"/>
      <c r="I29" s="85">
        <v>7.67</v>
      </c>
      <c r="J29" s="111">
        <f t="shared" si="16"/>
        <v>0</v>
      </c>
      <c r="K29" s="110"/>
      <c r="L29" s="111">
        <f t="shared" si="15"/>
        <v>0</v>
      </c>
      <c r="M29" s="110"/>
      <c r="N29" s="111">
        <f t="shared" si="4"/>
        <v>0</v>
      </c>
      <c r="O29" s="110"/>
      <c r="P29" s="86">
        <f t="shared" si="0"/>
        <v>0</v>
      </c>
      <c r="Q29" s="87"/>
      <c r="R29" s="37">
        <f t="shared" si="8"/>
        <v>0</v>
      </c>
      <c r="S29" s="37">
        <f t="shared" si="5"/>
        <v>0</v>
      </c>
      <c r="T29" s="114">
        <f t="shared" si="1"/>
        <v>0</v>
      </c>
      <c r="U29" s="115">
        <f t="shared" si="2"/>
        <v>0</v>
      </c>
      <c r="V29" s="65"/>
      <c r="W29" s="34"/>
      <c r="X29" s="68"/>
    </row>
    <row r="30" spans="2:24" ht="18" customHeight="1">
      <c r="B30" s="35">
        <v>24</v>
      </c>
      <c r="C30" s="36" t="s">
        <v>33</v>
      </c>
      <c r="D30" s="18" t="s">
        <v>53</v>
      </c>
      <c r="E30" s="19" t="s">
        <v>54</v>
      </c>
      <c r="F30" s="85">
        <v>8.0399999999999991</v>
      </c>
      <c r="G30" s="85">
        <v>8.5399999999999991</v>
      </c>
      <c r="H30" s="109">
        <v>6951</v>
      </c>
      <c r="I30" s="85">
        <v>8.0416666666666607</v>
      </c>
      <c r="J30" s="111">
        <f t="shared" si="16"/>
        <v>55897.624999999956</v>
      </c>
      <c r="K30" s="110"/>
      <c r="L30" s="111">
        <f t="shared" ref="L30" si="17">F30*K30</f>
        <v>0</v>
      </c>
      <c r="M30" s="110">
        <v>2445</v>
      </c>
      <c r="N30" s="111">
        <f t="shared" si="4"/>
        <v>19657.8</v>
      </c>
      <c r="O30" s="110"/>
      <c r="P30" s="86">
        <f t="shared" si="0"/>
        <v>4506</v>
      </c>
      <c r="Q30" s="87">
        <v>4518</v>
      </c>
      <c r="R30" s="37">
        <f t="shared" si="8"/>
        <v>36235.749999999971</v>
      </c>
      <c r="S30" s="37">
        <f t="shared" si="5"/>
        <v>36332.249999999971</v>
      </c>
      <c r="T30" s="114">
        <f t="shared" ref="T30" si="18">P30-Q30</f>
        <v>-12</v>
      </c>
      <c r="U30" s="115">
        <f t="shared" ref="U30" si="19">R30-S30</f>
        <v>-96.5</v>
      </c>
      <c r="V30" s="65"/>
      <c r="W30" s="34"/>
      <c r="X30" s="68"/>
    </row>
    <row r="31" spans="2:24" ht="18" customHeight="1">
      <c r="B31" s="35">
        <v>24</v>
      </c>
      <c r="C31" s="36" t="s">
        <v>33</v>
      </c>
      <c r="D31" s="18" t="s">
        <v>147</v>
      </c>
      <c r="E31" s="19" t="s">
        <v>178</v>
      </c>
      <c r="F31" s="85">
        <v>7.04</v>
      </c>
      <c r="G31" s="85">
        <v>8.17</v>
      </c>
      <c r="H31" s="109">
        <v>844</v>
      </c>
      <c r="I31" s="85">
        <v>7.04</v>
      </c>
      <c r="J31" s="111">
        <f t="shared" si="16"/>
        <v>5941.76</v>
      </c>
      <c r="K31" s="110"/>
      <c r="L31" s="111">
        <f t="shared" ref="L31:L55" si="20">F31*K31</f>
        <v>0</v>
      </c>
      <c r="M31" s="110"/>
      <c r="N31" s="111">
        <f t="shared" si="4"/>
        <v>0</v>
      </c>
      <c r="O31" s="110"/>
      <c r="P31" s="86">
        <f t="shared" si="0"/>
        <v>844</v>
      </c>
      <c r="Q31" s="87">
        <v>844</v>
      </c>
      <c r="R31" s="37">
        <f t="shared" si="8"/>
        <v>5941.76</v>
      </c>
      <c r="S31" s="37">
        <f t="shared" si="5"/>
        <v>5941.76</v>
      </c>
      <c r="T31" s="114">
        <f t="shared" si="1"/>
        <v>0</v>
      </c>
      <c r="U31" s="115">
        <f>R31-S31</f>
        <v>0</v>
      </c>
      <c r="V31" s="65"/>
      <c r="W31" s="7"/>
      <c r="X31" s="68"/>
    </row>
    <row r="32" spans="2:24" ht="18" customHeight="1">
      <c r="B32" s="35">
        <v>24</v>
      </c>
      <c r="C32" s="36" t="s">
        <v>33</v>
      </c>
      <c r="D32" s="18" t="s">
        <v>203</v>
      </c>
      <c r="E32" s="19" t="s">
        <v>205</v>
      </c>
      <c r="F32" s="85">
        <v>22.33</v>
      </c>
      <c r="G32" s="85">
        <v>23.58</v>
      </c>
      <c r="H32" s="109">
        <v>2054</v>
      </c>
      <c r="I32" s="85">
        <v>22.3333333333333</v>
      </c>
      <c r="J32" s="111">
        <f t="shared" si="16"/>
        <v>45872.666666666599</v>
      </c>
      <c r="K32" s="110"/>
      <c r="L32" s="111">
        <f t="shared" si="20"/>
        <v>0</v>
      </c>
      <c r="M32" s="110">
        <v>474</v>
      </c>
      <c r="N32" s="111">
        <f t="shared" si="4"/>
        <v>10584.42</v>
      </c>
      <c r="O32" s="110"/>
      <c r="P32" s="86">
        <f t="shared" si="0"/>
        <v>1580</v>
      </c>
      <c r="Q32" s="87">
        <v>1562</v>
      </c>
      <c r="R32" s="37">
        <f t="shared" si="8"/>
        <v>35286.666666666613</v>
      </c>
      <c r="S32" s="37">
        <f t="shared" si="5"/>
        <v>34884.666666666613</v>
      </c>
      <c r="T32" s="114">
        <f t="shared" si="1"/>
        <v>18</v>
      </c>
      <c r="U32" s="115">
        <f t="shared" si="2"/>
        <v>402</v>
      </c>
      <c r="V32" s="65"/>
      <c r="W32" s="7"/>
      <c r="X32" s="68"/>
    </row>
    <row r="33" spans="2:24" ht="18" customHeight="1">
      <c r="B33" s="35">
        <v>24</v>
      </c>
      <c r="C33" s="36" t="s">
        <v>33</v>
      </c>
      <c r="D33" s="18" t="s">
        <v>143</v>
      </c>
      <c r="E33" s="19" t="s">
        <v>179</v>
      </c>
      <c r="F33" s="85">
        <v>31.25</v>
      </c>
      <c r="G33" s="85">
        <v>32.75</v>
      </c>
      <c r="H33" s="109">
        <v>48</v>
      </c>
      <c r="I33" s="85">
        <v>31.25</v>
      </c>
      <c r="J33" s="111">
        <f t="shared" si="16"/>
        <v>1500</v>
      </c>
      <c r="K33" s="110"/>
      <c r="L33" s="111">
        <f t="shared" si="20"/>
        <v>0</v>
      </c>
      <c r="M33" s="110"/>
      <c r="N33" s="111">
        <f t="shared" si="4"/>
        <v>0</v>
      </c>
      <c r="O33" s="110"/>
      <c r="P33" s="86">
        <f t="shared" si="0"/>
        <v>48</v>
      </c>
      <c r="Q33" s="87">
        <v>48</v>
      </c>
      <c r="R33" s="37">
        <f t="shared" si="8"/>
        <v>1500</v>
      </c>
      <c r="S33" s="37">
        <f t="shared" si="5"/>
        <v>1500</v>
      </c>
      <c r="T33" s="114">
        <f t="shared" si="1"/>
        <v>0</v>
      </c>
      <c r="U33" s="115">
        <f t="shared" si="2"/>
        <v>0</v>
      </c>
      <c r="V33" s="65"/>
      <c r="W33" s="7"/>
      <c r="X33" s="68"/>
    </row>
    <row r="34" spans="2:24" ht="18" customHeight="1">
      <c r="B34" s="35">
        <v>24</v>
      </c>
      <c r="C34" s="36" t="s">
        <v>33</v>
      </c>
      <c r="D34" s="18" t="s">
        <v>144</v>
      </c>
      <c r="E34" s="19" t="s">
        <v>180</v>
      </c>
      <c r="F34" s="85">
        <v>6.88</v>
      </c>
      <c r="G34" s="85">
        <v>8.17</v>
      </c>
      <c r="H34" s="109">
        <v>2000</v>
      </c>
      <c r="I34" s="85">
        <v>6.88</v>
      </c>
      <c r="J34" s="111">
        <f t="shared" si="16"/>
        <v>13760</v>
      </c>
      <c r="K34" s="110"/>
      <c r="L34" s="111">
        <f t="shared" si="20"/>
        <v>0</v>
      </c>
      <c r="M34" s="110"/>
      <c r="N34" s="111">
        <f t="shared" si="4"/>
        <v>0</v>
      </c>
      <c r="O34" s="110"/>
      <c r="P34" s="86">
        <f t="shared" si="0"/>
        <v>2000</v>
      </c>
      <c r="Q34" s="87">
        <v>2000</v>
      </c>
      <c r="R34" s="37">
        <f t="shared" si="8"/>
        <v>13760</v>
      </c>
      <c r="S34" s="37">
        <f t="shared" si="5"/>
        <v>13760</v>
      </c>
      <c r="T34" s="114">
        <f t="shared" si="1"/>
        <v>0</v>
      </c>
      <c r="U34" s="115">
        <f t="shared" si="2"/>
        <v>0</v>
      </c>
      <c r="V34" s="65"/>
      <c r="W34" s="68"/>
      <c r="X34" s="68"/>
    </row>
    <row r="35" spans="2:24" ht="18" customHeight="1">
      <c r="B35" s="35">
        <v>24</v>
      </c>
      <c r="C35" s="36" t="s">
        <v>33</v>
      </c>
      <c r="D35" s="18" t="s">
        <v>145</v>
      </c>
      <c r="E35" s="19" t="s">
        <v>181</v>
      </c>
      <c r="F35" s="85">
        <v>15.92</v>
      </c>
      <c r="G35" s="85">
        <v>16.329999999999998</v>
      </c>
      <c r="H35" s="109">
        <v>108</v>
      </c>
      <c r="I35" s="85">
        <v>15.92</v>
      </c>
      <c r="J35" s="111">
        <f t="shared" si="16"/>
        <v>1719.36</v>
      </c>
      <c r="K35" s="110"/>
      <c r="L35" s="111">
        <f t="shared" si="20"/>
        <v>0</v>
      </c>
      <c r="M35" s="110"/>
      <c r="N35" s="111">
        <f t="shared" si="4"/>
        <v>0</v>
      </c>
      <c r="O35" s="110"/>
      <c r="P35" s="86">
        <f t="shared" si="0"/>
        <v>108</v>
      </c>
      <c r="Q35" s="87">
        <v>127</v>
      </c>
      <c r="R35" s="37">
        <f t="shared" si="8"/>
        <v>1719.36</v>
      </c>
      <c r="S35" s="37">
        <f t="shared" si="5"/>
        <v>2021.84</v>
      </c>
      <c r="T35" s="114">
        <f t="shared" si="1"/>
        <v>-19</v>
      </c>
      <c r="U35" s="115">
        <f t="shared" si="2"/>
        <v>-302.48</v>
      </c>
      <c r="V35" s="65"/>
      <c r="W35" s="7"/>
      <c r="X35" s="68"/>
    </row>
    <row r="36" spans="2:24" ht="18" customHeight="1">
      <c r="B36" s="35">
        <v>24</v>
      </c>
      <c r="C36" s="36" t="s">
        <v>33</v>
      </c>
      <c r="D36" s="18" t="s">
        <v>146</v>
      </c>
      <c r="E36" s="19" t="s">
        <v>182</v>
      </c>
      <c r="F36" s="88">
        <v>11.58</v>
      </c>
      <c r="G36" s="88">
        <v>12</v>
      </c>
      <c r="H36" s="109">
        <v>2261</v>
      </c>
      <c r="I36" s="88">
        <v>11.58333333</v>
      </c>
      <c r="J36" s="111">
        <f t="shared" si="16"/>
        <v>26189.916659130002</v>
      </c>
      <c r="K36" s="110"/>
      <c r="L36" s="111">
        <f t="shared" si="20"/>
        <v>0</v>
      </c>
      <c r="M36" s="110">
        <v>184</v>
      </c>
      <c r="N36" s="111">
        <f t="shared" si="4"/>
        <v>2130.7199999999998</v>
      </c>
      <c r="O36" s="110"/>
      <c r="P36" s="86">
        <f t="shared" si="0"/>
        <v>2077</v>
      </c>
      <c r="Q36" s="87">
        <v>2077</v>
      </c>
      <c r="R36" s="37">
        <f t="shared" si="8"/>
        <v>24058.58332641</v>
      </c>
      <c r="S36" s="37">
        <f t="shared" si="5"/>
        <v>24058.58332641</v>
      </c>
      <c r="T36" s="114">
        <f t="shared" si="1"/>
        <v>0</v>
      </c>
      <c r="U36" s="115">
        <f t="shared" si="2"/>
        <v>0</v>
      </c>
      <c r="V36" s="65"/>
      <c r="W36" s="7"/>
      <c r="X36" s="68"/>
    </row>
    <row r="37" spans="2:24" ht="18" customHeight="1">
      <c r="B37" s="35">
        <v>24</v>
      </c>
      <c r="C37" s="36" t="s">
        <v>33</v>
      </c>
      <c r="D37" s="18" t="s">
        <v>164</v>
      </c>
      <c r="E37" s="19" t="s">
        <v>183</v>
      </c>
      <c r="F37" s="85">
        <v>15.92</v>
      </c>
      <c r="G37" s="85">
        <v>16.329999999999998</v>
      </c>
      <c r="H37" s="109">
        <v>48</v>
      </c>
      <c r="I37" s="85">
        <v>15.92</v>
      </c>
      <c r="J37" s="111">
        <f t="shared" si="16"/>
        <v>764.16</v>
      </c>
      <c r="K37" s="110"/>
      <c r="L37" s="111">
        <f t="shared" si="20"/>
        <v>0</v>
      </c>
      <c r="M37" s="110"/>
      <c r="N37" s="111">
        <f t="shared" si="4"/>
        <v>0</v>
      </c>
      <c r="O37" s="110"/>
      <c r="P37" s="86">
        <f t="shared" si="0"/>
        <v>48</v>
      </c>
      <c r="Q37" s="87">
        <v>48</v>
      </c>
      <c r="R37" s="37">
        <f t="shared" si="8"/>
        <v>764.16</v>
      </c>
      <c r="S37" s="37">
        <f t="shared" si="5"/>
        <v>764.16</v>
      </c>
      <c r="T37" s="114">
        <f t="shared" si="1"/>
        <v>0</v>
      </c>
      <c r="U37" s="115">
        <f t="shared" si="2"/>
        <v>0</v>
      </c>
      <c r="V37" s="65"/>
      <c r="W37" s="7"/>
      <c r="X37" s="68"/>
    </row>
    <row r="38" spans="2:24" ht="18" customHeight="1">
      <c r="B38" s="35">
        <v>24</v>
      </c>
      <c r="C38" s="36" t="s">
        <v>33</v>
      </c>
      <c r="D38" s="18" t="s">
        <v>165</v>
      </c>
      <c r="E38" s="19" t="s">
        <v>184</v>
      </c>
      <c r="F38" s="85">
        <v>15.92</v>
      </c>
      <c r="G38" s="85">
        <v>16.329999999999998</v>
      </c>
      <c r="H38" s="109">
        <v>48</v>
      </c>
      <c r="I38" s="85">
        <v>15.92</v>
      </c>
      <c r="J38" s="111">
        <f t="shared" si="16"/>
        <v>764.16</v>
      </c>
      <c r="K38" s="110"/>
      <c r="L38" s="111">
        <f t="shared" si="20"/>
        <v>0</v>
      </c>
      <c r="M38" s="110"/>
      <c r="N38" s="111">
        <f t="shared" si="4"/>
        <v>0</v>
      </c>
      <c r="O38" s="110"/>
      <c r="P38" s="86">
        <f t="shared" ref="P38:P55" si="21">H38+K38-M38-O38</f>
        <v>48</v>
      </c>
      <c r="Q38" s="87">
        <v>48</v>
      </c>
      <c r="R38" s="37">
        <f t="shared" si="8"/>
        <v>764.16</v>
      </c>
      <c r="S38" s="37">
        <f t="shared" si="5"/>
        <v>764.16</v>
      </c>
      <c r="T38" s="114">
        <f t="shared" si="1"/>
        <v>0</v>
      </c>
      <c r="U38" s="115">
        <f t="shared" si="2"/>
        <v>0</v>
      </c>
      <c r="V38" s="65"/>
      <c r="W38" s="7"/>
      <c r="X38" s="68"/>
    </row>
    <row r="39" spans="2:24" ht="18" customHeight="1">
      <c r="B39" s="35">
        <v>24</v>
      </c>
      <c r="C39" s="36" t="s">
        <v>33</v>
      </c>
      <c r="D39" s="18" t="s">
        <v>148</v>
      </c>
      <c r="E39" s="19" t="s">
        <v>157</v>
      </c>
      <c r="F39" s="85">
        <v>15.33</v>
      </c>
      <c r="G39" s="85">
        <v>16.329999999999998</v>
      </c>
      <c r="H39" s="109">
        <v>84</v>
      </c>
      <c r="I39" s="85">
        <v>15.33</v>
      </c>
      <c r="J39" s="111">
        <f t="shared" si="16"/>
        <v>1287.72</v>
      </c>
      <c r="K39" s="110"/>
      <c r="L39" s="111">
        <f t="shared" si="20"/>
        <v>0</v>
      </c>
      <c r="M39" s="110"/>
      <c r="N39" s="111">
        <f t="shared" si="4"/>
        <v>0</v>
      </c>
      <c r="O39" s="110"/>
      <c r="P39" s="86">
        <f t="shared" si="21"/>
        <v>84</v>
      </c>
      <c r="Q39" s="87">
        <v>84</v>
      </c>
      <c r="R39" s="37">
        <f t="shared" si="8"/>
        <v>1287.72</v>
      </c>
      <c r="S39" s="37">
        <f t="shared" si="5"/>
        <v>1287.72</v>
      </c>
      <c r="T39" s="114">
        <f t="shared" si="1"/>
        <v>0</v>
      </c>
      <c r="U39" s="115">
        <f t="shared" si="2"/>
        <v>0</v>
      </c>
      <c r="V39" s="65"/>
      <c r="W39" s="7"/>
      <c r="X39" s="68"/>
    </row>
    <row r="40" spans="2:24" ht="18" customHeight="1">
      <c r="B40" s="35">
        <v>24</v>
      </c>
      <c r="C40" s="36" t="s">
        <v>33</v>
      </c>
      <c r="D40" s="74" t="s">
        <v>55</v>
      </c>
      <c r="E40" s="19" t="s">
        <v>185</v>
      </c>
      <c r="F40" s="85">
        <v>59.17</v>
      </c>
      <c r="G40" s="85">
        <v>61</v>
      </c>
      <c r="H40" s="109"/>
      <c r="I40" s="85">
        <v>59.17</v>
      </c>
      <c r="J40" s="111">
        <f t="shared" si="3"/>
        <v>0</v>
      </c>
      <c r="K40" s="110"/>
      <c r="L40" s="111">
        <f t="shared" si="20"/>
        <v>0</v>
      </c>
      <c r="M40" s="110"/>
      <c r="N40" s="111">
        <f t="shared" si="4"/>
        <v>0</v>
      </c>
      <c r="O40" s="110"/>
      <c r="P40" s="86">
        <f t="shared" si="21"/>
        <v>0</v>
      </c>
      <c r="Q40" s="87"/>
      <c r="R40" s="37">
        <f t="shared" si="8"/>
        <v>0</v>
      </c>
      <c r="S40" s="37">
        <f t="shared" si="5"/>
        <v>0</v>
      </c>
      <c r="T40" s="114">
        <f t="shared" si="1"/>
        <v>0</v>
      </c>
      <c r="U40" s="115">
        <f t="shared" si="2"/>
        <v>0</v>
      </c>
      <c r="V40" s="89"/>
      <c r="W40" s="68"/>
      <c r="X40" s="68"/>
    </row>
    <row r="41" spans="2:24" ht="18" customHeight="1">
      <c r="B41" s="35">
        <v>24</v>
      </c>
      <c r="C41" s="36" t="s">
        <v>33</v>
      </c>
      <c r="D41" s="18" t="s">
        <v>133</v>
      </c>
      <c r="E41" s="19" t="s">
        <v>186</v>
      </c>
      <c r="F41" s="85">
        <v>59.17</v>
      </c>
      <c r="G41" s="85">
        <v>61</v>
      </c>
      <c r="H41" s="109">
        <v>737</v>
      </c>
      <c r="I41" s="85">
        <v>59.17</v>
      </c>
      <c r="J41" s="111">
        <f>H41*I41</f>
        <v>43608.29</v>
      </c>
      <c r="K41" s="110"/>
      <c r="L41" s="111">
        <f t="shared" si="20"/>
        <v>0</v>
      </c>
      <c r="M41" s="110">
        <v>164</v>
      </c>
      <c r="N41" s="111">
        <f t="shared" si="4"/>
        <v>9703.880000000001</v>
      </c>
      <c r="O41" s="110"/>
      <c r="P41" s="86">
        <f t="shared" si="21"/>
        <v>573</v>
      </c>
      <c r="Q41" s="87">
        <v>560</v>
      </c>
      <c r="R41" s="37">
        <f t="shared" si="8"/>
        <v>33904.410000000003</v>
      </c>
      <c r="S41" s="37">
        <f t="shared" si="5"/>
        <v>33135.200000000004</v>
      </c>
      <c r="T41" s="114">
        <f t="shared" si="1"/>
        <v>13</v>
      </c>
      <c r="U41" s="115">
        <f t="shared" si="2"/>
        <v>769.20999999999913</v>
      </c>
      <c r="V41" s="65"/>
      <c r="W41" s="68"/>
      <c r="X41" s="68"/>
    </row>
    <row r="42" spans="2:24" ht="18" customHeight="1">
      <c r="B42" s="35">
        <v>24</v>
      </c>
      <c r="C42" s="36" t="s">
        <v>33</v>
      </c>
      <c r="D42" s="18" t="s">
        <v>150</v>
      </c>
      <c r="E42" s="19" t="s">
        <v>187</v>
      </c>
      <c r="F42" s="85">
        <v>36</v>
      </c>
      <c r="G42" s="85">
        <v>37.33</v>
      </c>
      <c r="H42" s="109">
        <v>67</v>
      </c>
      <c r="I42" s="85">
        <v>36</v>
      </c>
      <c r="J42" s="111">
        <f t="shared" si="3"/>
        <v>2412</v>
      </c>
      <c r="K42" s="110"/>
      <c r="L42" s="111">
        <f t="shared" si="20"/>
        <v>0</v>
      </c>
      <c r="M42" s="110"/>
      <c r="N42" s="111">
        <f t="shared" si="4"/>
        <v>0</v>
      </c>
      <c r="O42" s="110"/>
      <c r="P42" s="86">
        <f t="shared" si="21"/>
        <v>67</v>
      </c>
      <c r="Q42" s="87">
        <v>65</v>
      </c>
      <c r="R42" s="37">
        <f t="shared" si="8"/>
        <v>2412</v>
      </c>
      <c r="S42" s="37">
        <f t="shared" si="5"/>
        <v>2340</v>
      </c>
      <c r="T42" s="114">
        <f t="shared" ref="T42:T55" si="22">P42-Q42</f>
        <v>2</v>
      </c>
      <c r="U42" s="115">
        <f t="shared" ref="U42:U55" si="23">R42-S42</f>
        <v>72</v>
      </c>
      <c r="V42" s="65"/>
      <c r="W42" s="34"/>
      <c r="X42" s="68"/>
    </row>
    <row r="43" spans="2:24" ht="18" customHeight="1">
      <c r="B43" s="35">
        <v>24</v>
      </c>
      <c r="C43" s="36" t="s">
        <v>33</v>
      </c>
      <c r="D43" s="18" t="s">
        <v>149</v>
      </c>
      <c r="E43" s="19" t="s">
        <v>188</v>
      </c>
      <c r="F43" s="85">
        <v>36.5</v>
      </c>
      <c r="G43" s="85">
        <v>37.33</v>
      </c>
      <c r="H43" s="109">
        <v>52</v>
      </c>
      <c r="I43" s="85">
        <v>36.5</v>
      </c>
      <c r="J43" s="111">
        <f t="shared" si="3"/>
        <v>1898</v>
      </c>
      <c r="K43" s="110"/>
      <c r="L43" s="111">
        <f t="shared" si="20"/>
        <v>0</v>
      </c>
      <c r="M43" s="110"/>
      <c r="N43" s="111">
        <f t="shared" si="4"/>
        <v>0</v>
      </c>
      <c r="O43" s="110"/>
      <c r="P43" s="86">
        <f t="shared" si="21"/>
        <v>52</v>
      </c>
      <c r="Q43" s="87">
        <v>52</v>
      </c>
      <c r="R43" s="37">
        <f t="shared" si="8"/>
        <v>1898</v>
      </c>
      <c r="S43" s="37">
        <f t="shared" si="5"/>
        <v>1898</v>
      </c>
      <c r="T43" s="114">
        <f t="shared" si="22"/>
        <v>0</v>
      </c>
      <c r="U43" s="115">
        <f t="shared" si="23"/>
        <v>0</v>
      </c>
      <c r="V43" s="65"/>
      <c r="W43" s="7"/>
      <c r="X43" s="68"/>
    </row>
    <row r="44" spans="2:24" ht="18" customHeight="1">
      <c r="B44" s="35">
        <v>24</v>
      </c>
      <c r="C44" s="36" t="s">
        <v>33</v>
      </c>
      <c r="D44" s="18" t="s">
        <v>56</v>
      </c>
      <c r="E44" s="19" t="s">
        <v>57</v>
      </c>
      <c r="F44" s="85">
        <v>7.67</v>
      </c>
      <c r="G44" s="85">
        <v>8.17</v>
      </c>
      <c r="H44" s="109"/>
      <c r="I44" s="85">
        <v>7.67</v>
      </c>
      <c r="J44" s="111">
        <f t="shared" si="3"/>
        <v>0</v>
      </c>
      <c r="K44" s="110"/>
      <c r="L44" s="111">
        <f t="shared" si="20"/>
        <v>0</v>
      </c>
      <c r="M44" s="110"/>
      <c r="N44" s="111">
        <f t="shared" si="4"/>
        <v>0</v>
      </c>
      <c r="O44" s="110"/>
      <c r="P44" s="86">
        <f t="shared" si="21"/>
        <v>0</v>
      </c>
      <c r="Q44" s="87"/>
      <c r="R44" s="37">
        <f t="shared" si="8"/>
        <v>0</v>
      </c>
      <c r="S44" s="37">
        <f t="shared" si="5"/>
        <v>0</v>
      </c>
      <c r="T44" s="114">
        <f t="shared" si="22"/>
        <v>0</v>
      </c>
      <c r="U44" s="115">
        <f t="shared" si="23"/>
        <v>0</v>
      </c>
      <c r="V44" s="65"/>
      <c r="W44" s="34"/>
      <c r="X44" s="68"/>
    </row>
    <row r="45" spans="2:24" ht="18" customHeight="1">
      <c r="B45" s="35">
        <v>24</v>
      </c>
      <c r="C45" s="36" t="s">
        <v>33</v>
      </c>
      <c r="D45" s="18" t="s">
        <v>56</v>
      </c>
      <c r="E45" s="19" t="s">
        <v>57</v>
      </c>
      <c r="F45" s="85">
        <v>8.0399999999999991</v>
      </c>
      <c r="G45" s="85">
        <v>8.5399999999999991</v>
      </c>
      <c r="H45" s="109">
        <v>1278</v>
      </c>
      <c r="I45" s="85">
        <v>8.0416666666666607</v>
      </c>
      <c r="J45" s="111">
        <f t="shared" ref="J45" si="24">H45*I45</f>
        <v>10277.249999999993</v>
      </c>
      <c r="K45" s="110"/>
      <c r="L45" s="111">
        <f t="shared" si="20"/>
        <v>0</v>
      </c>
      <c r="M45" s="110">
        <v>1334</v>
      </c>
      <c r="N45" s="111">
        <f t="shared" si="4"/>
        <v>10725.359999999999</v>
      </c>
      <c r="O45" s="110"/>
      <c r="P45" s="86">
        <f t="shared" si="21"/>
        <v>-56</v>
      </c>
      <c r="Q45" s="87">
        <v>-56</v>
      </c>
      <c r="R45" s="37">
        <f t="shared" si="8"/>
        <v>-450.33333333333303</v>
      </c>
      <c r="S45" s="37">
        <f t="shared" si="5"/>
        <v>-450.33333333333303</v>
      </c>
      <c r="T45" s="114">
        <f t="shared" ref="T45" si="25">P45-Q45</f>
        <v>0</v>
      </c>
      <c r="U45" s="115">
        <f t="shared" ref="U45" si="26">R45-S45</f>
        <v>0</v>
      </c>
      <c r="V45" s="65"/>
      <c r="W45" s="34"/>
      <c r="X45" s="68"/>
    </row>
    <row r="46" spans="2:24" ht="18" customHeight="1">
      <c r="B46" s="35">
        <v>24</v>
      </c>
      <c r="C46" s="36" t="s">
        <v>33</v>
      </c>
      <c r="D46" s="74" t="s">
        <v>154</v>
      </c>
      <c r="E46" s="19" t="s">
        <v>189</v>
      </c>
      <c r="F46" s="85">
        <v>7.04</v>
      </c>
      <c r="G46" s="85">
        <v>8.17</v>
      </c>
      <c r="H46" s="109">
        <v>5371</v>
      </c>
      <c r="I46" s="85">
        <v>7.04</v>
      </c>
      <c r="J46" s="111">
        <f t="shared" si="3"/>
        <v>37811.840000000004</v>
      </c>
      <c r="K46" s="110"/>
      <c r="L46" s="111">
        <f t="shared" si="20"/>
        <v>0</v>
      </c>
      <c r="M46" s="110">
        <v>580</v>
      </c>
      <c r="N46" s="111">
        <f t="shared" si="4"/>
        <v>4083.2</v>
      </c>
      <c r="O46" s="110"/>
      <c r="P46" s="86">
        <f t="shared" si="21"/>
        <v>4791</v>
      </c>
      <c r="Q46" s="87">
        <f>4770+56</f>
        <v>4826</v>
      </c>
      <c r="R46" s="37">
        <f t="shared" si="8"/>
        <v>33728.639999999999</v>
      </c>
      <c r="S46" s="37">
        <f t="shared" si="5"/>
        <v>33975.040000000001</v>
      </c>
      <c r="T46" s="114">
        <f t="shared" si="22"/>
        <v>-35</v>
      </c>
      <c r="U46" s="115">
        <f t="shared" si="23"/>
        <v>-246.40000000000146</v>
      </c>
      <c r="V46" s="65"/>
      <c r="W46" s="34"/>
      <c r="X46" s="68"/>
    </row>
    <row r="47" spans="2:24" ht="18" customHeight="1">
      <c r="B47" s="35">
        <v>24</v>
      </c>
      <c r="C47" s="36" t="s">
        <v>33</v>
      </c>
      <c r="D47" s="74" t="s">
        <v>58</v>
      </c>
      <c r="E47" s="19" t="s">
        <v>59</v>
      </c>
      <c r="F47" s="85">
        <v>22.33</v>
      </c>
      <c r="G47" s="85">
        <v>23.58</v>
      </c>
      <c r="H47" s="109">
        <v>1162</v>
      </c>
      <c r="I47" s="85">
        <v>22.3333333333333</v>
      </c>
      <c r="J47" s="111">
        <f t="shared" si="3"/>
        <v>25951.333333333296</v>
      </c>
      <c r="K47" s="110"/>
      <c r="L47" s="111">
        <f t="shared" si="20"/>
        <v>0</v>
      </c>
      <c r="M47" s="110">
        <v>354</v>
      </c>
      <c r="N47" s="111">
        <f t="shared" si="4"/>
        <v>7904.82</v>
      </c>
      <c r="O47" s="110"/>
      <c r="P47" s="86">
        <f t="shared" si="21"/>
        <v>808</v>
      </c>
      <c r="Q47" s="87">
        <v>754</v>
      </c>
      <c r="R47" s="37">
        <f t="shared" si="8"/>
        <v>18045.333333333307</v>
      </c>
      <c r="S47" s="37">
        <f t="shared" si="5"/>
        <v>16839.333333333307</v>
      </c>
      <c r="T47" s="114">
        <f t="shared" si="22"/>
        <v>54</v>
      </c>
      <c r="U47" s="115">
        <f t="shared" si="23"/>
        <v>1206</v>
      </c>
      <c r="V47" s="65"/>
      <c r="W47" s="7"/>
      <c r="X47" s="68"/>
    </row>
    <row r="48" spans="2:24" ht="18" customHeight="1">
      <c r="B48" s="35">
        <v>24</v>
      </c>
      <c r="C48" s="36" t="s">
        <v>33</v>
      </c>
      <c r="D48" s="74" t="s">
        <v>151</v>
      </c>
      <c r="E48" s="19" t="s">
        <v>190</v>
      </c>
      <c r="F48" s="88">
        <v>31.25</v>
      </c>
      <c r="G48" s="88">
        <v>32.75</v>
      </c>
      <c r="H48" s="109">
        <v>48</v>
      </c>
      <c r="I48" s="88">
        <v>31.25</v>
      </c>
      <c r="J48" s="111">
        <f t="shared" si="3"/>
        <v>1500</v>
      </c>
      <c r="K48" s="110"/>
      <c r="L48" s="111">
        <f t="shared" si="20"/>
        <v>0</v>
      </c>
      <c r="M48" s="110"/>
      <c r="N48" s="111">
        <f t="shared" si="4"/>
        <v>0</v>
      </c>
      <c r="O48" s="110"/>
      <c r="P48" s="86">
        <f t="shared" si="21"/>
        <v>48</v>
      </c>
      <c r="Q48" s="87">
        <v>48</v>
      </c>
      <c r="R48" s="37">
        <f t="shared" si="8"/>
        <v>1500</v>
      </c>
      <c r="S48" s="37">
        <f t="shared" si="5"/>
        <v>1500</v>
      </c>
      <c r="T48" s="114">
        <f t="shared" si="22"/>
        <v>0</v>
      </c>
      <c r="U48" s="115">
        <f t="shared" si="23"/>
        <v>0</v>
      </c>
      <c r="V48" s="65"/>
      <c r="W48" s="68"/>
      <c r="X48" s="68"/>
    </row>
    <row r="49" spans="2:24" ht="18" customHeight="1">
      <c r="B49" s="35">
        <v>24</v>
      </c>
      <c r="C49" s="36" t="s">
        <v>33</v>
      </c>
      <c r="D49" s="18" t="s">
        <v>152</v>
      </c>
      <c r="E49" s="19" t="s">
        <v>191</v>
      </c>
      <c r="F49" s="85">
        <v>15.92</v>
      </c>
      <c r="G49" s="85">
        <v>16.329999999999998</v>
      </c>
      <c r="H49" s="109">
        <v>2505</v>
      </c>
      <c r="I49" s="85">
        <v>15.9166666666666</v>
      </c>
      <c r="J49" s="111">
        <f t="shared" si="3"/>
        <v>39871.249999999833</v>
      </c>
      <c r="K49" s="110"/>
      <c r="L49" s="111">
        <f t="shared" si="20"/>
        <v>0</v>
      </c>
      <c r="M49" s="110">
        <v>1464</v>
      </c>
      <c r="N49" s="111">
        <f t="shared" si="4"/>
        <v>23306.880000000001</v>
      </c>
      <c r="O49" s="110"/>
      <c r="P49" s="86">
        <f t="shared" si="21"/>
        <v>1041</v>
      </c>
      <c r="Q49" s="87">
        <v>976</v>
      </c>
      <c r="R49" s="37">
        <f t="shared" si="8"/>
        <v>16569.249999999931</v>
      </c>
      <c r="S49" s="37">
        <f t="shared" si="5"/>
        <v>15534.666666666602</v>
      </c>
      <c r="T49" s="114">
        <f t="shared" si="22"/>
        <v>65</v>
      </c>
      <c r="U49" s="115">
        <f t="shared" si="23"/>
        <v>1034.5833333333285</v>
      </c>
      <c r="V49" s="65"/>
      <c r="W49" s="34"/>
      <c r="X49" s="68"/>
    </row>
    <row r="50" spans="2:24" ht="18" customHeight="1">
      <c r="B50" s="35">
        <v>24</v>
      </c>
      <c r="C50" s="36" t="s">
        <v>33</v>
      </c>
      <c r="D50" s="18" t="s">
        <v>153</v>
      </c>
      <c r="E50" s="19" t="s">
        <v>192</v>
      </c>
      <c r="F50" s="85">
        <v>11.58</v>
      </c>
      <c r="G50" s="85">
        <v>12</v>
      </c>
      <c r="H50" s="109">
        <v>2904</v>
      </c>
      <c r="I50" s="85">
        <v>11.58333333</v>
      </c>
      <c r="J50" s="111">
        <f t="shared" si="3"/>
        <v>33637.999990320001</v>
      </c>
      <c r="K50" s="110"/>
      <c r="L50" s="111">
        <f t="shared" si="20"/>
        <v>0</v>
      </c>
      <c r="M50" s="110">
        <v>216</v>
      </c>
      <c r="N50" s="111">
        <f t="shared" si="4"/>
        <v>2501.2800000000002</v>
      </c>
      <c r="O50" s="110"/>
      <c r="P50" s="86">
        <f t="shared" si="21"/>
        <v>2688</v>
      </c>
      <c r="Q50" s="87">
        <v>2695</v>
      </c>
      <c r="R50" s="37">
        <f t="shared" si="8"/>
        <v>31135.99999104</v>
      </c>
      <c r="S50" s="37">
        <f t="shared" si="5"/>
        <v>31217.083324350002</v>
      </c>
      <c r="T50" s="114">
        <f t="shared" si="22"/>
        <v>-7</v>
      </c>
      <c r="U50" s="115">
        <f t="shared" si="23"/>
        <v>-81.083333310001763</v>
      </c>
      <c r="V50" s="65"/>
      <c r="W50" s="34"/>
      <c r="X50" s="68"/>
    </row>
    <row r="51" spans="2:24" ht="18" customHeight="1">
      <c r="B51" s="35">
        <v>24</v>
      </c>
      <c r="C51" s="36" t="s">
        <v>33</v>
      </c>
      <c r="D51" s="18" t="s">
        <v>60</v>
      </c>
      <c r="E51" s="19" t="s">
        <v>61</v>
      </c>
      <c r="F51" s="85">
        <v>14.58</v>
      </c>
      <c r="G51" s="85">
        <v>16.75</v>
      </c>
      <c r="H51" s="109">
        <v>821</v>
      </c>
      <c r="I51" s="85">
        <v>14.58</v>
      </c>
      <c r="J51" s="111">
        <f t="shared" si="3"/>
        <v>11970.18</v>
      </c>
      <c r="K51" s="110"/>
      <c r="L51" s="111">
        <f t="shared" si="20"/>
        <v>0</v>
      </c>
      <c r="M51" s="110">
        <v>87</v>
      </c>
      <c r="N51" s="111">
        <f t="shared" si="4"/>
        <v>1268.46</v>
      </c>
      <c r="O51" s="110"/>
      <c r="P51" s="86">
        <f t="shared" si="21"/>
        <v>734</v>
      </c>
      <c r="Q51" s="87">
        <v>729</v>
      </c>
      <c r="R51" s="37">
        <f t="shared" si="8"/>
        <v>10701.72</v>
      </c>
      <c r="S51" s="37">
        <f t="shared" si="5"/>
        <v>10628.82</v>
      </c>
      <c r="T51" s="114">
        <f t="shared" si="22"/>
        <v>5</v>
      </c>
      <c r="U51" s="115">
        <f t="shared" si="23"/>
        <v>72.899999999999636</v>
      </c>
      <c r="V51" s="65"/>
      <c r="W51" s="34"/>
      <c r="X51" s="68"/>
    </row>
    <row r="52" spans="2:24" ht="18" customHeight="1">
      <c r="B52" s="35">
        <v>24</v>
      </c>
      <c r="C52" s="36" t="s">
        <v>33</v>
      </c>
      <c r="D52" s="18" t="s">
        <v>62</v>
      </c>
      <c r="E52" s="19" t="s">
        <v>63</v>
      </c>
      <c r="F52" s="85">
        <v>6.67</v>
      </c>
      <c r="G52" s="85">
        <v>7.37</v>
      </c>
      <c r="H52" s="109">
        <v>6139</v>
      </c>
      <c r="I52" s="85">
        <v>6.67</v>
      </c>
      <c r="J52" s="111">
        <f t="shared" si="3"/>
        <v>40947.129999999997</v>
      </c>
      <c r="K52" s="110"/>
      <c r="L52" s="111">
        <f t="shared" si="20"/>
        <v>0</v>
      </c>
      <c r="M52" s="110">
        <v>41</v>
      </c>
      <c r="N52" s="111">
        <f t="shared" si="4"/>
        <v>273.46999999999997</v>
      </c>
      <c r="O52" s="110"/>
      <c r="P52" s="86">
        <f t="shared" si="21"/>
        <v>6098</v>
      </c>
      <c r="Q52" s="87">
        <v>6026</v>
      </c>
      <c r="R52" s="37">
        <f t="shared" si="8"/>
        <v>40673.659999999996</v>
      </c>
      <c r="S52" s="37">
        <f t="shared" si="5"/>
        <v>40193.42</v>
      </c>
      <c r="T52" s="114">
        <f t="shared" si="22"/>
        <v>72</v>
      </c>
      <c r="U52" s="115">
        <f t="shared" si="23"/>
        <v>480.23999999999796</v>
      </c>
      <c r="V52" s="65"/>
      <c r="W52" s="34"/>
      <c r="X52" s="68"/>
    </row>
    <row r="53" spans="2:24" ht="18" customHeight="1">
      <c r="B53" s="35">
        <v>24</v>
      </c>
      <c r="C53" s="36" t="s">
        <v>33</v>
      </c>
      <c r="D53" s="18" t="s">
        <v>155</v>
      </c>
      <c r="E53" s="19" t="s">
        <v>158</v>
      </c>
      <c r="F53" s="85">
        <v>6.54</v>
      </c>
      <c r="G53" s="85">
        <v>7.25</v>
      </c>
      <c r="H53" s="109">
        <v>2820</v>
      </c>
      <c r="I53" s="85">
        <v>6.54</v>
      </c>
      <c r="J53" s="111">
        <f t="shared" si="3"/>
        <v>18442.8</v>
      </c>
      <c r="K53" s="110"/>
      <c r="L53" s="111">
        <f t="shared" si="20"/>
        <v>0</v>
      </c>
      <c r="M53" s="110">
        <v>84</v>
      </c>
      <c r="N53" s="111">
        <f t="shared" si="4"/>
        <v>549.36</v>
      </c>
      <c r="O53" s="110"/>
      <c r="P53" s="86">
        <f t="shared" si="21"/>
        <v>2736</v>
      </c>
      <c r="Q53" s="87">
        <v>2736</v>
      </c>
      <c r="R53" s="37">
        <f t="shared" si="8"/>
        <v>17893.439999999999</v>
      </c>
      <c r="S53" s="37">
        <f t="shared" si="5"/>
        <v>17893.439999999999</v>
      </c>
      <c r="T53" s="114">
        <f t="shared" si="22"/>
        <v>0</v>
      </c>
      <c r="U53" s="115">
        <f t="shared" si="23"/>
        <v>0</v>
      </c>
      <c r="V53" s="65"/>
      <c r="W53" s="7"/>
      <c r="X53" s="68"/>
    </row>
    <row r="54" spans="2:24" ht="18" customHeight="1">
      <c r="B54" s="35">
        <v>24</v>
      </c>
      <c r="C54" s="36" t="s">
        <v>33</v>
      </c>
      <c r="D54" s="18" t="s">
        <v>64</v>
      </c>
      <c r="E54" s="19" t="s">
        <v>65</v>
      </c>
      <c r="F54" s="85">
        <v>8.7100000000000009</v>
      </c>
      <c r="G54" s="85">
        <v>9.58</v>
      </c>
      <c r="H54" s="109">
        <v>10071</v>
      </c>
      <c r="I54" s="85">
        <v>8.7100000000000009</v>
      </c>
      <c r="J54" s="111">
        <f t="shared" si="3"/>
        <v>87718.41</v>
      </c>
      <c r="K54" s="110"/>
      <c r="L54" s="111">
        <f t="shared" si="20"/>
        <v>0</v>
      </c>
      <c r="M54" s="110">
        <v>340</v>
      </c>
      <c r="N54" s="111">
        <f t="shared" si="4"/>
        <v>2961.4</v>
      </c>
      <c r="O54" s="110"/>
      <c r="P54" s="86">
        <f t="shared" si="21"/>
        <v>9731</v>
      </c>
      <c r="Q54" s="87">
        <v>9792</v>
      </c>
      <c r="R54" s="37">
        <f t="shared" si="8"/>
        <v>84757.010000000009</v>
      </c>
      <c r="S54" s="37">
        <f t="shared" si="5"/>
        <v>85288.320000000007</v>
      </c>
      <c r="T54" s="114">
        <f t="shared" si="22"/>
        <v>-61</v>
      </c>
      <c r="U54" s="115">
        <f t="shared" si="23"/>
        <v>-531.30999999999767</v>
      </c>
      <c r="V54" s="65"/>
      <c r="W54" s="7"/>
      <c r="X54" s="68"/>
    </row>
    <row r="55" spans="2:24" ht="18" customHeight="1">
      <c r="B55" s="35">
        <v>24</v>
      </c>
      <c r="C55" s="36" t="s">
        <v>33</v>
      </c>
      <c r="D55" s="18" t="s">
        <v>67</v>
      </c>
      <c r="E55" s="19" t="s">
        <v>68</v>
      </c>
      <c r="F55" s="85">
        <v>74.67</v>
      </c>
      <c r="G55" s="85">
        <v>80</v>
      </c>
      <c r="H55" s="109">
        <v>16</v>
      </c>
      <c r="I55" s="85">
        <v>74.67</v>
      </c>
      <c r="J55" s="111">
        <f t="shared" si="3"/>
        <v>1194.72</v>
      </c>
      <c r="K55" s="110"/>
      <c r="L55" s="111">
        <f t="shared" si="20"/>
        <v>0</v>
      </c>
      <c r="M55" s="110"/>
      <c r="N55" s="111">
        <f t="shared" si="4"/>
        <v>0</v>
      </c>
      <c r="O55" s="110"/>
      <c r="P55" s="86">
        <f t="shared" si="21"/>
        <v>16</v>
      </c>
      <c r="Q55" s="87">
        <v>15</v>
      </c>
      <c r="R55" s="37">
        <f t="shared" si="8"/>
        <v>1194.72</v>
      </c>
      <c r="S55" s="37">
        <f t="shared" si="5"/>
        <v>1120.05</v>
      </c>
      <c r="T55" s="114">
        <f t="shared" si="22"/>
        <v>1</v>
      </c>
      <c r="U55" s="115">
        <f t="shared" si="23"/>
        <v>74.670000000000073</v>
      </c>
      <c r="V55" s="65"/>
      <c r="W55" s="7"/>
      <c r="X55" s="68"/>
    </row>
    <row r="56" spans="2:24">
      <c r="B56" s="29" t="s">
        <v>10</v>
      </c>
      <c r="C56" s="29"/>
      <c r="D56" s="33"/>
      <c r="E56" s="33"/>
      <c r="F56" s="60"/>
      <c r="G56" s="60"/>
      <c r="H56" s="61">
        <f>SUM(H6:H55)</f>
        <v>141362</v>
      </c>
      <c r="I56" s="107"/>
      <c r="J56" s="107">
        <f>SUM(J6:J55)</f>
        <v>1867465.1916142907</v>
      </c>
      <c r="K56" s="61">
        <f t="shared" ref="K56:U56" si="27">SUM(K6:K55)</f>
        <v>0</v>
      </c>
      <c r="L56" s="107">
        <f t="shared" si="27"/>
        <v>0</v>
      </c>
      <c r="M56" s="61">
        <f t="shared" si="27"/>
        <v>38791</v>
      </c>
      <c r="N56" s="107">
        <f t="shared" si="27"/>
        <v>620236.60999999987</v>
      </c>
      <c r="O56" s="61">
        <f t="shared" si="27"/>
        <v>0</v>
      </c>
      <c r="P56" s="61">
        <f t="shared" si="27"/>
        <v>102571</v>
      </c>
      <c r="Q56" s="61">
        <f t="shared" si="27"/>
        <v>102465</v>
      </c>
      <c r="R56" s="32">
        <f t="shared" si="27"/>
        <v>1247221.2949553486</v>
      </c>
      <c r="S56" s="32">
        <f t="shared" si="27"/>
        <v>1243279.6632884985</v>
      </c>
      <c r="T56" s="30">
        <f t="shared" si="27"/>
        <v>106</v>
      </c>
      <c r="U56" s="32">
        <f t="shared" si="27"/>
        <v>3941.6316668500058</v>
      </c>
      <c r="V56" s="33"/>
      <c r="W56" s="91">
        <f>SUM(W6:W55)</f>
        <v>0</v>
      </c>
      <c r="X56" s="91">
        <f>SUM(X6:X55)</f>
        <v>0</v>
      </c>
    </row>
    <row r="57" spans="2:24">
      <c r="H57" s="55" t="s">
        <v>69</v>
      </c>
      <c r="W57" s="34"/>
    </row>
    <row r="58" spans="2:24" ht="15" customHeight="1">
      <c r="B58" s="38" t="s">
        <v>11</v>
      </c>
      <c r="C58" s="38"/>
      <c r="D58" s="3" t="s">
        <v>12</v>
      </c>
      <c r="E58" s="16" t="s">
        <v>13</v>
      </c>
      <c r="F58" s="124" t="s">
        <v>14</v>
      </c>
      <c r="G58" s="124"/>
      <c r="H58" s="124"/>
      <c r="I58" s="124"/>
      <c r="J58" s="124"/>
      <c r="K58" s="124"/>
      <c r="L58" s="64"/>
      <c r="M58" s="64"/>
      <c r="N58" s="116">
        <v>620236.60999999987</v>
      </c>
      <c r="O58" s="64"/>
      <c r="P58" s="64"/>
      <c r="Q58" s="64"/>
      <c r="R58" s="64"/>
      <c r="T58" s="66"/>
      <c r="U58" s="67"/>
      <c r="V58" s="62"/>
      <c r="W58" s="62"/>
      <c r="X58" s="67"/>
    </row>
    <row r="59" spans="2:24" ht="15" customHeight="1">
      <c r="B59" s="119" t="s">
        <v>15</v>
      </c>
      <c r="C59" s="120"/>
      <c r="D59" s="39">
        <f>R56</f>
        <v>1247221.2949553486</v>
      </c>
      <c r="E59" s="40">
        <f>P56</f>
        <v>102571</v>
      </c>
      <c r="F59" s="125"/>
      <c r="G59" s="125"/>
      <c r="H59" s="125"/>
      <c r="I59" s="125"/>
      <c r="J59" s="125"/>
      <c r="K59" s="125"/>
      <c r="L59" s="2"/>
      <c r="M59" s="2"/>
      <c r="N59" s="117"/>
      <c r="O59" s="2"/>
      <c r="P59" s="2"/>
      <c r="Q59" s="2"/>
      <c r="R59" s="2"/>
      <c r="T59" s="66"/>
      <c r="U59" s="67"/>
      <c r="V59" s="62"/>
      <c r="W59" s="62"/>
      <c r="X59" s="67"/>
    </row>
    <row r="60" spans="2:24" ht="15" customHeight="1">
      <c r="B60" s="41" t="s">
        <v>6</v>
      </c>
      <c r="C60" s="41"/>
      <c r="D60" s="39">
        <f>S56</f>
        <v>1243279.6632884985</v>
      </c>
      <c r="E60" s="40">
        <f>Q56</f>
        <v>102465</v>
      </c>
      <c r="F60" s="125"/>
      <c r="G60" s="125"/>
      <c r="H60" s="125"/>
      <c r="I60" s="125"/>
      <c r="J60" s="125"/>
      <c r="K60" s="125"/>
      <c r="L60" s="2"/>
      <c r="M60" s="2"/>
      <c r="N60" s="117"/>
      <c r="O60" s="2"/>
      <c r="P60" s="2"/>
      <c r="Q60" s="2"/>
      <c r="R60" s="2"/>
      <c r="T60" s="66"/>
      <c r="U60" s="67"/>
      <c r="V60" s="62"/>
      <c r="W60" s="62"/>
      <c r="X60" s="67"/>
    </row>
    <row r="61" spans="2:24" ht="15" customHeight="1">
      <c r="B61" s="38" t="s">
        <v>16</v>
      </c>
      <c r="C61" s="38"/>
      <c r="D61" s="42">
        <f>D59-D60</f>
        <v>3941.6316668500658</v>
      </c>
      <c r="E61" s="43">
        <f>E59-E60</f>
        <v>106</v>
      </c>
      <c r="F61" s="125"/>
      <c r="G61" s="125"/>
      <c r="H61" s="125"/>
      <c r="I61" s="125"/>
      <c r="J61" s="125"/>
      <c r="K61" s="125"/>
      <c r="L61" s="2"/>
      <c r="M61" s="2"/>
      <c r="N61" s="117"/>
      <c r="O61" s="2"/>
      <c r="P61" s="2"/>
      <c r="Q61" s="2"/>
      <c r="R61" s="2"/>
      <c r="T61" s="66"/>
      <c r="U61" s="67"/>
      <c r="V61" s="62"/>
      <c r="W61" s="62"/>
      <c r="X61" s="67"/>
    </row>
    <row r="63" spans="2:24" ht="15.75" hidden="1" customHeight="1">
      <c r="B63" s="62" t="s">
        <v>70</v>
      </c>
      <c r="C63" s="62" t="s">
        <v>71</v>
      </c>
      <c r="D63" s="62"/>
      <c r="E63" s="62"/>
      <c r="F63" s="62"/>
      <c r="G63" s="62"/>
      <c r="H63" s="63"/>
      <c r="I63" s="108"/>
      <c r="J63" s="108"/>
      <c r="K63" s="63"/>
      <c r="L63" s="108"/>
      <c r="M63" s="63"/>
      <c r="N63" s="108"/>
      <c r="O63" s="63"/>
      <c r="P63" s="63"/>
      <c r="Q63" s="62"/>
      <c r="R63" s="62"/>
      <c r="W63"/>
    </row>
    <row r="64" spans="2:24" ht="15" hidden="1" customHeight="1">
      <c r="C64" s="62"/>
      <c r="D64" s="62"/>
      <c r="E64" s="62"/>
      <c r="F64" s="62"/>
      <c r="G64" s="62"/>
      <c r="H64" s="63"/>
      <c r="I64" s="108"/>
      <c r="J64" s="108"/>
      <c r="K64" s="63"/>
      <c r="L64" s="108"/>
      <c r="M64" s="63"/>
      <c r="N64" s="108"/>
      <c r="O64" s="63"/>
      <c r="P64" s="63"/>
      <c r="Q64" s="62"/>
      <c r="R64" s="62"/>
      <c r="W64"/>
    </row>
    <row r="65" spans="2:23" ht="15" hidden="1" customHeight="1">
      <c r="W65"/>
    </row>
    <row r="66" spans="2:23" ht="15" hidden="1" customHeight="1">
      <c r="W66"/>
    </row>
    <row r="67" spans="2:23">
      <c r="B67" s="4" t="s">
        <v>17</v>
      </c>
      <c r="C67" s="4"/>
      <c r="D67" s="4"/>
      <c r="E67" s="4" t="s">
        <v>18</v>
      </c>
      <c r="F67" s="5"/>
      <c r="G67" s="5"/>
      <c r="K67" s="31" t="s">
        <v>72</v>
      </c>
      <c r="L67" s="112"/>
      <c r="M67" s="9"/>
      <c r="N67" s="9"/>
      <c r="P67" s="68"/>
    </row>
    <row r="68" spans="2:23">
      <c r="B68" s="4"/>
      <c r="C68" s="4"/>
      <c r="D68" s="4"/>
      <c r="E68" s="4"/>
      <c r="F68" s="5"/>
      <c r="G68" s="5"/>
      <c r="K68" s="31"/>
      <c r="L68" s="112"/>
      <c r="M68" s="9"/>
      <c r="N68" s="9"/>
    </row>
    <row r="69" spans="2:23">
      <c r="B69" s="121" t="s">
        <v>19</v>
      </c>
      <c r="C69" s="121"/>
      <c r="E69" s="6" t="s">
        <v>123</v>
      </c>
      <c r="F69" s="11"/>
      <c r="G69" s="11"/>
      <c r="K69" s="121" t="s">
        <v>20</v>
      </c>
      <c r="L69" s="121"/>
      <c r="M69" s="121"/>
      <c r="N69" s="121"/>
      <c r="O69" s="121"/>
      <c r="S69" s="11"/>
    </row>
    <row r="70" spans="2:23">
      <c r="B70" s="122" t="s">
        <v>130</v>
      </c>
      <c r="C70" s="122"/>
      <c r="E70" s="7" t="s">
        <v>122</v>
      </c>
      <c r="F70"/>
      <c r="G70"/>
      <c r="H70"/>
      <c r="I70" s="9"/>
      <c r="J70" s="9">
        <v>1867465.1916142907</v>
      </c>
      <c r="K70" s="122" t="s">
        <v>21</v>
      </c>
      <c r="L70" s="122"/>
      <c r="M70" s="122"/>
      <c r="N70" s="122"/>
      <c r="O70" s="122"/>
      <c r="S70"/>
    </row>
    <row r="71" spans="2:23">
      <c r="K71" s="26"/>
      <c r="L71" s="9"/>
      <c r="M71" s="9"/>
      <c r="N71" s="9"/>
    </row>
    <row r="72" spans="2:23">
      <c r="K72" s="26"/>
      <c r="L72" s="9"/>
      <c r="M72" s="9"/>
      <c r="N72" s="9"/>
    </row>
    <row r="73" spans="2:23">
      <c r="B73" s="4" t="s">
        <v>22</v>
      </c>
      <c r="C73" s="8"/>
      <c r="K73" s="31" t="s">
        <v>23</v>
      </c>
      <c r="L73" s="112"/>
      <c r="M73" s="9"/>
      <c r="N73" s="9"/>
    </row>
    <row r="74" spans="2:23">
      <c r="B74" s="4"/>
      <c r="C74" s="8"/>
      <c r="K74" s="31"/>
      <c r="L74" s="112"/>
      <c r="M74" s="9"/>
      <c r="N74" s="9"/>
    </row>
    <row r="75" spans="2:23">
      <c r="B75" s="121" t="s">
        <v>125</v>
      </c>
      <c r="C75" s="121"/>
      <c r="D75" s="121"/>
      <c r="E75" s="121"/>
      <c r="K75" s="121" t="s">
        <v>24</v>
      </c>
      <c r="L75" s="121"/>
      <c r="M75" s="121"/>
      <c r="N75" s="121"/>
      <c r="O75" s="121"/>
      <c r="S75" s="11"/>
      <c r="V75" s="118"/>
    </row>
    <row r="76" spans="2:23">
      <c r="B76" s="122" t="s">
        <v>124</v>
      </c>
      <c r="C76" s="122"/>
      <c r="D76" s="122"/>
      <c r="E76" s="122"/>
      <c r="K76" s="123" t="s">
        <v>25</v>
      </c>
      <c r="L76" s="123"/>
      <c r="M76" s="123"/>
      <c r="N76" s="123"/>
      <c r="O76" s="123"/>
      <c r="S76"/>
      <c r="V76" s="118"/>
    </row>
    <row r="80" spans="2:23" ht="15.75">
      <c r="B80" s="126"/>
      <c r="C80" s="126"/>
      <c r="D80" s="126"/>
      <c r="E80" s="126"/>
      <c r="F80" s="126"/>
      <c r="G80" s="84"/>
    </row>
    <row r="81" spans="2:7" ht="15.75">
      <c r="B81" s="126"/>
      <c r="C81" s="126"/>
      <c r="D81" s="126"/>
      <c r="E81" s="126"/>
      <c r="F81" s="126"/>
      <c r="G81" s="84"/>
    </row>
    <row r="82" spans="2:7" ht="15.75">
      <c r="B82" s="126"/>
      <c r="C82" s="126"/>
      <c r="D82" s="126"/>
      <c r="E82" s="126"/>
      <c r="F82" s="126"/>
      <c r="G82" s="84"/>
    </row>
    <row r="83" spans="2:7" ht="15.75">
      <c r="B83" s="126"/>
      <c r="C83" s="126"/>
      <c r="D83" s="126"/>
      <c r="E83" s="126"/>
      <c r="F83" s="126"/>
      <c r="G83" s="84"/>
    </row>
  </sheetData>
  <autoFilter ref="B5:X61" xr:uid="{00000000-0001-0000-0300-000000000000}"/>
  <mergeCells count="13">
    <mergeCell ref="F58:K58"/>
    <mergeCell ref="F59:K61"/>
    <mergeCell ref="B80:F83"/>
    <mergeCell ref="B75:E75"/>
    <mergeCell ref="B76:E76"/>
    <mergeCell ref="V75:V76"/>
    <mergeCell ref="B59:C59"/>
    <mergeCell ref="B69:C69"/>
    <mergeCell ref="B70:C70"/>
    <mergeCell ref="K69:O69"/>
    <mergeCell ref="K70:O70"/>
    <mergeCell ref="K75:O75"/>
    <mergeCell ref="K76:O76"/>
  </mergeCells>
  <printOptions horizontalCentered="1"/>
  <pageMargins left="0.25" right="0.25" top="0.75" bottom="0.75" header="0.3" footer="0.3"/>
  <pageSetup scale="45"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3169-DC9D-4A56-B9BF-645FB15A85FC}">
  <sheetPr>
    <tabColor rgb="FF002060"/>
    <pageSetUpPr fitToPage="1"/>
  </sheetPr>
  <dimension ref="A1:CA87"/>
  <sheetViews>
    <sheetView workbookViewId="0">
      <pane xSplit="1" ySplit="6" topLeftCell="B31" activePane="bottomRight" state="frozen"/>
      <selection pane="topRight" activeCell="B1" sqref="B1"/>
      <selection pane="bottomLeft" activeCell="A7" sqref="A7"/>
      <selection pane="bottomRight" sqref="A1:XFD1048576"/>
    </sheetView>
  </sheetViews>
  <sheetFormatPr defaultColWidth="9" defaultRowHeight="15"/>
  <cols>
    <col min="1" max="1" width="23.85546875" customWidth="1"/>
    <col min="2" max="3" width="6.85546875" style="7" customWidth="1"/>
    <col min="4" max="4" width="9" style="47"/>
    <col min="5" max="6" width="6.85546875" style="48" customWidth="1"/>
    <col min="7" max="7" width="7.28515625" style="48" bestFit="1" customWidth="1"/>
    <col min="8" max="9" width="6.85546875" style="48" hidden="1" customWidth="1"/>
    <col min="10" max="10" width="7.28515625" style="48" hidden="1" customWidth="1"/>
    <col min="11" max="12" width="6.85546875" style="48" customWidth="1"/>
    <col min="13" max="13" width="7" style="48" bestFit="1" customWidth="1"/>
    <col min="14" max="15" width="6.85546875" style="48" customWidth="1"/>
    <col min="16" max="16" width="7.28515625" style="48" bestFit="1" customWidth="1"/>
    <col min="17" max="17" width="9.28515625" style="7" bestFit="1" customWidth="1"/>
    <col min="18" max="18" width="9" style="96"/>
    <col min="19" max="19" width="13.42578125" style="96" customWidth="1"/>
  </cols>
  <sheetData>
    <row r="1" spans="1:79" ht="15" customHeight="1">
      <c r="A1" s="64" t="s">
        <v>118</v>
      </c>
      <c r="B1" s="49"/>
      <c r="C1" s="49"/>
      <c r="D1" s="50"/>
    </row>
    <row r="2" spans="1:79" ht="13.5" customHeight="1">
      <c r="A2" s="77" t="s">
        <v>121</v>
      </c>
      <c r="B2" s="49"/>
      <c r="C2" s="49"/>
      <c r="D2" s="50"/>
    </row>
    <row r="3" spans="1:79" ht="12" customHeight="1">
      <c r="A3" s="83" t="s">
        <v>211</v>
      </c>
      <c r="D3" s="48"/>
    </row>
    <row r="4" spans="1:79" ht="23.25" customHeight="1">
      <c r="A4" s="134" t="s">
        <v>73</v>
      </c>
      <c r="B4" s="137" t="s">
        <v>111</v>
      </c>
      <c r="C4" s="138"/>
      <c r="D4" s="139"/>
      <c r="E4" s="135" t="s">
        <v>74</v>
      </c>
      <c r="F4" s="136"/>
      <c r="G4" s="136"/>
      <c r="H4" s="136"/>
      <c r="I4" s="136"/>
      <c r="J4" s="136"/>
      <c r="K4" s="133" t="s">
        <v>212</v>
      </c>
      <c r="L4" s="133"/>
      <c r="M4" s="133"/>
      <c r="N4" s="133" t="s">
        <v>112</v>
      </c>
      <c r="O4" s="133"/>
      <c r="P4" s="133"/>
      <c r="Q4" s="133" t="s">
        <v>10</v>
      </c>
      <c r="R4" s="128" t="s">
        <v>75</v>
      </c>
      <c r="S4" s="129" t="s">
        <v>12</v>
      </c>
    </row>
    <row r="5" spans="1:79">
      <c r="A5" s="134"/>
      <c r="B5" s="140"/>
      <c r="C5" s="141"/>
      <c r="D5" s="142"/>
      <c r="E5" s="130" t="s">
        <v>76</v>
      </c>
      <c r="F5" s="131"/>
      <c r="G5" s="132"/>
      <c r="H5" s="130" t="s">
        <v>199</v>
      </c>
      <c r="I5" s="131"/>
      <c r="J5" s="132"/>
      <c r="K5" s="133"/>
      <c r="L5" s="133"/>
      <c r="M5" s="133"/>
      <c r="N5" s="133"/>
      <c r="O5" s="133"/>
      <c r="P5" s="133"/>
      <c r="Q5" s="133"/>
      <c r="R5" s="128"/>
      <c r="S5" s="129"/>
    </row>
    <row r="6" spans="1:79">
      <c r="A6" s="134"/>
      <c r="B6" s="51" t="s">
        <v>77</v>
      </c>
      <c r="C6" s="51" t="s">
        <v>78</v>
      </c>
      <c r="D6" s="51" t="s">
        <v>79</v>
      </c>
      <c r="E6" s="51" t="s">
        <v>77</v>
      </c>
      <c r="F6" s="51" t="s">
        <v>78</v>
      </c>
      <c r="G6" s="51" t="s">
        <v>79</v>
      </c>
      <c r="H6" s="51" t="s">
        <v>77</v>
      </c>
      <c r="I6" s="51" t="s">
        <v>78</v>
      </c>
      <c r="J6" s="51" t="s">
        <v>79</v>
      </c>
      <c r="K6" s="51" t="s">
        <v>77</v>
      </c>
      <c r="L6" s="51" t="s">
        <v>78</v>
      </c>
      <c r="M6" s="51" t="s">
        <v>79</v>
      </c>
      <c r="N6" s="51" t="s">
        <v>77</v>
      </c>
      <c r="O6" s="51" t="s">
        <v>78</v>
      </c>
      <c r="P6" s="51" t="s">
        <v>79</v>
      </c>
      <c r="Q6" s="133"/>
      <c r="R6" s="128"/>
      <c r="S6" s="129"/>
    </row>
    <row r="7" spans="1:79" s="46" customFormat="1" ht="17.100000000000001" customHeight="1">
      <c r="A7" s="52" t="s">
        <v>80</v>
      </c>
      <c r="B7" s="97">
        <f>1001-65</f>
        <v>936</v>
      </c>
      <c r="C7" s="97"/>
      <c r="D7" s="98">
        <f>B7*12+C7</f>
        <v>11232</v>
      </c>
      <c r="E7" s="53">
        <v>48</v>
      </c>
      <c r="F7" s="54">
        <v>6</v>
      </c>
      <c r="G7" s="98">
        <f>E7*12+F7</f>
        <v>582</v>
      </c>
      <c r="H7" s="53"/>
      <c r="I7" s="54"/>
      <c r="J7" s="98">
        <f>H7*12+I7</f>
        <v>0</v>
      </c>
      <c r="K7" s="53"/>
      <c r="L7" s="54">
        <v>108</v>
      </c>
      <c r="M7" s="98">
        <f>K7*12+L7</f>
        <v>108</v>
      </c>
      <c r="N7" s="97">
        <v>1</v>
      </c>
      <c r="O7" s="97">
        <v>13</v>
      </c>
      <c r="P7" s="98">
        <f>N7*12+O7</f>
        <v>25</v>
      </c>
      <c r="Q7" s="99">
        <f>D7+G7+J7+M7+P7</f>
        <v>11947</v>
      </c>
      <c r="R7" s="96"/>
      <c r="S7" s="96">
        <f>Q7*R7</f>
        <v>0</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row>
    <row r="8" spans="1:79" s="46" customFormat="1" ht="17.100000000000001" customHeight="1">
      <c r="A8" s="52" t="s">
        <v>81</v>
      </c>
      <c r="B8" s="97">
        <v>164</v>
      </c>
      <c r="C8" s="97"/>
      <c r="D8" s="98">
        <f t="shared" ref="D8:D16" si="0">B8*12+C8</f>
        <v>1968</v>
      </c>
      <c r="E8" s="53">
        <v>5</v>
      </c>
      <c r="F8" s="54">
        <v>6</v>
      </c>
      <c r="G8" s="98">
        <f t="shared" ref="G8:G16" si="1">E8*12+F8</f>
        <v>66</v>
      </c>
      <c r="H8" s="53"/>
      <c r="I8" s="54"/>
      <c r="J8" s="98">
        <f t="shared" ref="J8:J16" si="2">H8*12+I8</f>
        <v>0</v>
      </c>
      <c r="K8" s="53"/>
      <c r="L8" s="54"/>
      <c r="M8" s="98">
        <f t="shared" ref="M8:M16" si="3">K8*12+L8</f>
        <v>0</v>
      </c>
      <c r="N8" s="97"/>
      <c r="O8" s="97">
        <v>20</v>
      </c>
      <c r="P8" s="98">
        <f t="shared" ref="P8:P16" si="4">N8*12+O8</f>
        <v>20</v>
      </c>
      <c r="Q8" s="99">
        <f t="shared" ref="Q8:Q54" si="5">D8+G8+J8+M8+P8</f>
        <v>2054</v>
      </c>
      <c r="R8" s="96"/>
      <c r="S8" s="96">
        <f t="shared" ref="S8:S54" si="6">Q8*R8</f>
        <v>0</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row>
    <row r="9" spans="1:79" s="46" customFormat="1" ht="17.100000000000001" customHeight="1">
      <c r="A9" s="52" t="s">
        <v>82</v>
      </c>
      <c r="B9" s="97">
        <v>91</v>
      </c>
      <c r="C9" s="97"/>
      <c r="D9" s="98">
        <f t="shared" si="0"/>
        <v>1092</v>
      </c>
      <c r="E9" s="53">
        <v>4</v>
      </c>
      <c r="F9" s="54">
        <v>6</v>
      </c>
      <c r="G9" s="98">
        <f t="shared" si="1"/>
        <v>54</v>
      </c>
      <c r="H9" s="53"/>
      <c r="I9" s="54"/>
      <c r="J9" s="98">
        <f t="shared" si="2"/>
        <v>0</v>
      </c>
      <c r="K9" s="53"/>
      <c r="L9" s="54"/>
      <c r="M9" s="98">
        <f t="shared" si="3"/>
        <v>0</v>
      </c>
      <c r="N9" s="97">
        <v>1</v>
      </c>
      <c r="O9" s="97">
        <v>4</v>
      </c>
      <c r="P9" s="98">
        <f t="shared" si="4"/>
        <v>16</v>
      </c>
      <c r="Q9" s="99">
        <f t="shared" si="5"/>
        <v>1162</v>
      </c>
      <c r="R9" s="96"/>
      <c r="S9" s="96">
        <f t="shared" si="6"/>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row>
    <row r="10" spans="1:79" ht="17.100000000000001" customHeight="1">
      <c r="A10" s="52" t="s">
        <v>83</v>
      </c>
      <c r="B10" s="97">
        <v>1494</v>
      </c>
      <c r="C10" s="97"/>
      <c r="D10" s="98">
        <f t="shared" si="0"/>
        <v>17928</v>
      </c>
      <c r="E10" s="53">
        <v>10</v>
      </c>
      <c r="F10" s="54"/>
      <c r="G10" s="98">
        <f t="shared" si="1"/>
        <v>120</v>
      </c>
      <c r="H10" s="53"/>
      <c r="I10" s="54"/>
      <c r="J10" s="98">
        <f t="shared" si="2"/>
        <v>0</v>
      </c>
      <c r="K10" s="53"/>
      <c r="L10" s="54">
        <v>108</v>
      </c>
      <c r="M10" s="98">
        <f t="shared" si="3"/>
        <v>108</v>
      </c>
      <c r="N10" s="97">
        <f>13+2+12+15</f>
        <v>42</v>
      </c>
      <c r="O10" s="97"/>
      <c r="P10" s="98">
        <f t="shared" si="4"/>
        <v>504</v>
      </c>
      <c r="Q10" s="99">
        <f t="shared" si="5"/>
        <v>18660</v>
      </c>
      <c r="S10" s="96">
        <f t="shared" si="6"/>
        <v>0</v>
      </c>
    </row>
    <row r="11" spans="1:79" ht="17.100000000000001" customHeight="1">
      <c r="A11" s="52" t="s">
        <v>159</v>
      </c>
      <c r="B11" s="97"/>
      <c r="C11" s="97"/>
      <c r="D11" s="98">
        <f t="shared" si="0"/>
        <v>0</v>
      </c>
      <c r="E11" s="53"/>
      <c r="F11" s="54"/>
      <c r="G11" s="98">
        <f t="shared" si="1"/>
        <v>0</v>
      </c>
      <c r="H11" s="53"/>
      <c r="I11" s="54"/>
      <c r="J11" s="98">
        <f t="shared" si="2"/>
        <v>0</v>
      </c>
      <c r="K11" s="53"/>
      <c r="L11" s="54">
        <v>20</v>
      </c>
      <c r="M11" s="98">
        <f t="shared" si="3"/>
        <v>20</v>
      </c>
      <c r="N11" s="97">
        <v>24</v>
      </c>
      <c r="O11" s="97"/>
      <c r="P11" s="98">
        <f t="shared" si="4"/>
        <v>288</v>
      </c>
      <c r="Q11" s="99">
        <f t="shared" si="5"/>
        <v>308</v>
      </c>
      <c r="S11" s="96">
        <f t="shared" si="6"/>
        <v>0</v>
      </c>
    </row>
    <row r="12" spans="1:79" ht="17.100000000000001" customHeight="1">
      <c r="A12" s="52" t="s">
        <v>84</v>
      </c>
      <c r="B12" s="97"/>
      <c r="C12" s="97"/>
      <c r="D12" s="98">
        <f t="shared" si="0"/>
        <v>0</v>
      </c>
      <c r="E12" s="53"/>
      <c r="F12" s="54"/>
      <c r="G12" s="98">
        <f t="shared" si="1"/>
        <v>0</v>
      </c>
      <c r="H12" s="53"/>
      <c r="I12" s="54"/>
      <c r="J12" s="98">
        <f t="shared" si="2"/>
        <v>0</v>
      </c>
      <c r="K12" s="53"/>
      <c r="L12" s="54"/>
      <c r="M12" s="98">
        <f t="shared" si="3"/>
        <v>0</v>
      </c>
      <c r="N12" s="97">
        <v>9</v>
      </c>
      <c r="O12" s="97"/>
      <c r="P12" s="98">
        <f t="shared" si="4"/>
        <v>108</v>
      </c>
      <c r="Q12" s="99">
        <f t="shared" si="5"/>
        <v>108</v>
      </c>
      <c r="S12" s="96">
        <f t="shared" si="6"/>
        <v>0</v>
      </c>
    </row>
    <row r="13" spans="1:79" ht="17.100000000000001" customHeight="1">
      <c r="A13" s="52" t="s">
        <v>85</v>
      </c>
      <c r="B13" s="97">
        <v>182</v>
      </c>
      <c r="C13" s="97"/>
      <c r="D13" s="98">
        <f t="shared" si="0"/>
        <v>2184</v>
      </c>
      <c r="E13" s="53">
        <v>15</v>
      </c>
      <c r="F13" s="54"/>
      <c r="G13" s="98">
        <f t="shared" si="1"/>
        <v>180</v>
      </c>
      <c r="H13" s="53"/>
      <c r="I13" s="54"/>
      <c r="J13" s="98">
        <f t="shared" si="2"/>
        <v>0</v>
      </c>
      <c r="K13" s="53"/>
      <c r="L13" s="54">
        <v>14</v>
      </c>
      <c r="M13" s="98">
        <f t="shared" si="3"/>
        <v>14</v>
      </c>
      <c r="N13" s="97">
        <v>10</v>
      </c>
      <c r="O13" s="97">
        <v>7</v>
      </c>
      <c r="P13" s="98">
        <f t="shared" si="4"/>
        <v>127</v>
      </c>
      <c r="Q13" s="99">
        <f t="shared" si="5"/>
        <v>2505</v>
      </c>
      <c r="S13" s="96">
        <f t="shared" si="6"/>
        <v>0</v>
      </c>
    </row>
    <row r="14" spans="1:79" ht="17.100000000000001" customHeight="1">
      <c r="A14" s="52" t="s">
        <v>200</v>
      </c>
      <c r="B14" s="97"/>
      <c r="C14" s="97"/>
      <c r="D14" s="98">
        <f t="shared" si="0"/>
        <v>0</v>
      </c>
      <c r="E14" s="53"/>
      <c r="F14" s="54"/>
      <c r="G14" s="98">
        <f t="shared" si="1"/>
        <v>0</v>
      </c>
      <c r="H14" s="53"/>
      <c r="I14" s="54"/>
      <c r="J14" s="98">
        <f t="shared" si="2"/>
        <v>0</v>
      </c>
      <c r="K14" s="53"/>
      <c r="L14" s="54">
        <v>24</v>
      </c>
      <c r="M14" s="98">
        <f t="shared" si="3"/>
        <v>24</v>
      </c>
      <c r="N14" s="97">
        <v>2</v>
      </c>
      <c r="O14" s="97"/>
      <c r="P14" s="98">
        <f t="shared" si="4"/>
        <v>24</v>
      </c>
      <c r="Q14" s="99">
        <f t="shared" si="5"/>
        <v>48</v>
      </c>
      <c r="S14" s="96">
        <f t="shared" si="6"/>
        <v>0</v>
      </c>
    </row>
    <row r="15" spans="1:79" ht="17.100000000000001" customHeight="1">
      <c r="A15" s="52" t="s">
        <v>201</v>
      </c>
      <c r="B15" s="97"/>
      <c r="C15" s="97"/>
      <c r="D15" s="98">
        <f t="shared" si="0"/>
        <v>0</v>
      </c>
      <c r="E15" s="53"/>
      <c r="F15" s="54"/>
      <c r="G15" s="98">
        <f t="shared" si="1"/>
        <v>0</v>
      </c>
      <c r="H15" s="53"/>
      <c r="I15" s="54"/>
      <c r="J15" s="98">
        <f t="shared" si="2"/>
        <v>0</v>
      </c>
      <c r="K15" s="53"/>
      <c r="L15" s="54"/>
      <c r="M15" s="98">
        <f t="shared" si="3"/>
        <v>0</v>
      </c>
      <c r="N15" s="97">
        <v>4</v>
      </c>
      <c r="O15" s="97"/>
      <c r="P15" s="98">
        <f t="shared" si="4"/>
        <v>48</v>
      </c>
      <c r="Q15" s="99">
        <f t="shared" si="5"/>
        <v>48</v>
      </c>
      <c r="S15" s="96">
        <f t="shared" si="6"/>
        <v>0</v>
      </c>
    </row>
    <row r="16" spans="1:79" s="46" customFormat="1" ht="17.100000000000001" customHeight="1">
      <c r="A16" s="52" t="s">
        <v>126</v>
      </c>
      <c r="B16" s="97"/>
      <c r="C16" s="97"/>
      <c r="D16" s="98">
        <f t="shared" si="0"/>
        <v>0</v>
      </c>
      <c r="E16" s="53"/>
      <c r="F16" s="54"/>
      <c r="G16" s="98">
        <f t="shared" si="1"/>
        <v>0</v>
      </c>
      <c r="H16" s="53"/>
      <c r="I16" s="54"/>
      <c r="J16" s="98">
        <f t="shared" si="2"/>
        <v>0</v>
      </c>
      <c r="K16" s="53"/>
      <c r="L16" s="54"/>
      <c r="M16" s="98">
        <f t="shared" si="3"/>
        <v>0</v>
      </c>
      <c r="N16" s="97">
        <v>7</v>
      </c>
      <c r="O16" s="97"/>
      <c r="P16" s="98">
        <f t="shared" si="4"/>
        <v>84</v>
      </c>
      <c r="Q16" s="99">
        <f t="shared" si="5"/>
        <v>84</v>
      </c>
      <c r="R16" s="96"/>
      <c r="S16" s="96">
        <f t="shared" si="6"/>
        <v>0</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row>
    <row r="17" spans="1:79" ht="17.100000000000001" customHeight="1">
      <c r="A17" s="52" t="s">
        <v>86</v>
      </c>
      <c r="B17" s="97">
        <v>2</v>
      </c>
      <c r="C17" s="97"/>
      <c r="D17" s="98">
        <f t="shared" ref="D17:D20" si="7">B17*24+C17</f>
        <v>48</v>
      </c>
      <c r="E17" s="53"/>
      <c r="F17" s="54"/>
      <c r="G17" s="98">
        <f t="shared" ref="G17:G20" si="8">E17*24+F17</f>
        <v>0</v>
      </c>
      <c r="H17" s="53"/>
      <c r="I17" s="54"/>
      <c r="J17" s="98">
        <f t="shared" ref="J17:J20" si="9">H17*24+I17</f>
        <v>0</v>
      </c>
      <c r="K17" s="53"/>
      <c r="L17" s="54"/>
      <c r="M17" s="98">
        <f t="shared" ref="M17:M20" si="10">K17*24+L17</f>
        <v>0</v>
      </c>
      <c r="N17" s="97"/>
      <c r="O17" s="97"/>
      <c r="P17" s="98">
        <f t="shared" ref="P17:P20" si="11">N17*24+O17</f>
        <v>0</v>
      </c>
      <c r="Q17" s="99">
        <f t="shared" si="5"/>
        <v>48</v>
      </c>
      <c r="S17" s="96">
        <f t="shared" si="6"/>
        <v>0</v>
      </c>
    </row>
    <row r="18" spans="1:79" ht="17.100000000000001" customHeight="1">
      <c r="A18" s="52" t="s">
        <v>87</v>
      </c>
      <c r="B18" s="97">
        <v>2</v>
      </c>
      <c r="C18" s="97"/>
      <c r="D18" s="98">
        <f t="shared" si="7"/>
        <v>48</v>
      </c>
      <c r="E18" s="53"/>
      <c r="F18" s="54"/>
      <c r="G18" s="98">
        <f t="shared" si="8"/>
        <v>0</v>
      </c>
      <c r="H18" s="53"/>
      <c r="I18" s="54"/>
      <c r="J18" s="98">
        <f t="shared" si="9"/>
        <v>0</v>
      </c>
      <c r="K18" s="53"/>
      <c r="L18" s="54"/>
      <c r="M18" s="98">
        <f t="shared" si="10"/>
        <v>0</v>
      </c>
      <c r="N18" s="97"/>
      <c r="O18" s="97"/>
      <c r="P18" s="98">
        <f t="shared" si="11"/>
        <v>0</v>
      </c>
      <c r="Q18" s="99">
        <f t="shared" si="5"/>
        <v>48</v>
      </c>
      <c r="S18" s="96">
        <f t="shared" si="6"/>
        <v>0</v>
      </c>
    </row>
    <row r="19" spans="1:79" s="46" customFormat="1" ht="17.100000000000001" customHeight="1">
      <c r="A19" s="52" t="s">
        <v>88</v>
      </c>
      <c r="B19" s="97">
        <v>2</v>
      </c>
      <c r="C19" s="97"/>
      <c r="D19" s="98">
        <f t="shared" si="7"/>
        <v>48</v>
      </c>
      <c r="E19" s="53"/>
      <c r="F19" s="54"/>
      <c r="G19" s="98">
        <f t="shared" si="8"/>
        <v>0</v>
      </c>
      <c r="H19" s="53"/>
      <c r="I19" s="54"/>
      <c r="J19" s="98">
        <f t="shared" si="9"/>
        <v>0</v>
      </c>
      <c r="K19" s="53"/>
      <c r="L19" s="54"/>
      <c r="M19" s="98">
        <f t="shared" si="10"/>
        <v>0</v>
      </c>
      <c r="N19" s="97"/>
      <c r="O19" s="97"/>
      <c r="P19" s="98">
        <f t="shared" si="11"/>
        <v>0</v>
      </c>
      <c r="Q19" s="99">
        <f t="shared" si="5"/>
        <v>48</v>
      </c>
      <c r="R19" s="96"/>
      <c r="S19" s="96">
        <f t="shared" si="6"/>
        <v>0</v>
      </c>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row>
    <row r="20" spans="1:79" s="46" customFormat="1" ht="17.100000000000001" customHeight="1">
      <c r="A20" s="52" t="s">
        <v>89</v>
      </c>
      <c r="B20" s="97">
        <v>21</v>
      </c>
      <c r="C20" s="97"/>
      <c r="D20" s="98">
        <f t="shared" si="7"/>
        <v>504</v>
      </c>
      <c r="E20" s="53"/>
      <c r="F20" s="54"/>
      <c r="G20" s="98">
        <f t="shared" si="8"/>
        <v>0</v>
      </c>
      <c r="H20" s="53"/>
      <c r="I20" s="54"/>
      <c r="J20" s="98">
        <f t="shared" si="9"/>
        <v>0</v>
      </c>
      <c r="K20" s="53"/>
      <c r="L20" s="54">
        <v>48</v>
      </c>
      <c r="M20" s="98">
        <f t="shared" si="10"/>
        <v>48</v>
      </c>
      <c r="N20" s="97"/>
      <c r="O20" s="97"/>
      <c r="P20" s="98">
        <f t="shared" si="11"/>
        <v>0</v>
      </c>
      <c r="Q20" s="99">
        <f t="shared" si="5"/>
        <v>552</v>
      </c>
      <c r="R20" s="96"/>
      <c r="S20" s="96">
        <f t="shared" si="6"/>
        <v>0</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row>
    <row r="21" spans="1:79" s="46" customFormat="1" ht="17.100000000000001" customHeight="1">
      <c r="A21" s="52" t="s">
        <v>90</v>
      </c>
      <c r="B21" s="97">
        <v>4.2</v>
      </c>
      <c r="C21" s="97">
        <v>2</v>
      </c>
      <c r="D21" s="98">
        <f>B21*12+C21</f>
        <v>52.400000000000006</v>
      </c>
      <c r="E21" s="53"/>
      <c r="F21" s="54">
        <v>11</v>
      </c>
      <c r="G21" s="98">
        <f>E21*12+F21</f>
        <v>11</v>
      </c>
      <c r="H21" s="53"/>
      <c r="I21" s="54"/>
      <c r="J21" s="98">
        <f>H21*12+I21</f>
        <v>0</v>
      </c>
      <c r="K21" s="53"/>
      <c r="L21" s="54"/>
      <c r="M21" s="98">
        <f>K21*12+L21</f>
        <v>0</v>
      </c>
      <c r="N21" s="97">
        <f>2+2+1</f>
        <v>5</v>
      </c>
      <c r="O21" s="97">
        <f>9+2</f>
        <v>11</v>
      </c>
      <c r="P21" s="98">
        <f>N21*12+O21</f>
        <v>71</v>
      </c>
      <c r="Q21" s="99">
        <f t="shared" si="5"/>
        <v>134.4</v>
      </c>
      <c r="R21" s="96"/>
      <c r="S21" s="96">
        <f t="shared" si="6"/>
        <v>0</v>
      </c>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row>
    <row r="22" spans="1:79" s="46" customFormat="1" ht="17.100000000000001" customHeight="1">
      <c r="A22" s="113" t="s">
        <v>213</v>
      </c>
      <c r="B22" s="97">
        <v>290</v>
      </c>
      <c r="C22" s="97"/>
      <c r="D22" s="98">
        <f>B22*12+C22</f>
        <v>3480</v>
      </c>
      <c r="E22" s="53"/>
      <c r="F22" s="54">
        <v>6</v>
      </c>
      <c r="G22" s="98">
        <f>E22*12+F22</f>
        <v>6</v>
      </c>
      <c r="H22" s="53"/>
      <c r="I22" s="54"/>
      <c r="J22" s="98">
        <f>H22*12+I22</f>
        <v>0</v>
      </c>
      <c r="K22" s="53">
        <v>1</v>
      </c>
      <c r="L22" s="54">
        <v>6</v>
      </c>
      <c r="M22" s="98">
        <f>K22*12+L22</f>
        <v>18</v>
      </c>
      <c r="N22" s="97"/>
      <c r="O22" s="97"/>
      <c r="P22" s="98">
        <f>N22*12+O22</f>
        <v>0</v>
      </c>
      <c r="Q22" s="99">
        <f t="shared" ref="Q22" si="12">D22+G22+J22+M22+P22</f>
        <v>3504</v>
      </c>
      <c r="R22" s="96"/>
      <c r="S22" s="96"/>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row>
    <row r="23" spans="1:79" s="46" customFormat="1" ht="17.100000000000001" customHeight="1">
      <c r="A23" s="52" t="s">
        <v>91</v>
      </c>
      <c r="B23" s="97">
        <v>1</v>
      </c>
      <c r="C23" s="97">
        <v>3</v>
      </c>
      <c r="D23" s="98">
        <f t="shared" ref="D23:D29" si="13">B23*12+C23</f>
        <v>15</v>
      </c>
      <c r="E23" s="53">
        <v>3</v>
      </c>
      <c r="F23" s="54"/>
      <c r="G23" s="98">
        <f t="shared" ref="G23:G29" si="14">E23*12+F23</f>
        <v>36</v>
      </c>
      <c r="H23" s="53"/>
      <c r="I23" s="54"/>
      <c r="J23" s="98">
        <f t="shared" ref="J23:J29" si="15">H23*12+I23</f>
        <v>0</v>
      </c>
      <c r="K23" s="53"/>
      <c r="L23" s="54">
        <v>27</v>
      </c>
      <c r="M23" s="98">
        <f t="shared" ref="M23:M29" si="16">K23*12+L23</f>
        <v>27</v>
      </c>
      <c r="N23" s="97">
        <v>58</v>
      </c>
      <c r="O23" s="97">
        <v>3</v>
      </c>
      <c r="P23" s="98">
        <f t="shared" ref="P23:P29" si="17">N23*12+O23</f>
        <v>699</v>
      </c>
      <c r="Q23" s="99">
        <f t="shared" si="5"/>
        <v>777</v>
      </c>
      <c r="R23" s="96"/>
      <c r="S23" s="96">
        <f t="shared" si="6"/>
        <v>0</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row>
    <row r="24" spans="1:79" s="46" customFormat="1" ht="17.100000000000001" customHeight="1">
      <c r="A24" s="52" t="s">
        <v>92</v>
      </c>
      <c r="B24" s="97">
        <v>54</v>
      </c>
      <c r="C24" s="97">
        <v>8</v>
      </c>
      <c r="D24" s="98">
        <f t="shared" si="13"/>
        <v>656</v>
      </c>
      <c r="E24" s="53">
        <v>2</v>
      </c>
      <c r="F24" s="54">
        <v>10</v>
      </c>
      <c r="G24" s="98">
        <f t="shared" si="14"/>
        <v>34</v>
      </c>
      <c r="H24" s="53"/>
      <c r="I24" s="54"/>
      <c r="J24" s="98">
        <f t="shared" si="15"/>
        <v>0</v>
      </c>
      <c r="K24" s="53"/>
      <c r="L24" s="54">
        <v>34</v>
      </c>
      <c r="M24" s="98">
        <f t="shared" si="16"/>
        <v>34</v>
      </c>
      <c r="N24" s="97">
        <v>1</v>
      </c>
      <c r="O24" s="97">
        <v>1</v>
      </c>
      <c r="P24" s="98">
        <f t="shared" si="17"/>
        <v>13</v>
      </c>
      <c r="Q24" s="99">
        <f t="shared" si="5"/>
        <v>737</v>
      </c>
      <c r="R24" s="96"/>
      <c r="S24" s="96">
        <f t="shared" si="6"/>
        <v>0</v>
      </c>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row>
    <row r="25" spans="1:79" s="46" customFormat="1" ht="17.100000000000001" customHeight="1">
      <c r="A25" s="52" t="s">
        <v>93</v>
      </c>
      <c r="B25" s="97"/>
      <c r="C25" s="97"/>
      <c r="D25" s="98">
        <f t="shared" si="13"/>
        <v>0</v>
      </c>
      <c r="E25" s="53"/>
      <c r="F25" s="54"/>
      <c r="G25" s="98">
        <f t="shared" si="14"/>
        <v>0</v>
      </c>
      <c r="H25" s="53"/>
      <c r="I25" s="54"/>
      <c r="J25" s="98">
        <f t="shared" si="15"/>
        <v>0</v>
      </c>
      <c r="K25" s="53"/>
      <c r="L25" s="54"/>
      <c r="M25" s="98">
        <f t="shared" si="16"/>
        <v>0</v>
      </c>
      <c r="N25" s="97"/>
      <c r="O25" s="97"/>
      <c r="P25" s="98">
        <f t="shared" si="17"/>
        <v>0</v>
      </c>
      <c r="Q25" s="99">
        <f t="shared" si="5"/>
        <v>0</v>
      </c>
      <c r="R25" s="96"/>
      <c r="S25" s="96">
        <f t="shared" si="6"/>
        <v>0</v>
      </c>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row>
    <row r="26" spans="1:79" ht="17.100000000000001" customHeight="1">
      <c r="A26" s="52" t="s">
        <v>127</v>
      </c>
      <c r="B26" s="97"/>
      <c r="C26" s="97"/>
      <c r="D26" s="98">
        <f t="shared" si="13"/>
        <v>0</v>
      </c>
      <c r="E26" s="53"/>
      <c r="F26" s="54"/>
      <c r="G26" s="98">
        <f t="shared" si="14"/>
        <v>0</v>
      </c>
      <c r="H26" s="53"/>
      <c r="I26" s="54"/>
      <c r="J26" s="98">
        <f t="shared" si="15"/>
        <v>0</v>
      </c>
      <c r="K26" s="53"/>
      <c r="L26" s="54"/>
      <c r="M26" s="98">
        <f t="shared" si="16"/>
        <v>0</v>
      </c>
      <c r="N26" s="97"/>
      <c r="O26" s="97"/>
      <c r="P26" s="98">
        <f t="shared" si="17"/>
        <v>0</v>
      </c>
      <c r="Q26" s="99">
        <f t="shared" si="5"/>
        <v>0</v>
      </c>
      <c r="S26" s="96">
        <f t="shared" si="6"/>
        <v>0</v>
      </c>
    </row>
    <row r="27" spans="1:79" ht="17.100000000000001" customHeight="1">
      <c r="A27" s="52" t="s">
        <v>160</v>
      </c>
      <c r="B27" s="97">
        <v>5</v>
      </c>
      <c r="C27" s="97"/>
      <c r="D27" s="98">
        <f t="shared" si="13"/>
        <v>60</v>
      </c>
      <c r="E27" s="53">
        <v>1</v>
      </c>
      <c r="F27" s="54"/>
      <c r="G27" s="98">
        <f t="shared" si="14"/>
        <v>12</v>
      </c>
      <c r="H27" s="53"/>
      <c r="I27" s="54"/>
      <c r="J27" s="98">
        <f t="shared" si="15"/>
        <v>0</v>
      </c>
      <c r="K27" s="53"/>
      <c r="L27" s="54"/>
      <c r="M27" s="98">
        <f t="shared" si="16"/>
        <v>0</v>
      </c>
      <c r="N27" s="97"/>
      <c r="O27" s="97"/>
      <c r="P27" s="98">
        <f t="shared" si="17"/>
        <v>0</v>
      </c>
      <c r="Q27" s="99">
        <f t="shared" si="5"/>
        <v>72</v>
      </c>
      <c r="S27" s="96">
        <f t="shared" si="6"/>
        <v>0</v>
      </c>
    </row>
    <row r="28" spans="1:79" ht="17.100000000000001" customHeight="1">
      <c r="A28" s="52" t="s">
        <v>161</v>
      </c>
      <c r="B28" s="97"/>
      <c r="C28" s="97"/>
      <c r="D28" s="98">
        <f t="shared" si="13"/>
        <v>0</v>
      </c>
      <c r="E28" s="53"/>
      <c r="F28" s="54"/>
      <c r="G28" s="98">
        <f t="shared" si="14"/>
        <v>0</v>
      </c>
      <c r="H28" s="53"/>
      <c r="I28" s="54"/>
      <c r="J28" s="98">
        <f t="shared" si="15"/>
        <v>0</v>
      </c>
      <c r="K28" s="53"/>
      <c r="L28" s="54"/>
      <c r="M28" s="98">
        <f t="shared" si="16"/>
        <v>0</v>
      </c>
      <c r="N28" s="97"/>
      <c r="O28" s="97">
        <v>12</v>
      </c>
      <c r="P28" s="98">
        <f t="shared" si="17"/>
        <v>12</v>
      </c>
      <c r="Q28" s="99">
        <f t="shared" si="5"/>
        <v>12</v>
      </c>
      <c r="S28" s="96">
        <f t="shared" si="6"/>
        <v>0</v>
      </c>
    </row>
    <row r="29" spans="1:79" ht="17.100000000000001" customHeight="1">
      <c r="A29" s="52" t="s">
        <v>162</v>
      </c>
      <c r="B29" s="97"/>
      <c r="C29" s="97"/>
      <c r="D29" s="98">
        <f t="shared" si="13"/>
        <v>0</v>
      </c>
      <c r="E29" s="53"/>
      <c r="F29" s="54"/>
      <c r="G29" s="98">
        <f t="shared" si="14"/>
        <v>0</v>
      </c>
      <c r="H29" s="53"/>
      <c r="I29" s="54"/>
      <c r="J29" s="98">
        <f t="shared" si="15"/>
        <v>0</v>
      </c>
      <c r="K29" s="53"/>
      <c r="L29" s="54"/>
      <c r="M29" s="98">
        <f t="shared" si="16"/>
        <v>0</v>
      </c>
      <c r="N29" s="97">
        <v>9.9</v>
      </c>
      <c r="O29" s="97"/>
      <c r="P29" s="98">
        <f t="shared" si="17"/>
        <v>118.80000000000001</v>
      </c>
      <c r="Q29" s="99">
        <f t="shared" si="5"/>
        <v>118.80000000000001</v>
      </c>
      <c r="S29" s="96">
        <f t="shared" si="6"/>
        <v>0</v>
      </c>
    </row>
    <row r="30" spans="1:79" ht="17.100000000000001" customHeight="1">
      <c r="A30" s="52" t="s">
        <v>94</v>
      </c>
      <c r="B30" s="97"/>
      <c r="C30" s="97"/>
      <c r="D30" s="98">
        <f>B30*10+C30</f>
        <v>0</v>
      </c>
      <c r="E30" s="53"/>
      <c r="F30" s="54"/>
      <c r="G30" s="98">
        <f>E30*10+F30</f>
        <v>0</v>
      </c>
      <c r="H30" s="53"/>
      <c r="I30" s="54"/>
      <c r="J30" s="98">
        <f>H30*10+I30</f>
        <v>0</v>
      </c>
      <c r="K30" s="53"/>
      <c r="L30" s="54"/>
      <c r="M30" s="98">
        <f>K30*10+L30</f>
        <v>0</v>
      </c>
      <c r="N30" s="97">
        <v>3</v>
      </c>
      <c r="O30" s="97"/>
      <c r="P30" s="98">
        <f>N30*10+O30</f>
        <v>30</v>
      </c>
      <c r="Q30" s="99">
        <f t="shared" si="5"/>
        <v>30</v>
      </c>
      <c r="S30" s="96">
        <f t="shared" si="6"/>
        <v>0</v>
      </c>
    </row>
    <row r="31" spans="1:79" ht="17.100000000000001" customHeight="1">
      <c r="A31" s="52" t="s">
        <v>95</v>
      </c>
      <c r="B31" s="97"/>
      <c r="C31" s="97"/>
      <c r="D31" s="98">
        <f t="shared" ref="D31:D33" si="18">B31*10+C31</f>
        <v>0</v>
      </c>
      <c r="E31" s="53"/>
      <c r="F31" s="54"/>
      <c r="G31" s="98">
        <f t="shared" ref="G31:G33" si="19">E31*10+F31</f>
        <v>0</v>
      </c>
      <c r="H31" s="53"/>
      <c r="I31" s="54"/>
      <c r="J31" s="98">
        <f t="shared" ref="J31:J33" si="20">H31*10+I31</f>
        <v>0</v>
      </c>
      <c r="K31" s="53"/>
      <c r="L31" s="54"/>
      <c r="M31" s="98">
        <f t="shared" ref="M31:M33" si="21">K31*10+L31</f>
        <v>0</v>
      </c>
      <c r="N31" s="97">
        <v>3</v>
      </c>
      <c r="O31" s="97"/>
      <c r="P31" s="98">
        <f t="shared" ref="P31:P33" si="22">N31*10+O31</f>
        <v>30</v>
      </c>
      <c r="Q31" s="99">
        <f t="shared" si="5"/>
        <v>30</v>
      </c>
      <c r="S31" s="96">
        <f t="shared" si="6"/>
        <v>0</v>
      </c>
    </row>
    <row r="32" spans="1:79" ht="17.100000000000001" customHeight="1">
      <c r="A32" s="52" t="s">
        <v>116</v>
      </c>
      <c r="B32" s="97"/>
      <c r="C32" s="97"/>
      <c r="D32" s="98">
        <f t="shared" si="18"/>
        <v>0</v>
      </c>
      <c r="E32" s="53"/>
      <c r="F32" s="54"/>
      <c r="G32" s="98">
        <f t="shared" si="19"/>
        <v>0</v>
      </c>
      <c r="H32" s="53"/>
      <c r="I32" s="54"/>
      <c r="J32" s="98">
        <f t="shared" si="20"/>
        <v>0</v>
      </c>
      <c r="K32" s="53"/>
      <c r="L32" s="54"/>
      <c r="M32" s="98">
        <f t="shared" si="21"/>
        <v>0</v>
      </c>
      <c r="N32" s="97"/>
      <c r="O32" s="97"/>
      <c r="P32" s="98">
        <f t="shared" si="22"/>
        <v>0</v>
      </c>
      <c r="Q32" s="99">
        <f t="shared" si="5"/>
        <v>0</v>
      </c>
      <c r="S32" s="96">
        <f t="shared" si="6"/>
        <v>0</v>
      </c>
    </row>
    <row r="33" spans="1:79" ht="17.100000000000001" customHeight="1">
      <c r="A33" s="52" t="s">
        <v>119</v>
      </c>
      <c r="B33" s="97"/>
      <c r="C33" s="97"/>
      <c r="D33" s="98">
        <f t="shared" si="18"/>
        <v>0</v>
      </c>
      <c r="E33" s="53"/>
      <c r="F33" s="54"/>
      <c r="G33" s="98">
        <f t="shared" si="19"/>
        <v>0</v>
      </c>
      <c r="H33" s="53"/>
      <c r="I33" s="54"/>
      <c r="J33" s="98">
        <f t="shared" si="20"/>
        <v>0</v>
      </c>
      <c r="K33" s="53"/>
      <c r="L33" s="54"/>
      <c r="M33" s="98">
        <f t="shared" si="21"/>
        <v>0</v>
      </c>
      <c r="N33" s="97"/>
      <c r="O33" s="97"/>
      <c r="P33" s="98">
        <f t="shared" si="22"/>
        <v>0</v>
      </c>
      <c r="Q33" s="99">
        <f t="shared" si="5"/>
        <v>0</v>
      </c>
      <c r="S33" s="96">
        <f t="shared" si="6"/>
        <v>0</v>
      </c>
    </row>
    <row r="34" spans="1:79" ht="17.100000000000001" customHeight="1">
      <c r="A34" s="52" t="s">
        <v>128</v>
      </c>
      <c r="B34" s="97"/>
      <c r="C34" s="97"/>
      <c r="D34" s="98">
        <f>B34*12+C34</f>
        <v>0</v>
      </c>
      <c r="E34" s="53"/>
      <c r="F34" s="54"/>
      <c r="G34" s="98">
        <f>E34*12+F34</f>
        <v>0</v>
      </c>
      <c r="H34" s="53"/>
      <c r="I34" s="54"/>
      <c r="J34" s="98">
        <f>H34*12+I34</f>
        <v>0</v>
      </c>
      <c r="K34" s="53"/>
      <c r="L34" s="54"/>
      <c r="M34" s="98">
        <f>K34*12+L34</f>
        <v>0</v>
      </c>
      <c r="N34" s="97"/>
      <c r="O34" s="97"/>
      <c r="P34" s="98">
        <f>N34*12+O34</f>
        <v>0</v>
      </c>
      <c r="Q34" s="99">
        <f t="shared" si="5"/>
        <v>0</v>
      </c>
      <c r="S34" s="96">
        <f t="shared" si="6"/>
        <v>0</v>
      </c>
    </row>
    <row r="35" spans="1:79" s="46" customFormat="1" ht="17.100000000000001" customHeight="1">
      <c r="A35" s="52" t="s">
        <v>96</v>
      </c>
      <c r="B35" s="97"/>
      <c r="C35" s="97"/>
      <c r="D35" s="98">
        <f>B35*12+C35</f>
        <v>0</v>
      </c>
      <c r="E35" s="53"/>
      <c r="F35" s="54"/>
      <c r="G35" s="98">
        <f>E35*12+F35</f>
        <v>0</v>
      </c>
      <c r="H35" s="53"/>
      <c r="I35" s="54"/>
      <c r="J35" s="98">
        <f>H35*12+I35</f>
        <v>0</v>
      </c>
      <c r="K35" s="53"/>
      <c r="L35" s="54"/>
      <c r="M35" s="98">
        <f>K35*12+L35</f>
        <v>0</v>
      </c>
      <c r="N35" s="97">
        <f>30+35</f>
        <v>65</v>
      </c>
      <c r="O35" s="97"/>
      <c r="P35" s="98">
        <f>N35*12+O35</f>
        <v>780</v>
      </c>
      <c r="Q35" s="99">
        <f t="shared" si="5"/>
        <v>780</v>
      </c>
      <c r="R35" s="96"/>
      <c r="S35" s="96">
        <f t="shared" si="6"/>
        <v>0</v>
      </c>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row>
    <row r="36" spans="1:79" s="46" customFormat="1" ht="17.100000000000001" customHeight="1">
      <c r="A36" s="52" t="s">
        <v>117</v>
      </c>
      <c r="B36" s="97">
        <v>206</v>
      </c>
      <c r="C36" s="97"/>
      <c r="D36" s="98">
        <f>B36*12+C36</f>
        <v>2472</v>
      </c>
      <c r="E36" s="53"/>
      <c r="F36" s="54"/>
      <c r="G36" s="98">
        <f>E36*12+F36</f>
        <v>0</v>
      </c>
      <c r="H36" s="53"/>
      <c r="I36" s="54"/>
      <c r="J36" s="98">
        <f>H36*12+I36</f>
        <v>0</v>
      </c>
      <c r="K36" s="53"/>
      <c r="L36" s="54"/>
      <c r="M36" s="98">
        <f>K36*12+L36</f>
        <v>0</v>
      </c>
      <c r="N36" s="97">
        <v>31</v>
      </c>
      <c r="O36" s="97"/>
      <c r="P36" s="98">
        <f>N36*12+O36</f>
        <v>372</v>
      </c>
      <c r="Q36" s="99">
        <f t="shared" si="5"/>
        <v>2844</v>
      </c>
      <c r="R36" s="96"/>
      <c r="S36" s="96">
        <f t="shared" si="6"/>
        <v>0</v>
      </c>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row>
    <row r="37" spans="1:79" ht="17.100000000000001" customHeight="1">
      <c r="A37" s="52" t="s">
        <v>97</v>
      </c>
      <c r="B37" s="97">
        <v>193</v>
      </c>
      <c r="C37" s="97"/>
      <c r="D37" s="98">
        <f>B37*30+C37</f>
        <v>5790</v>
      </c>
      <c r="E37" s="53">
        <v>4</v>
      </c>
      <c r="F37" s="54"/>
      <c r="G37" s="98">
        <f>E37*30+F37</f>
        <v>120</v>
      </c>
      <c r="H37" s="53"/>
      <c r="I37" s="54"/>
      <c r="J37" s="98">
        <f>H37*30+I37</f>
        <v>0</v>
      </c>
      <c r="K37" s="53"/>
      <c r="L37" s="54">
        <f>85+24</f>
        <v>109</v>
      </c>
      <c r="M37" s="98">
        <f>K37*30+L37</f>
        <v>109</v>
      </c>
      <c r="N37" s="97">
        <v>4</v>
      </c>
      <c r="O37" s="97"/>
      <c r="P37" s="98">
        <f>N37*30+O37</f>
        <v>120</v>
      </c>
      <c r="Q37" s="99">
        <f t="shared" si="5"/>
        <v>6139</v>
      </c>
      <c r="S37" s="96">
        <f t="shared" si="6"/>
        <v>0</v>
      </c>
    </row>
    <row r="38" spans="1:79" s="46" customFormat="1" ht="17.100000000000001" customHeight="1">
      <c r="A38" s="52" t="s">
        <v>98</v>
      </c>
      <c r="B38" s="97">
        <v>409</v>
      </c>
      <c r="C38" s="97"/>
      <c r="D38" s="98">
        <f>B38*24+C38</f>
        <v>9816</v>
      </c>
      <c r="E38" s="53">
        <v>5</v>
      </c>
      <c r="F38" s="54"/>
      <c r="G38" s="98">
        <f>E38*24+F38</f>
        <v>120</v>
      </c>
      <c r="H38" s="53"/>
      <c r="I38" s="54"/>
      <c r="J38" s="98">
        <f>H38*24+I38</f>
        <v>0</v>
      </c>
      <c r="K38" s="53"/>
      <c r="L38" s="54">
        <v>39</v>
      </c>
      <c r="M38" s="98">
        <f>K38*24+L38</f>
        <v>39</v>
      </c>
      <c r="N38" s="97">
        <v>4</v>
      </c>
      <c r="O38" s="97"/>
      <c r="P38" s="98">
        <f>N38*24+O38</f>
        <v>96</v>
      </c>
      <c r="Q38" s="99">
        <f t="shared" si="5"/>
        <v>10071</v>
      </c>
      <c r="R38" s="96"/>
      <c r="S38" s="96">
        <f t="shared" si="6"/>
        <v>0</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row>
    <row r="39" spans="1:79" s="46" customFormat="1" ht="17.100000000000001" customHeight="1">
      <c r="A39" s="52" t="s">
        <v>61</v>
      </c>
      <c r="B39" s="97">
        <v>65</v>
      </c>
      <c r="C39" s="97"/>
      <c r="D39" s="98">
        <f>B39*12+C39</f>
        <v>780</v>
      </c>
      <c r="E39" s="53"/>
      <c r="F39" s="54"/>
      <c r="G39" s="98">
        <f>E39*12+F39</f>
        <v>0</v>
      </c>
      <c r="H39" s="53"/>
      <c r="I39" s="54"/>
      <c r="J39" s="98">
        <f>H39*12+I39</f>
        <v>0</v>
      </c>
      <c r="K39" s="53"/>
      <c r="L39" s="54">
        <v>17</v>
      </c>
      <c r="M39" s="98">
        <f>K39*12+L39</f>
        <v>17</v>
      </c>
      <c r="N39" s="97">
        <v>2</v>
      </c>
      <c r="O39" s="97"/>
      <c r="P39" s="98">
        <f>N39*12+O39</f>
        <v>24</v>
      </c>
      <c r="Q39" s="99">
        <f t="shared" si="5"/>
        <v>821</v>
      </c>
      <c r="R39" s="96"/>
      <c r="S39" s="96">
        <f t="shared" si="6"/>
        <v>0</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spans="1:79" s="46" customFormat="1" ht="17.100000000000001" customHeight="1">
      <c r="A40" s="52" t="s">
        <v>129</v>
      </c>
      <c r="B40" s="97"/>
      <c r="C40" s="97"/>
      <c r="D40" s="98">
        <f>B40*12+C40</f>
        <v>0</v>
      </c>
      <c r="E40" s="53"/>
      <c r="F40" s="54"/>
      <c r="G40" s="98">
        <f>E40*12+F40</f>
        <v>0</v>
      </c>
      <c r="H40" s="53"/>
      <c r="I40" s="54"/>
      <c r="J40" s="98">
        <f>H40*12+I40</f>
        <v>0</v>
      </c>
      <c r="K40" s="53"/>
      <c r="L40" s="54"/>
      <c r="M40" s="98">
        <f>K40*12+L40</f>
        <v>0</v>
      </c>
      <c r="N40" s="97"/>
      <c r="O40" s="97"/>
      <c r="P40" s="98">
        <f>N40*12+O40</f>
        <v>0</v>
      </c>
      <c r="Q40" s="99">
        <f t="shared" si="5"/>
        <v>0</v>
      </c>
      <c r="R40" s="96"/>
      <c r="S40" s="96">
        <f t="shared" si="6"/>
        <v>0</v>
      </c>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row>
    <row r="41" spans="1:79" s="46" customFormat="1" ht="17.100000000000001" customHeight="1">
      <c r="A41" s="52" t="s">
        <v>66</v>
      </c>
      <c r="B41" s="97"/>
      <c r="C41" s="97"/>
      <c r="D41" s="98">
        <f>B41*4+C41</f>
        <v>0</v>
      </c>
      <c r="E41" s="53"/>
      <c r="F41" s="54"/>
      <c r="G41" s="98">
        <f>E41*4+F41</f>
        <v>0</v>
      </c>
      <c r="H41" s="53"/>
      <c r="I41" s="54"/>
      <c r="J41" s="98">
        <f>H41*4+I41</f>
        <v>0</v>
      </c>
      <c r="K41" s="53"/>
      <c r="L41" s="54"/>
      <c r="M41" s="98">
        <f>K41*4+L41</f>
        <v>0</v>
      </c>
      <c r="N41" s="97"/>
      <c r="O41" s="97"/>
      <c r="P41" s="98">
        <f>N41*4+O41</f>
        <v>0</v>
      </c>
      <c r="Q41" s="99">
        <f t="shared" si="5"/>
        <v>0</v>
      </c>
      <c r="R41" s="96"/>
      <c r="S41" s="96">
        <f t="shared" si="6"/>
        <v>0</v>
      </c>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row>
    <row r="42" spans="1:79" s="46" customFormat="1" ht="17.100000000000001" customHeight="1">
      <c r="A42" s="52" t="s">
        <v>68</v>
      </c>
      <c r="B42" s="97"/>
      <c r="C42" s="97"/>
      <c r="D42" s="98">
        <f>B42*3+C42</f>
        <v>0</v>
      </c>
      <c r="E42" s="53"/>
      <c r="F42" s="54"/>
      <c r="G42" s="98">
        <f>E42*3+F42</f>
        <v>0</v>
      </c>
      <c r="H42" s="53"/>
      <c r="I42" s="54"/>
      <c r="J42" s="98">
        <f>H42*3+I42</f>
        <v>0</v>
      </c>
      <c r="K42" s="53"/>
      <c r="L42" s="54"/>
      <c r="M42" s="98">
        <f>K42*3+L42</f>
        <v>0</v>
      </c>
      <c r="N42" s="97">
        <v>5</v>
      </c>
      <c r="O42" s="97">
        <v>1</v>
      </c>
      <c r="P42" s="98">
        <f>N42*3+O42</f>
        <v>16</v>
      </c>
      <c r="Q42" s="99">
        <f t="shared" si="5"/>
        <v>16</v>
      </c>
      <c r="R42" s="96"/>
      <c r="S42" s="96">
        <f t="shared" si="6"/>
        <v>0</v>
      </c>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spans="1:79" s="46" customFormat="1" ht="17.100000000000001" customHeight="1">
      <c r="A43" s="52" t="s">
        <v>99</v>
      </c>
      <c r="B43" s="97">
        <v>1768</v>
      </c>
      <c r="C43" s="97">
        <v>12</v>
      </c>
      <c r="D43" s="98">
        <f>B43*24+C43</f>
        <v>42444</v>
      </c>
      <c r="E43" s="53">
        <v>5</v>
      </c>
      <c r="F43" s="54"/>
      <c r="G43" s="98">
        <f>E43*24+F43</f>
        <v>120</v>
      </c>
      <c r="H43" s="53"/>
      <c r="I43" s="54"/>
      <c r="J43" s="98">
        <f>H43*24+I43</f>
        <v>0</v>
      </c>
      <c r="K43" s="53"/>
      <c r="L43" s="54">
        <v>302</v>
      </c>
      <c r="M43" s="98">
        <f>K43*24+L43</f>
        <v>302</v>
      </c>
      <c r="N43" s="97">
        <v>4</v>
      </c>
      <c r="O43" s="97">
        <v>18</v>
      </c>
      <c r="P43" s="98">
        <f>N43*24+O43</f>
        <v>114</v>
      </c>
      <c r="Q43" s="99">
        <f t="shared" si="5"/>
        <v>42980</v>
      </c>
      <c r="R43" s="96"/>
      <c r="S43" s="96">
        <f t="shared" si="6"/>
        <v>0</v>
      </c>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row>
    <row r="44" spans="1:79" ht="17.100000000000001" customHeight="1">
      <c r="A44" s="52" t="s">
        <v>100</v>
      </c>
      <c r="B44" s="97">
        <v>310</v>
      </c>
      <c r="C44" s="97">
        <v>22</v>
      </c>
      <c r="D44" s="98">
        <f t="shared" ref="D44:D46" si="23">B44*24+C44</f>
        <v>7462</v>
      </c>
      <c r="E44" s="53">
        <v>11</v>
      </c>
      <c r="F44" s="54"/>
      <c r="G44" s="98">
        <f t="shared" ref="G44:G46" si="24">E44*24+F44</f>
        <v>264</v>
      </c>
      <c r="H44" s="53"/>
      <c r="I44" s="54"/>
      <c r="J44" s="98">
        <f t="shared" ref="J44:J46" si="25">H44*24+I44</f>
        <v>0</v>
      </c>
      <c r="K44" s="53"/>
      <c r="L44" s="54">
        <v>57</v>
      </c>
      <c r="M44" s="98">
        <f t="shared" ref="M44:M46" si="26">K44*24+L44</f>
        <v>57</v>
      </c>
      <c r="N44" s="97"/>
      <c r="O44" s="97">
        <v>12</v>
      </c>
      <c r="P44" s="98">
        <f t="shared" ref="P44:P46" si="27">N44*24+O44</f>
        <v>12</v>
      </c>
      <c r="Q44" s="99">
        <f t="shared" si="5"/>
        <v>7795</v>
      </c>
      <c r="S44" s="96">
        <f t="shared" si="6"/>
        <v>0</v>
      </c>
    </row>
    <row r="45" spans="1:79" ht="17.100000000000001" customHeight="1">
      <c r="A45" s="52" t="s">
        <v>101</v>
      </c>
      <c r="B45" s="97">
        <v>259</v>
      </c>
      <c r="C45" s="97">
        <v>10</v>
      </c>
      <c r="D45" s="98">
        <f t="shared" si="23"/>
        <v>6226</v>
      </c>
      <c r="E45" s="53">
        <v>15</v>
      </c>
      <c r="F45" s="54"/>
      <c r="G45" s="98">
        <f t="shared" si="24"/>
        <v>360</v>
      </c>
      <c r="H45" s="53"/>
      <c r="I45" s="54"/>
      <c r="J45" s="98">
        <f t="shared" si="25"/>
        <v>0</v>
      </c>
      <c r="K45" s="53"/>
      <c r="L45" s="54">
        <v>54</v>
      </c>
      <c r="M45" s="98">
        <f t="shared" si="26"/>
        <v>54</v>
      </c>
      <c r="N45" s="97"/>
      <c r="O45" s="97">
        <v>9</v>
      </c>
      <c r="P45" s="98">
        <f t="shared" si="27"/>
        <v>9</v>
      </c>
      <c r="Q45" s="99">
        <f t="shared" si="5"/>
        <v>6649</v>
      </c>
      <c r="S45" s="96">
        <f t="shared" si="6"/>
        <v>0</v>
      </c>
    </row>
    <row r="46" spans="1:79" ht="17.100000000000001" customHeight="1">
      <c r="A46" s="52" t="s">
        <v>102</v>
      </c>
      <c r="B46" s="97"/>
      <c r="C46" s="97"/>
      <c r="D46" s="98">
        <f t="shared" si="23"/>
        <v>0</v>
      </c>
      <c r="E46" s="53"/>
      <c r="F46" s="54"/>
      <c r="G46" s="98">
        <f t="shared" si="24"/>
        <v>0</v>
      </c>
      <c r="H46" s="53"/>
      <c r="I46" s="54"/>
      <c r="J46" s="98">
        <f t="shared" si="25"/>
        <v>0</v>
      </c>
      <c r="K46" s="53"/>
      <c r="L46" s="54"/>
      <c r="M46" s="98">
        <f t="shared" si="26"/>
        <v>0</v>
      </c>
      <c r="N46" s="97">
        <f>56+27</f>
        <v>83</v>
      </c>
      <c r="O46" s="97">
        <v>8</v>
      </c>
      <c r="P46" s="98">
        <f t="shared" si="27"/>
        <v>2000</v>
      </c>
      <c r="Q46" s="99">
        <f t="shared" si="5"/>
        <v>2000</v>
      </c>
      <c r="S46" s="96">
        <f t="shared" si="6"/>
        <v>0</v>
      </c>
    </row>
    <row r="47" spans="1:79" ht="17.100000000000001" customHeight="1">
      <c r="A47" s="52" t="s">
        <v>103</v>
      </c>
      <c r="B47" s="97">
        <v>454</v>
      </c>
      <c r="C47" s="97"/>
      <c r="D47" s="98">
        <f>B47*12+C47</f>
        <v>5448</v>
      </c>
      <c r="E47" s="54">
        <v>22</v>
      </c>
      <c r="F47" s="54"/>
      <c r="G47" s="98">
        <f>E47*12+F47</f>
        <v>264</v>
      </c>
      <c r="H47" s="53"/>
      <c r="I47" s="54"/>
      <c r="J47" s="98">
        <f>H47*12+I47</f>
        <v>0</v>
      </c>
      <c r="K47" s="54"/>
      <c r="L47" s="54">
        <v>143</v>
      </c>
      <c r="M47" s="98">
        <f>K47*12+L47</f>
        <v>143</v>
      </c>
      <c r="N47" s="97">
        <f>2+19+3+15+352</f>
        <v>391</v>
      </c>
      <c r="O47" s="97"/>
      <c r="P47" s="98">
        <f>N47*12+O47</f>
        <v>4692</v>
      </c>
      <c r="Q47" s="99">
        <f t="shared" si="5"/>
        <v>10547</v>
      </c>
      <c r="S47" s="96">
        <f t="shared" si="6"/>
        <v>0</v>
      </c>
    </row>
    <row r="48" spans="1:79" ht="17.100000000000001" customHeight="1">
      <c r="A48" s="52" t="s">
        <v>104</v>
      </c>
      <c r="B48" s="97"/>
      <c r="C48" s="97"/>
      <c r="D48" s="98">
        <f t="shared" ref="D48:D50" si="28">B48*12+C48</f>
        <v>0</v>
      </c>
      <c r="E48" s="54">
        <v>14</v>
      </c>
      <c r="F48" s="54"/>
      <c r="G48" s="98">
        <f t="shared" ref="G48:G50" si="29">E48*12+F48</f>
        <v>168</v>
      </c>
      <c r="H48" s="53"/>
      <c r="I48" s="54"/>
      <c r="J48" s="98">
        <f t="shared" ref="J48:J50" si="30">H48*12+I48</f>
        <v>0</v>
      </c>
      <c r="K48" s="54"/>
      <c r="L48" s="54">
        <v>29</v>
      </c>
      <c r="M48" s="98">
        <f t="shared" ref="M48:M50" si="31">K48*12+L48</f>
        <v>29</v>
      </c>
      <c r="N48" s="97">
        <f>45+2+2+123</f>
        <v>172</v>
      </c>
      <c r="O48" s="97"/>
      <c r="P48" s="98">
        <f t="shared" ref="P48:P50" si="32">N48*12+O48</f>
        <v>2064</v>
      </c>
      <c r="Q48" s="99">
        <f t="shared" si="5"/>
        <v>2261</v>
      </c>
      <c r="S48" s="96">
        <f t="shared" si="6"/>
        <v>0</v>
      </c>
    </row>
    <row r="49" spans="1:19" ht="17.100000000000001" customHeight="1">
      <c r="A49" s="52" t="s">
        <v>105</v>
      </c>
      <c r="B49" s="100">
        <v>2</v>
      </c>
      <c r="C49" s="100"/>
      <c r="D49" s="98">
        <f t="shared" si="28"/>
        <v>24</v>
      </c>
      <c r="E49" s="54">
        <v>10</v>
      </c>
      <c r="F49" s="54"/>
      <c r="G49" s="98">
        <f t="shared" si="29"/>
        <v>120</v>
      </c>
      <c r="H49" s="53"/>
      <c r="I49" s="54"/>
      <c r="J49" s="98">
        <f t="shared" si="30"/>
        <v>0</v>
      </c>
      <c r="K49" s="54"/>
      <c r="L49" s="54">
        <v>72</v>
      </c>
      <c r="M49" s="98">
        <f t="shared" si="31"/>
        <v>72</v>
      </c>
      <c r="N49" s="97">
        <f>2+143+5+69+5</f>
        <v>224</v>
      </c>
      <c r="O49" s="97"/>
      <c r="P49" s="98">
        <f t="shared" si="32"/>
        <v>2688</v>
      </c>
      <c r="Q49" s="99">
        <f t="shared" si="5"/>
        <v>2904</v>
      </c>
      <c r="S49" s="96">
        <f t="shared" si="6"/>
        <v>0</v>
      </c>
    </row>
    <row r="50" spans="1:19" ht="17.100000000000001" customHeight="1">
      <c r="A50" s="52" t="s">
        <v>106</v>
      </c>
      <c r="B50" s="100"/>
      <c r="C50" s="100"/>
      <c r="D50" s="98">
        <f t="shared" si="28"/>
        <v>0</v>
      </c>
      <c r="E50" s="54"/>
      <c r="F50" s="54"/>
      <c r="G50" s="98">
        <f t="shared" si="29"/>
        <v>0</v>
      </c>
      <c r="H50" s="53"/>
      <c r="I50" s="54"/>
      <c r="J50" s="98">
        <f t="shared" si="30"/>
        <v>0</v>
      </c>
      <c r="K50" s="54"/>
      <c r="L50" s="54"/>
      <c r="M50" s="98">
        <f t="shared" si="31"/>
        <v>0</v>
      </c>
      <c r="N50" s="97">
        <f>26+14</f>
        <v>40</v>
      </c>
      <c r="O50" s="97"/>
      <c r="P50" s="98">
        <f t="shared" si="32"/>
        <v>480</v>
      </c>
      <c r="Q50" s="99">
        <f t="shared" si="5"/>
        <v>480</v>
      </c>
      <c r="S50" s="96">
        <f t="shared" si="6"/>
        <v>0</v>
      </c>
    </row>
    <row r="51" spans="1:19" ht="17.100000000000001" customHeight="1">
      <c r="A51" s="52" t="s">
        <v>107</v>
      </c>
      <c r="B51" s="100">
        <v>19</v>
      </c>
      <c r="C51" s="100"/>
      <c r="D51" s="101">
        <f>B51*24+C51</f>
        <v>456</v>
      </c>
      <c r="E51" s="54"/>
      <c r="F51" s="54"/>
      <c r="G51" s="101">
        <f>E51*24+F51</f>
        <v>0</v>
      </c>
      <c r="H51" s="53"/>
      <c r="I51" s="54"/>
      <c r="J51" s="101">
        <f>H51*24+I51</f>
        <v>0</v>
      </c>
      <c r="K51" s="54"/>
      <c r="L51" s="54">
        <v>78</v>
      </c>
      <c r="M51" s="101">
        <f>K51*24+L51</f>
        <v>78</v>
      </c>
      <c r="N51" s="97"/>
      <c r="O51" s="97">
        <f>6+18</f>
        <v>24</v>
      </c>
      <c r="P51" s="101">
        <f>N51*24+O51</f>
        <v>24</v>
      </c>
      <c r="Q51" s="99">
        <f t="shared" si="5"/>
        <v>558</v>
      </c>
      <c r="S51" s="96">
        <f t="shared" si="6"/>
        <v>0</v>
      </c>
    </row>
    <row r="52" spans="1:19" ht="17.100000000000001" customHeight="1">
      <c r="A52" s="52" t="s">
        <v>108</v>
      </c>
      <c r="B52" s="100"/>
      <c r="C52" s="100"/>
      <c r="D52" s="98">
        <f>B52*24+C52</f>
        <v>0</v>
      </c>
      <c r="E52" s="54"/>
      <c r="F52" s="54"/>
      <c r="G52" s="98">
        <f>E52*24+F52</f>
        <v>0</v>
      </c>
      <c r="H52" s="53"/>
      <c r="I52" s="54"/>
      <c r="J52" s="98">
        <f>H52*24+I52</f>
        <v>0</v>
      </c>
      <c r="K52" s="54"/>
      <c r="L52" s="54">
        <f>48+48</f>
        <v>96</v>
      </c>
      <c r="M52" s="98">
        <f>K52*24+L52</f>
        <v>96</v>
      </c>
      <c r="N52" s="97">
        <f>53+3+1</f>
        <v>57</v>
      </c>
      <c r="O52" s="97">
        <v>18</v>
      </c>
      <c r="P52" s="98">
        <f>N52*24+O52</f>
        <v>1386</v>
      </c>
      <c r="Q52" s="99">
        <f t="shared" si="5"/>
        <v>1482</v>
      </c>
      <c r="S52" s="96">
        <f t="shared" si="6"/>
        <v>0</v>
      </c>
    </row>
    <row r="53" spans="1:19" ht="17.100000000000001" customHeight="1">
      <c r="A53" s="52" t="s">
        <v>109</v>
      </c>
      <c r="B53" s="100"/>
      <c r="C53" s="100"/>
      <c r="D53" s="98">
        <f>B53*12+C53</f>
        <v>0</v>
      </c>
      <c r="E53" s="54"/>
      <c r="F53" s="54"/>
      <c r="G53" s="98">
        <f>E53*12+F53</f>
        <v>0</v>
      </c>
      <c r="H53" s="53"/>
      <c r="I53" s="54"/>
      <c r="J53" s="98">
        <f>H53*12+I53</f>
        <v>0</v>
      </c>
      <c r="K53" s="54"/>
      <c r="L53" s="54"/>
      <c r="M53" s="98">
        <f>K53*12+L53</f>
        <v>0</v>
      </c>
      <c r="N53" s="97"/>
      <c r="O53" s="97"/>
      <c r="P53" s="98">
        <f>N53*12+O53</f>
        <v>0</v>
      </c>
      <c r="Q53" s="99">
        <f t="shared" si="5"/>
        <v>0</v>
      </c>
      <c r="S53" s="96">
        <f t="shared" si="6"/>
        <v>0</v>
      </c>
    </row>
    <row r="54" spans="1:19" ht="17.100000000000001" customHeight="1">
      <c r="A54" s="52" t="s">
        <v>110</v>
      </c>
      <c r="B54" s="100"/>
      <c r="C54" s="100"/>
      <c r="D54" s="98">
        <f>B54*12+C54</f>
        <v>0</v>
      </c>
      <c r="E54" s="54"/>
      <c r="F54" s="54"/>
      <c r="G54" s="98">
        <f>E54*12+F54</f>
        <v>0</v>
      </c>
      <c r="H54" s="53"/>
      <c r="I54" s="54"/>
      <c r="J54" s="98">
        <f>H54*12+I54</f>
        <v>0</v>
      </c>
      <c r="K54" s="54"/>
      <c r="L54" s="54"/>
      <c r="M54" s="98">
        <f>K54*12+L54</f>
        <v>0</v>
      </c>
      <c r="N54" s="97"/>
      <c r="O54" s="97"/>
      <c r="P54" s="98">
        <f>N54*12+O54</f>
        <v>0</v>
      </c>
      <c r="Q54" s="99">
        <f t="shared" si="5"/>
        <v>0</v>
      </c>
      <c r="S54" s="96">
        <f t="shared" si="6"/>
        <v>0</v>
      </c>
    </row>
    <row r="55" spans="1:19">
      <c r="B55" s="102"/>
      <c r="C55" s="102"/>
      <c r="D55" s="102"/>
      <c r="E55" s="103"/>
      <c r="F55" s="103"/>
      <c r="G55" s="103"/>
      <c r="H55" s="103"/>
      <c r="I55" s="103"/>
      <c r="J55" s="103"/>
      <c r="K55" s="103"/>
      <c r="L55" s="103"/>
      <c r="M55" s="103"/>
      <c r="N55" s="103"/>
      <c r="O55" s="104"/>
      <c r="P55" s="104"/>
      <c r="Q55" s="105">
        <f>SUM(Q7:Q54)</f>
        <v>141362.20000000001</v>
      </c>
      <c r="R55" s="106"/>
      <c r="S55" s="105">
        <f>SUM(S7:S54)</f>
        <v>0</v>
      </c>
    </row>
    <row r="56" spans="1:19" ht="15" customHeight="1">
      <c r="A56" s="56"/>
      <c r="B56" s="56"/>
      <c r="C56" s="56"/>
      <c r="D56" s="102"/>
      <c r="E56" s="56"/>
      <c r="F56" s="56"/>
      <c r="G56" s="56"/>
      <c r="H56" s="56"/>
      <c r="I56" s="56"/>
      <c r="J56" s="56"/>
      <c r="K56" s="57"/>
      <c r="L56" s="57"/>
      <c r="M56" s="57"/>
      <c r="N56" s="57"/>
      <c r="O56" s="57"/>
      <c r="P56" s="57"/>
      <c r="Q56" s="106"/>
    </row>
    <row r="57" spans="1:19">
      <c r="A57" s="56"/>
      <c r="B57" s="56"/>
      <c r="C57" s="56"/>
      <c r="D57" s="102"/>
      <c r="E57" s="56"/>
      <c r="F57" s="56"/>
      <c r="G57" s="56"/>
      <c r="H57" s="56"/>
      <c r="I57" s="56"/>
      <c r="J57" s="56"/>
      <c r="K57" s="57"/>
      <c r="L57" s="57"/>
      <c r="M57" s="57"/>
      <c r="N57" s="57"/>
      <c r="O57" s="57"/>
      <c r="P57" s="57"/>
      <c r="Q57" s="106"/>
    </row>
    <row r="58" spans="1:19">
      <c r="A58" s="57"/>
      <c r="B58" s="57"/>
      <c r="C58" s="57"/>
      <c r="D58" s="102"/>
      <c r="E58" s="57"/>
      <c r="F58" s="57"/>
      <c r="G58" s="57"/>
      <c r="H58" s="57"/>
      <c r="I58" s="57"/>
      <c r="J58" s="57"/>
      <c r="K58" s="57"/>
      <c r="L58" s="57"/>
      <c r="M58" s="57"/>
      <c r="N58" s="57"/>
      <c r="O58" s="57"/>
      <c r="P58" s="57"/>
      <c r="Q58" s="106"/>
    </row>
    <row r="59" spans="1:19">
      <c r="B59" s="10"/>
      <c r="C59" s="10"/>
      <c r="D59" s="10"/>
      <c r="E59" s="10"/>
      <c r="F59" s="10"/>
      <c r="G59" s="10"/>
      <c r="H59" s="10"/>
      <c r="I59" s="10"/>
      <c r="J59" s="10"/>
      <c r="K59" s="10"/>
      <c r="L59" s="10"/>
      <c r="M59" s="10"/>
      <c r="N59" s="10"/>
      <c r="O59" s="10"/>
      <c r="P59" s="10"/>
      <c r="Q59" s="10"/>
    </row>
    <row r="60" spans="1:19">
      <c r="A60" s="58"/>
      <c r="B60" s="127"/>
      <c r="C60" s="127"/>
      <c r="D60" s="7"/>
      <c r="E60" s="7"/>
      <c r="F60" s="7"/>
      <c r="G60" s="127"/>
      <c r="H60" s="127"/>
      <c r="I60" s="127"/>
      <c r="J60" s="7"/>
      <c r="K60" s="7"/>
      <c r="L60" s="7"/>
      <c r="M60" s="7"/>
      <c r="N60" s="7"/>
      <c r="O60" s="7"/>
      <c r="P60" s="7"/>
    </row>
    <row r="61" spans="1:19">
      <c r="D61" s="7"/>
      <c r="E61" s="7"/>
      <c r="F61" s="7"/>
      <c r="G61" s="7"/>
      <c r="H61" s="7"/>
      <c r="I61" s="7"/>
      <c r="J61" s="7"/>
      <c r="K61" s="7"/>
      <c r="L61" s="7"/>
      <c r="M61" s="7"/>
      <c r="N61" s="7"/>
      <c r="O61" s="7"/>
      <c r="P61" s="7"/>
    </row>
    <row r="62" spans="1:19">
      <c r="A62" s="58"/>
      <c r="B62" s="127"/>
      <c r="C62" s="127"/>
      <c r="D62" s="127"/>
      <c r="E62" s="7"/>
      <c r="F62" s="7"/>
      <c r="G62" s="127"/>
      <c r="H62" s="127"/>
      <c r="I62" s="127"/>
      <c r="J62" s="127"/>
      <c r="K62" s="7"/>
      <c r="L62" s="7"/>
      <c r="M62" s="7"/>
      <c r="N62" s="7"/>
      <c r="O62" s="7"/>
      <c r="P62" s="7"/>
    </row>
    <row r="63" spans="1:19">
      <c r="D63" s="7"/>
      <c r="E63" s="7"/>
      <c r="F63" s="7"/>
      <c r="G63" s="127"/>
      <c r="H63" s="127"/>
      <c r="I63" s="127"/>
      <c r="J63" s="7"/>
      <c r="K63" s="7"/>
      <c r="L63" s="7"/>
      <c r="M63" s="7"/>
      <c r="N63" s="7"/>
      <c r="O63" s="7"/>
      <c r="P63" s="7"/>
    </row>
    <row r="64" spans="1:19">
      <c r="D64" s="7"/>
      <c r="E64" s="7"/>
      <c r="F64" s="7"/>
      <c r="G64" s="7"/>
      <c r="H64" s="7"/>
      <c r="I64" s="7"/>
      <c r="J64" s="7"/>
      <c r="K64" s="7"/>
      <c r="L64" s="7"/>
      <c r="M64" s="7"/>
      <c r="N64" s="7"/>
      <c r="O64" s="7"/>
      <c r="P64" s="7"/>
    </row>
    <row r="65" spans="1:19">
      <c r="D65" s="7"/>
      <c r="E65" s="7"/>
      <c r="F65" s="7"/>
      <c r="G65" s="7"/>
      <c r="H65" s="7"/>
      <c r="I65" s="7"/>
      <c r="J65" s="7"/>
      <c r="K65" s="7"/>
      <c r="L65" s="7"/>
      <c r="M65" s="7"/>
      <c r="N65" s="7"/>
      <c r="O65" s="7"/>
      <c r="P65" s="7"/>
    </row>
    <row r="66" spans="1:19" s="7" customFormat="1">
      <c r="A66"/>
      <c r="R66" s="96"/>
      <c r="S66" s="96"/>
    </row>
    <row r="67" spans="1:19" s="7" customFormat="1">
      <c r="A67"/>
      <c r="B67" s="102"/>
      <c r="C67" s="102"/>
      <c r="D67" s="102"/>
      <c r="R67" s="96"/>
      <c r="S67" s="96"/>
    </row>
    <row r="68" spans="1:19" s="7" customFormat="1">
      <c r="A68" s="56"/>
      <c r="B68" s="56"/>
      <c r="C68" s="56"/>
      <c r="D68" s="102"/>
      <c r="R68" s="96"/>
      <c r="S68" s="96"/>
    </row>
    <row r="69" spans="1:19" s="7" customFormat="1">
      <c r="A69" s="56"/>
      <c r="B69" s="56"/>
      <c r="C69" s="56"/>
      <c r="D69" s="102"/>
      <c r="R69" s="96"/>
      <c r="S69" s="96"/>
    </row>
    <row r="70" spans="1:19" s="7" customFormat="1">
      <c r="A70" s="57"/>
      <c r="B70" s="57"/>
      <c r="C70" s="57"/>
      <c r="D70" s="102"/>
      <c r="R70" s="96"/>
      <c r="S70" s="96"/>
    </row>
    <row r="71" spans="1:19" s="7" customFormat="1">
      <c r="A71"/>
      <c r="R71" s="96"/>
      <c r="S71" s="96"/>
    </row>
    <row r="72" spans="1:19" s="7" customFormat="1">
      <c r="A72"/>
      <c r="R72" s="96"/>
      <c r="S72" s="96"/>
    </row>
    <row r="73" spans="1:19" s="7" customFormat="1">
      <c r="A73"/>
      <c r="R73" s="96"/>
      <c r="S73" s="96"/>
    </row>
    <row r="74" spans="1:19" s="7" customFormat="1">
      <c r="A74"/>
      <c r="R74" s="96"/>
      <c r="S74" s="96"/>
    </row>
    <row r="75" spans="1:19" s="7" customFormat="1">
      <c r="A75"/>
      <c r="R75" s="96"/>
      <c r="S75" s="96"/>
    </row>
    <row r="76" spans="1:19" s="7" customFormat="1">
      <c r="A76"/>
      <c r="R76" s="96"/>
      <c r="S76" s="96"/>
    </row>
    <row r="77" spans="1:19" s="7" customFormat="1">
      <c r="A77"/>
      <c r="R77" s="96"/>
      <c r="S77" s="96"/>
    </row>
    <row r="78" spans="1:19" s="7" customFormat="1">
      <c r="A78"/>
      <c r="R78" s="96"/>
      <c r="S78" s="96"/>
    </row>
    <row r="79" spans="1:19" s="7" customFormat="1">
      <c r="A79"/>
      <c r="R79" s="96"/>
      <c r="S79" s="96"/>
    </row>
    <row r="80" spans="1:19" s="7" customFormat="1">
      <c r="A80"/>
      <c r="R80" s="96"/>
      <c r="S80" s="96"/>
    </row>
    <row r="81" spans="1:19" s="7" customFormat="1">
      <c r="A81"/>
      <c r="R81" s="96"/>
      <c r="S81" s="96"/>
    </row>
    <row r="82" spans="1:19" s="7" customFormat="1">
      <c r="R82" s="96"/>
      <c r="S82" s="96"/>
    </row>
    <row r="83" spans="1:19" s="7" customFormat="1">
      <c r="R83" s="96"/>
      <c r="S83" s="96"/>
    </row>
    <row r="84" spans="1:19" s="7" customFormat="1">
      <c r="R84" s="96"/>
      <c r="S84" s="96"/>
    </row>
    <row r="85" spans="1:19" s="7" customFormat="1">
      <c r="R85" s="96"/>
      <c r="S85" s="96"/>
    </row>
    <row r="86" spans="1:19" s="7" customFormat="1">
      <c r="R86" s="96"/>
      <c r="S86" s="96"/>
    </row>
    <row r="87" spans="1:19" s="7" customFormat="1">
      <c r="R87" s="96"/>
      <c r="S87" s="96"/>
    </row>
  </sheetData>
  <mergeCells count="15">
    <mergeCell ref="A4:A6"/>
    <mergeCell ref="E4:J4"/>
    <mergeCell ref="K4:M5"/>
    <mergeCell ref="N4:P5"/>
    <mergeCell ref="B62:D62"/>
    <mergeCell ref="G62:J62"/>
    <mergeCell ref="B60:C60"/>
    <mergeCell ref="B4:D5"/>
    <mergeCell ref="G63:I63"/>
    <mergeCell ref="R4:R6"/>
    <mergeCell ref="S4:S6"/>
    <mergeCell ref="E5:G5"/>
    <mergeCell ref="H5:J5"/>
    <mergeCell ref="G60:I60"/>
    <mergeCell ref="Q4:Q6"/>
  </mergeCells>
  <printOptions horizontalCentered="1"/>
  <pageMargins left="0.25" right="0.25" top="0.75" bottom="0.75" header="0.3" footer="0.3"/>
  <pageSetup scale="67"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64D0-8153-43A0-BB8B-3C9E79142420}">
  <sheetPr>
    <tabColor rgb="FF002060"/>
    <pageSetUpPr fitToPage="1"/>
  </sheetPr>
  <dimension ref="A1:CA87"/>
  <sheetViews>
    <sheetView tabSelected="1" workbookViewId="0">
      <pane xSplit="1" ySplit="6" topLeftCell="B31" activePane="bottomRight" state="frozen"/>
      <selection pane="topRight" activeCell="B1" sqref="B1"/>
      <selection pane="bottomLeft" activeCell="A7" sqref="A7"/>
      <selection pane="bottomRight" sqref="A1:Q55"/>
    </sheetView>
  </sheetViews>
  <sheetFormatPr defaultColWidth="9" defaultRowHeight="15"/>
  <cols>
    <col min="1" max="1" width="27.85546875" bestFit="1" customWidth="1"/>
    <col min="2" max="3" width="6.85546875" style="7" customWidth="1"/>
    <col min="4" max="4" width="9" style="47"/>
    <col min="5" max="6" width="6.85546875" style="48" customWidth="1"/>
    <col min="7" max="7" width="7.28515625" style="48" bestFit="1" customWidth="1"/>
    <col min="8" max="9" width="6.85546875" style="48" hidden="1" customWidth="1"/>
    <col min="10" max="10" width="7.28515625" style="48" hidden="1" customWidth="1"/>
    <col min="11" max="12" width="6.85546875" style="48" customWidth="1"/>
    <col min="13" max="13" width="7" style="48" bestFit="1" customWidth="1"/>
    <col min="14" max="15" width="6.85546875" style="48" customWidth="1"/>
    <col min="16" max="16" width="7.28515625" style="48" bestFit="1" customWidth="1"/>
    <col min="17" max="17" width="9.28515625" style="7" bestFit="1" customWidth="1"/>
    <col min="18" max="18" width="9" style="96"/>
    <col min="19" max="19" width="13.42578125" style="96" customWidth="1"/>
  </cols>
  <sheetData>
    <row r="1" spans="1:79" ht="15" customHeight="1">
      <c r="A1" s="64" t="s">
        <v>118</v>
      </c>
      <c r="B1" s="49"/>
      <c r="C1" s="49"/>
      <c r="D1" s="50"/>
    </row>
    <row r="2" spans="1:79" ht="13.5" customHeight="1">
      <c r="A2" s="77" t="s">
        <v>121</v>
      </c>
      <c r="B2" s="49"/>
      <c r="C2" s="49"/>
      <c r="D2" s="50"/>
    </row>
    <row r="3" spans="1:79" ht="12" customHeight="1">
      <c r="A3" s="83" t="s">
        <v>214</v>
      </c>
      <c r="D3" s="48"/>
    </row>
    <row r="4" spans="1:79" ht="23.25" customHeight="1">
      <c r="A4" s="134" t="s">
        <v>73</v>
      </c>
      <c r="B4" s="137" t="s">
        <v>111</v>
      </c>
      <c r="C4" s="138"/>
      <c r="D4" s="139"/>
      <c r="E4" s="135" t="s">
        <v>74</v>
      </c>
      <c r="F4" s="136"/>
      <c r="G4" s="136"/>
      <c r="H4" s="136"/>
      <c r="I4" s="136"/>
      <c r="J4" s="136"/>
      <c r="K4" s="133" t="s">
        <v>212</v>
      </c>
      <c r="L4" s="133"/>
      <c r="M4" s="133"/>
      <c r="N4" s="133" t="s">
        <v>112</v>
      </c>
      <c r="O4" s="133"/>
      <c r="P4" s="133"/>
      <c r="Q4" s="133" t="s">
        <v>10</v>
      </c>
      <c r="R4" s="128" t="s">
        <v>75</v>
      </c>
      <c r="S4" s="129" t="s">
        <v>12</v>
      </c>
    </row>
    <row r="5" spans="1:79">
      <c r="A5" s="134"/>
      <c r="B5" s="140"/>
      <c r="C5" s="141"/>
      <c r="D5" s="142"/>
      <c r="E5" s="130" t="s">
        <v>76</v>
      </c>
      <c r="F5" s="131"/>
      <c r="G5" s="132"/>
      <c r="H5" s="130" t="s">
        <v>199</v>
      </c>
      <c r="I5" s="131"/>
      <c r="J5" s="132"/>
      <c r="K5" s="133"/>
      <c r="L5" s="133"/>
      <c r="M5" s="133"/>
      <c r="N5" s="133"/>
      <c r="O5" s="133"/>
      <c r="P5" s="133"/>
      <c r="Q5" s="133"/>
      <c r="R5" s="128"/>
      <c r="S5" s="129"/>
    </row>
    <row r="6" spans="1:79">
      <c r="A6" s="134"/>
      <c r="B6" s="51" t="s">
        <v>77</v>
      </c>
      <c r="C6" s="51" t="s">
        <v>78</v>
      </c>
      <c r="D6" s="51" t="s">
        <v>79</v>
      </c>
      <c r="E6" s="51" t="s">
        <v>77</v>
      </c>
      <c r="F6" s="51" t="s">
        <v>78</v>
      </c>
      <c r="G6" s="51" t="s">
        <v>79</v>
      </c>
      <c r="H6" s="51" t="s">
        <v>77</v>
      </c>
      <c r="I6" s="51" t="s">
        <v>78</v>
      </c>
      <c r="J6" s="51" t="s">
        <v>79</v>
      </c>
      <c r="K6" s="51" t="s">
        <v>77</v>
      </c>
      <c r="L6" s="51" t="s">
        <v>78</v>
      </c>
      <c r="M6" s="51" t="s">
        <v>79</v>
      </c>
      <c r="N6" s="51" t="s">
        <v>77</v>
      </c>
      <c r="O6" s="51" t="s">
        <v>78</v>
      </c>
      <c r="P6" s="51" t="s">
        <v>79</v>
      </c>
      <c r="Q6" s="133"/>
      <c r="R6" s="128"/>
      <c r="S6" s="129"/>
    </row>
    <row r="7" spans="1:79" s="46" customFormat="1" ht="17.100000000000001" customHeight="1">
      <c r="A7" s="52" t="s">
        <v>80</v>
      </c>
      <c r="B7" s="97">
        <v>314</v>
      </c>
      <c r="C7" s="97">
        <v>4</v>
      </c>
      <c r="D7" s="98">
        <f>B7*12+C7</f>
        <v>3772</v>
      </c>
      <c r="E7" s="53">
        <f>62+20</f>
        <v>82</v>
      </c>
      <c r="F7" s="54">
        <v>6</v>
      </c>
      <c r="G7" s="98">
        <f>E7*12+F7</f>
        <v>990</v>
      </c>
      <c r="H7" s="53"/>
      <c r="I7" s="54"/>
      <c r="J7" s="98">
        <f>H7*12+I7</f>
        <v>0</v>
      </c>
      <c r="K7" s="53"/>
      <c r="L7" s="54">
        <v>258</v>
      </c>
      <c r="M7" s="98">
        <f>K7*12+L7</f>
        <v>258</v>
      </c>
      <c r="N7" s="97">
        <v>2</v>
      </c>
      <c r="O7" s="97">
        <v>1</v>
      </c>
      <c r="P7" s="98">
        <f>N7*12+O7</f>
        <v>25</v>
      </c>
      <c r="Q7" s="99">
        <f>D7+G7+J7+M7+P7</f>
        <v>5045</v>
      </c>
      <c r="R7" s="96"/>
      <c r="S7" s="96">
        <f>Q7*R7</f>
        <v>0</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row>
    <row r="8" spans="1:79" s="46" customFormat="1" ht="17.100000000000001" customHeight="1">
      <c r="A8" s="52" t="s">
        <v>81</v>
      </c>
      <c r="B8" s="97">
        <v>122</v>
      </c>
      <c r="C8" s="97">
        <v>6</v>
      </c>
      <c r="D8" s="98">
        <f t="shared" ref="D8:D16" si="0">B8*12+C8</f>
        <v>1470</v>
      </c>
      <c r="E8" s="53">
        <v>6</v>
      </c>
      <c r="F8" s="54"/>
      <c r="G8" s="98">
        <f t="shared" ref="G8:G16" si="1">E8*12+F8</f>
        <v>72</v>
      </c>
      <c r="H8" s="53"/>
      <c r="I8" s="54"/>
      <c r="J8" s="98">
        <f t="shared" ref="J8:J16" si="2">H8*12+I8</f>
        <v>0</v>
      </c>
      <c r="K8" s="53"/>
      <c r="L8" s="54"/>
      <c r="M8" s="98">
        <f t="shared" ref="M8:M16" si="3">K8*12+L8</f>
        <v>0</v>
      </c>
      <c r="N8" s="97">
        <v>1</v>
      </c>
      <c r="O8" s="97">
        <v>8</v>
      </c>
      <c r="P8" s="98">
        <f t="shared" ref="P8:P16" si="4">N8*12+O8</f>
        <v>20</v>
      </c>
      <c r="Q8" s="99">
        <f t="shared" ref="Q8:Q54" si="5">D8+G8+J8+M8+P8</f>
        <v>1562</v>
      </c>
      <c r="R8" s="96"/>
      <c r="S8" s="96">
        <f t="shared" ref="S8:S54" si="6">Q8*R8</f>
        <v>0</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row>
    <row r="9" spans="1:79" s="46" customFormat="1" ht="17.100000000000001" customHeight="1">
      <c r="A9" s="52" t="s">
        <v>82</v>
      </c>
      <c r="B9" s="97">
        <v>57</v>
      </c>
      <c r="C9" s="97"/>
      <c r="D9" s="98">
        <f t="shared" si="0"/>
        <v>684</v>
      </c>
      <c r="E9" s="53">
        <v>4</v>
      </c>
      <c r="F9" s="54">
        <v>6</v>
      </c>
      <c r="G9" s="98">
        <f t="shared" si="1"/>
        <v>54</v>
      </c>
      <c r="H9" s="53"/>
      <c r="I9" s="54"/>
      <c r="J9" s="98">
        <f t="shared" si="2"/>
        <v>0</v>
      </c>
      <c r="K9" s="53"/>
      <c r="L9" s="54"/>
      <c r="M9" s="98">
        <f t="shared" si="3"/>
        <v>0</v>
      </c>
      <c r="N9" s="97">
        <v>1</v>
      </c>
      <c r="O9" s="97">
        <v>4</v>
      </c>
      <c r="P9" s="98">
        <f t="shared" si="4"/>
        <v>16</v>
      </c>
      <c r="Q9" s="99">
        <f t="shared" si="5"/>
        <v>754</v>
      </c>
      <c r="R9" s="96"/>
      <c r="S9" s="96">
        <f t="shared" si="6"/>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row>
    <row r="10" spans="1:79" ht="17.100000000000001" customHeight="1">
      <c r="A10" s="52" t="s">
        <v>83</v>
      </c>
      <c r="B10" s="97">
        <v>803</v>
      </c>
      <c r="C10" s="97"/>
      <c r="D10" s="98">
        <f t="shared" si="0"/>
        <v>9636</v>
      </c>
      <c r="E10" s="53">
        <f>29+63</f>
        <v>92</v>
      </c>
      <c r="F10" s="54"/>
      <c r="G10" s="98">
        <f t="shared" si="1"/>
        <v>1104</v>
      </c>
      <c r="H10" s="53"/>
      <c r="I10" s="54"/>
      <c r="J10" s="98">
        <f t="shared" si="2"/>
        <v>0</v>
      </c>
      <c r="K10" s="53"/>
      <c r="L10" s="54">
        <v>258</v>
      </c>
      <c r="M10" s="98">
        <f t="shared" si="3"/>
        <v>258</v>
      </c>
      <c r="N10" s="97">
        <f>42+7</f>
        <v>49</v>
      </c>
      <c r="O10" s="97">
        <v>4</v>
      </c>
      <c r="P10" s="98">
        <f t="shared" si="4"/>
        <v>592</v>
      </c>
      <c r="Q10" s="99">
        <f t="shared" si="5"/>
        <v>11590</v>
      </c>
      <c r="S10" s="96">
        <f t="shared" si="6"/>
        <v>0</v>
      </c>
    </row>
    <row r="11" spans="1:79" ht="17.100000000000001" customHeight="1">
      <c r="A11" s="52" t="s">
        <v>159</v>
      </c>
      <c r="B11" s="97"/>
      <c r="C11" s="97"/>
      <c r="D11" s="98">
        <f t="shared" si="0"/>
        <v>0</v>
      </c>
      <c r="E11" s="53"/>
      <c r="F11" s="54"/>
      <c r="G11" s="98">
        <f t="shared" si="1"/>
        <v>0</v>
      </c>
      <c r="H11" s="53"/>
      <c r="I11" s="54"/>
      <c r="J11" s="98">
        <f t="shared" si="2"/>
        <v>0</v>
      </c>
      <c r="K11" s="53"/>
      <c r="L11" s="54"/>
      <c r="M11" s="98">
        <f t="shared" si="3"/>
        <v>0</v>
      </c>
      <c r="N11" s="97">
        <v>24.16</v>
      </c>
      <c r="O11" s="97"/>
      <c r="P11" s="98">
        <f t="shared" si="4"/>
        <v>289.92</v>
      </c>
      <c r="Q11" s="99">
        <f t="shared" si="5"/>
        <v>289.92</v>
      </c>
      <c r="S11" s="96">
        <f t="shared" si="6"/>
        <v>0</v>
      </c>
    </row>
    <row r="12" spans="1:79" ht="17.100000000000001" customHeight="1">
      <c r="A12" s="52" t="s">
        <v>84</v>
      </c>
      <c r="B12" s="97"/>
      <c r="C12" s="97"/>
      <c r="D12" s="98">
        <f t="shared" si="0"/>
        <v>0</v>
      </c>
      <c r="E12" s="53"/>
      <c r="F12" s="54"/>
      <c r="G12" s="98">
        <f t="shared" si="1"/>
        <v>0</v>
      </c>
      <c r="H12" s="53"/>
      <c r="I12" s="54"/>
      <c r="J12" s="98">
        <f t="shared" si="2"/>
        <v>0</v>
      </c>
      <c r="K12" s="53"/>
      <c r="L12" s="54"/>
      <c r="M12" s="98">
        <f t="shared" si="3"/>
        <v>0</v>
      </c>
      <c r="N12" s="97">
        <v>10</v>
      </c>
      <c r="O12" s="97">
        <v>7</v>
      </c>
      <c r="P12" s="98">
        <f t="shared" si="4"/>
        <v>127</v>
      </c>
      <c r="Q12" s="99">
        <f t="shared" si="5"/>
        <v>127</v>
      </c>
      <c r="S12" s="96">
        <f t="shared" si="6"/>
        <v>0</v>
      </c>
    </row>
    <row r="13" spans="1:79" ht="17.100000000000001" customHeight="1">
      <c r="A13" s="52" t="s">
        <v>85</v>
      </c>
      <c r="B13" s="97">
        <v>45</v>
      </c>
      <c r="C13" s="97"/>
      <c r="D13" s="98">
        <f t="shared" si="0"/>
        <v>540</v>
      </c>
      <c r="E13" s="53">
        <f>9+14</f>
        <v>23</v>
      </c>
      <c r="F13" s="54"/>
      <c r="G13" s="98">
        <f t="shared" si="1"/>
        <v>276</v>
      </c>
      <c r="H13" s="53"/>
      <c r="I13" s="54"/>
      <c r="J13" s="98">
        <f t="shared" si="2"/>
        <v>0</v>
      </c>
      <c r="K13" s="53"/>
      <c r="L13" s="54">
        <v>36</v>
      </c>
      <c r="M13" s="98">
        <f t="shared" si="3"/>
        <v>36</v>
      </c>
      <c r="N13" s="97">
        <v>10</v>
      </c>
      <c r="O13" s="97">
        <v>4</v>
      </c>
      <c r="P13" s="98">
        <f t="shared" si="4"/>
        <v>124</v>
      </c>
      <c r="Q13" s="99">
        <f t="shared" si="5"/>
        <v>976</v>
      </c>
      <c r="S13" s="96">
        <f t="shared" si="6"/>
        <v>0</v>
      </c>
    </row>
    <row r="14" spans="1:79" ht="17.100000000000001" customHeight="1">
      <c r="A14" s="52" t="s">
        <v>200</v>
      </c>
      <c r="B14" s="97"/>
      <c r="C14" s="97"/>
      <c r="D14" s="98">
        <f t="shared" si="0"/>
        <v>0</v>
      </c>
      <c r="E14" s="53"/>
      <c r="F14" s="54"/>
      <c r="G14" s="98">
        <f t="shared" si="1"/>
        <v>0</v>
      </c>
      <c r="H14" s="53"/>
      <c r="I14" s="54"/>
      <c r="J14" s="98">
        <f t="shared" si="2"/>
        <v>0</v>
      </c>
      <c r="K14" s="53"/>
      <c r="L14" s="54"/>
      <c r="M14" s="98">
        <f t="shared" si="3"/>
        <v>0</v>
      </c>
      <c r="N14" s="97">
        <v>4</v>
      </c>
      <c r="O14" s="97"/>
      <c r="P14" s="98">
        <f t="shared" si="4"/>
        <v>48</v>
      </c>
      <c r="Q14" s="99">
        <f t="shared" si="5"/>
        <v>48</v>
      </c>
      <c r="S14" s="96">
        <f t="shared" si="6"/>
        <v>0</v>
      </c>
    </row>
    <row r="15" spans="1:79" ht="17.100000000000001" customHeight="1">
      <c r="A15" s="52" t="s">
        <v>201</v>
      </c>
      <c r="B15" s="97"/>
      <c r="C15" s="97"/>
      <c r="D15" s="98">
        <f t="shared" si="0"/>
        <v>0</v>
      </c>
      <c r="E15" s="53"/>
      <c r="F15" s="54"/>
      <c r="G15" s="98">
        <f t="shared" si="1"/>
        <v>0</v>
      </c>
      <c r="H15" s="53"/>
      <c r="I15" s="54"/>
      <c r="J15" s="98">
        <f t="shared" si="2"/>
        <v>0</v>
      </c>
      <c r="K15" s="53"/>
      <c r="L15" s="54"/>
      <c r="M15" s="98">
        <f t="shared" si="3"/>
        <v>0</v>
      </c>
      <c r="N15" s="97">
        <v>4</v>
      </c>
      <c r="O15" s="97"/>
      <c r="P15" s="98">
        <f t="shared" si="4"/>
        <v>48</v>
      </c>
      <c r="Q15" s="99">
        <f t="shared" si="5"/>
        <v>48</v>
      </c>
      <c r="S15" s="96">
        <f t="shared" si="6"/>
        <v>0</v>
      </c>
    </row>
    <row r="16" spans="1:79" s="46" customFormat="1" ht="17.100000000000001" customHeight="1">
      <c r="A16" s="52" t="s">
        <v>126</v>
      </c>
      <c r="B16" s="97"/>
      <c r="C16" s="97"/>
      <c r="D16" s="98">
        <f t="shared" si="0"/>
        <v>0</v>
      </c>
      <c r="E16" s="53"/>
      <c r="F16" s="54"/>
      <c r="G16" s="98">
        <f t="shared" si="1"/>
        <v>0</v>
      </c>
      <c r="H16" s="53"/>
      <c r="I16" s="54"/>
      <c r="J16" s="98">
        <f t="shared" si="2"/>
        <v>0</v>
      </c>
      <c r="K16" s="53"/>
      <c r="L16" s="54"/>
      <c r="M16" s="98">
        <f t="shared" si="3"/>
        <v>0</v>
      </c>
      <c r="N16" s="97">
        <v>7</v>
      </c>
      <c r="O16" s="97"/>
      <c r="P16" s="98">
        <f t="shared" si="4"/>
        <v>84</v>
      </c>
      <c r="Q16" s="99">
        <f t="shared" si="5"/>
        <v>84</v>
      </c>
      <c r="R16" s="96"/>
      <c r="S16" s="96">
        <f t="shared" si="6"/>
        <v>0</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row>
    <row r="17" spans="1:79" ht="17.100000000000001" customHeight="1">
      <c r="A17" s="52" t="s">
        <v>86</v>
      </c>
      <c r="B17" s="97">
        <v>2</v>
      </c>
      <c r="C17" s="97"/>
      <c r="D17" s="98">
        <f t="shared" ref="D17:D20" si="7">B17*24+C17</f>
        <v>48</v>
      </c>
      <c r="E17" s="53"/>
      <c r="F17" s="54"/>
      <c r="G17" s="98">
        <f t="shared" ref="G17:G20" si="8">E17*24+F17</f>
        <v>0</v>
      </c>
      <c r="H17" s="53"/>
      <c r="I17" s="54"/>
      <c r="J17" s="98">
        <f t="shared" ref="J17:J20" si="9">H17*24+I17</f>
        <v>0</v>
      </c>
      <c r="K17" s="53"/>
      <c r="L17" s="54"/>
      <c r="M17" s="98">
        <f t="shared" ref="M17:M20" si="10">K17*24+L17</f>
        <v>0</v>
      </c>
      <c r="N17" s="97"/>
      <c r="O17" s="97"/>
      <c r="P17" s="98">
        <f t="shared" ref="P17:P20" si="11">N17*24+O17</f>
        <v>0</v>
      </c>
      <c r="Q17" s="99">
        <f t="shared" si="5"/>
        <v>48</v>
      </c>
      <c r="S17" s="96">
        <f t="shared" si="6"/>
        <v>0</v>
      </c>
    </row>
    <row r="18" spans="1:79" ht="17.100000000000001" customHeight="1">
      <c r="A18" s="52" t="s">
        <v>87</v>
      </c>
      <c r="B18" s="97">
        <v>2</v>
      </c>
      <c r="C18" s="97"/>
      <c r="D18" s="98">
        <f t="shared" si="7"/>
        <v>48</v>
      </c>
      <c r="E18" s="53"/>
      <c r="F18" s="54"/>
      <c r="G18" s="98">
        <f t="shared" si="8"/>
        <v>0</v>
      </c>
      <c r="H18" s="53"/>
      <c r="I18" s="54"/>
      <c r="J18" s="98">
        <f t="shared" si="9"/>
        <v>0</v>
      </c>
      <c r="K18" s="53"/>
      <c r="L18" s="54"/>
      <c r="M18" s="98">
        <f t="shared" si="10"/>
        <v>0</v>
      </c>
      <c r="N18" s="97"/>
      <c r="O18" s="97"/>
      <c r="P18" s="98">
        <f t="shared" si="11"/>
        <v>0</v>
      </c>
      <c r="Q18" s="99">
        <f t="shared" si="5"/>
        <v>48</v>
      </c>
      <c r="S18" s="96">
        <f t="shared" si="6"/>
        <v>0</v>
      </c>
    </row>
    <row r="19" spans="1:79" s="46" customFormat="1" ht="17.100000000000001" customHeight="1">
      <c r="A19" s="52" t="s">
        <v>88</v>
      </c>
      <c r="B19" s="97">
        <v>2</v>
      </c>
      <c r="C19" s="97"/>
      <c r="D19" s="98">
        <f t="shared" si="7"/>
        <v>48</v>
      </c>
      <c r="E19" s="53"/>
      <c r="F19" s="54"/>
      <c r="G19" s="98">
        <f t="shared" si="8"/>
        <v>0</v>
      </c>
      <c r="H19" s="53"/>
      <c r="I19" s="54"/>
      <c r="J19" s="98">
        <f t="shared" si="9"/>
        <v>0</v>
      </c>
      <c r="K19" s="53"/>
      <c r="L19" s="54"/>
      <c r="M19" s="98">
        <f t="shared" si="10"/>
        <v>0</v>
      </c>
      <c r="N19" s="97"/>
      <c r="O19" s="97"/>
      <c r="P19" s="98">
        <f t="shared" si="11"/>
        <v>0</v>
      </c>
      <c r="Q19" s="99">
        <f t="shared" si="5"/>
        <v>48</v>
      </c>
      <c r="R19" s="96"/>
      <c r="S19" s="96">
        <f t="shared" si="6"/>
        <v>0</v>
      </c>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row>
    <row r="20" spans="1:79" s="46" customFormat="1" ht="17.100000000000001" customHeight="1">
      <c r="A20" s="52" t="s">
        <v>89</v>
      </c>
      <c r="B20" s="97">
        <v>21</v>
      </c>
      <c r="C20" s="97"/>
      <c r="D20" s="98">
        <f t="shared" si="7"/>
        <v>504</v>
      </c>
      <c r="E20" s="53"/>
      <c r="F20" s="54"/>
      <c r="G20" s="98">
        <f t="shared" si="8"/>
        <v>0</v>
      </c>
      <c r="H20" s="53"/>
      <c r="I20" s="54"/>
      <c r="J20" s="98">
        <f t="shared" si="9"/>
        <v>0</v>
      </c>
      <c r="K20" s="53"/>
      <c r="L20" s="54"/>
      <c r="M20" s="98">
        <f t="shared" si="10"/>
        <v>0</v>
      </c>
      <c r="N20" s="97"/>
      <c r="O20" s="97">
        <v>34</v>
      </c>
      <c r="P20" s="98">
        <f t="shared" si="11"/>
        <v>34</v>
      </c>
      <c r="Q20" s="99">
        <f t="shared" si="5"/>
        <v>538</v>
      </c>
      <c r="R20" s="96"/>
      <c r="S20" s="96">
        <f t="shared" si="6"/>
        <v>0</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row>
    <row r="21" spans="1:79" s="46" customFormat="1" ht="17.100000000000001" customHeight="1">
      <c r="A21" s="52" t="s">
        <v>90</v>
      </c>
      <c r="B21" s="97"/>
      <c r="C21" s="97"/>
      <c r="D21" s="98">
        <f>B21*12+C21</f>
        <v>0</v>
      </c>
      <c r="E21" s="53"/>
      <c r="F21" s="54"/>
      <c r="G21" s="98">
        <f>E21*12+F21</f>
        <v>0</v>
      </c>
      <c r="H21" s="53"/>
      <c r="I21" s="54"/>
      <c r="J21" s="98">
        <f>H21*12+I21</f>
        <v>0</v>
      </c>
      <c r="K21" s="53"/>
      <c r="L21" s="54"/>
      <c r="M21" s="98">
        <f>K21*12+L21</f>
        <v>0</v>
      </c>
      <c r="N21" s="97"/>
      <c r="O21" s="97"/>
      <c r="P21" s="98">
        <f>N21*12+O21</f>
        <v>0</v>
      </c>
      <c r="Q21" s="99">
        <f t="shared" si="5"/>
        <v>0</v>
      </c>
      <c r="R21" s="96"/>
      <c r="S21" s="96">
        <f t="shared" si="6"/>
        <v>0</v>
      </c>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row>
    <row r="22" spans="1:79" s="46" customFormat="1" ht="17.100000000000001" customHeight="1">
      <c r="A22" s="113" t="s">
        <v>213</v>
      </c>
      <c r="B22" s="97">
        <v>59</v>
      </c>
      <c r="C22" s="97">
        <v>1</v>
      </c>
      <c r="D22" s="98">
        <f>B22*12+C22</f>
        <v>709</v>
      </c>
      <c r="E22" s="53">
        <f>3+28</f>
        <v>31</v>
      </c>
      <c r="F22" s="54">
        <v>1</v>
      </c>
      <c r="G22" s="98">
        <f>E22*12+F22</f>
        <v>373</v>
      </c>
      <c r="H22" s="53"/>
      <c r="I22" s="54"/>
      <c r="J22" s="98">
        <f>H22*12+I22</f>
        <v>0</v>
      </c>
      <c r="K22" s="53"/>
      <c r="L22" s="54">
        <v>245</v>
      </c>
      <c r="M22" s="98">
        <f>K22*12+L22</f>
        <v>245</v>
      </c>
      <c r="N22" s="97">
        <f>1+1+2+1+1</f>
        <v>6</v>
      </c>
      <c r="O22" s="97">
        <v>18</v>
      </c>
      <c r="P22" s="98">
        <f>N22*12+O22</f>
        <v>90</v>
      </c>
      <c r="Q22" s="99">
        <f t="shared" si="5"/>
        <v>1417</v>
      </c>
      <c r="R22" s="96"/>
      <c r="S22" s="96"/>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row>
    <row r="23" spans="1:79" s="46" customFormat="1" ht="17.100000000000001" customHeight="1">
      <c r="A23" s="52" t="s">
        <v>91</v>
      </c>
      <c r="B23" s="97">
        <v>2</v>
      </c>
      <c r="C23" s="97"/>
      <c r="D23" s="98">
        <f t="shared" ref="D23:D29" si="12">B23*12+C23</f>
        <v>24</v>
      </c>
      <c r="E23" s="53"/>
      <c r="F23" s="54"/>
      <c r="G23" s="98">
        <f t="shared" ref="G23:G29" si="13">E23*12+F23</f>
        <v>0</v>
      </c>
      <c r="H23" s="53"/>
      <c r="I23" s="54"/>
      <c r="J23" s="98">
        <f t="shared" ref="J23:J29" si="14">H23*12+I23</f>
        <v>0</v>
      </c>
      <c r="K23" s="53"/>
      <c r="L23" s="54">
        <v>24</v>
      </c>
      <c r="M23" s="98">
        <f t="shared" ref="M23:M29" si="15">K23*12+L23</f>
        <v>24</v>
      </c>
      <c r="N23" s="97">
        <v>58</v>
      </c>
      <c r="O23" s="97">
        <v>14</v>
      </c>
      <c r="P23" s="98">
        <f t="shared" ref="P23:P29" si="16">N23*12+O23</f>
        <v>710</v>
      </c>
      <c r="Q23" s="99">
        <f t="shared" si="5"/>
        <v>758</v>
      </c>
      <c r="R23" s="96"/>
      <c r="S23" s="96">
        <f t="shared" si="6"/>
        <v>0</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row>
    <row r="24" spans="1:79" s="46" customFormat="1" ht="17.100000000000001" customHeight="1">
      <c r="A24" s="52" t="s">
        <v>92</v>
      </c>
      <c r="B24" s="97"/>
      <c r="C24" s="97">
        <v>8</v>
      </c>
      <c r="D24" s="98">
        <f t="shared" si="12"/>
        <v>8</v>
      </c>
      <c r="E24" s="53"/>
      <c r="F24" s="54">
        <v>11</v>
      </c>
      <c r="G24" s="98">
        <f t="shared" si="13"/>
        <v>11</v>
      </c>
      <c r="H24" s="53"/>
      <c r="I24" s="54"/>
      <c r="J24" s="98">
        <f t="shared" si="14"/>
        <v>0</v>
      </c>
      <c r="K24" s="53"/>
      <c r="L24" s="54">
        <v>11</v>
      </c>
      <c r="M24" s="98">
        <f t="shared" si="15"/>
        <v>11</v>
      </c>
      <c r="N24" s="97">
        <v>44</v>
      </c>
      <c r="O24" s="97">
        <v>2</v>
      </c>
      <c r="P24" s="98">
        <f t="shared" si="16"/>
        <v>530</v>
      </c>
      <c r="Q24" s="99">
        <f t="shared" si="5"/>
        <v>560</v>
      </c>
      <c r="R24" s="96"/>
      <c r="S24" s="96">
        <f t="shared" si="6"/>
        <v>0</v>
      </c>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row>
    <row r="25" spans="1:79" s="46" customFormat="1" ht="17.100000000000001" customHeight="1">
      <c r="A25" s="52" t="s">
        <v>93</v>
      </c>
      <c r="B25" s="97"/>
      <c r="C25" s="97"/>
      <c r="D25" s="98">
        <f t="shared" si="12"/>
        <v>0</v>
      </c>
      <c r="E25" s="53"/>
      <c r="F25" s="54"/>
      <c r="G25" s="98">
        <f t="shared" si="13"/>
        <v>0</v>
      </c>
      <c r="H25" s="53"/>
      <c r="I25" s="54"/>
      <c r="J25" s="98">
        <f t="shared" si="14"/>
        <v>0</v>
      </c>
      <c r="K25" s="53"/>
      <c r="L25" s="54"/>
      <c r="M25" s="98">
        <f t="shared" si="15"/>
        <v>0</v>
      </c>
      <c r="N25" s="97"/>
      <c r="O25" s="97"/>
      <c r="P25" s="98">
        <f t="shared" si="16"/>
        <v>0</v>
      </c>
      <c r="Q25" s="99">
        <f t="shared" si="5"/>
        <v>0</v>
      </c>
      <c r="R25" s="96"/>
      <c r="S25" s="96">
        <f t="shared" si="6"/>
        <v>0</v>
      </c>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row>
    <row r="26" spans="1:79" ht="17.100000000000001" customHeight="1">
      <c r="A26" s="52" t="s">
        <v>127</v>
      </c>
      <c r="B26" s="97"/>
      <c r="C26" s="97"/>
      <c r="D26" s="98">
        <f t="shared" si="12"/>
        <v>0</v>
      </c>
      <c r="E26" s="53"/>
      <c r="F26" s="54"/>
      <c r="G26" s="98">
        <f t="shared" si="13"/>
        <v>0</v>
      </c>
      <c r="H26" s="53"/>
      <c r="I26" s="54"/>
      <c r="J26" s="98">
        <f t="shared" si="14"/>
        <v>0</v>
      </c>
      <c r="K26" s="53"/>
      <c r="L26" s="54"/>
      <c r="M26" s="98">
        <f t="shared" si="15"/>
        <v>0</v>
      </c>
      <c r="N26" s="97"/>
      <c r="O26" s="97"/>
      <c r="P26" s="98">
        <f t="shared" si="16"/>
        <v>0</v>
      </c>
      <c r="Q26" s="99">
        <f t="shared" si="5"/>
        <v>0</v>
      </c>
      <c r="S26" s="96">
        <f t="shared" si="6"/>
        <v>0</v>
      </c>
    </row>
    <row r="27" spans="1:79" ht="17.100000000000001" customHeight="1">
      <c r="A27" s="52" t="s">
        <v>160</v>
      </c>
      <c r="B27" s="97"/>
      <c r="C27" s="97"/>
      <c r="D27" s="98">
        <f t="shared" si="12"/>
        <v>0</v>
      </c>
      <c r="E27" s="53"/>
      <c r="F27" s="54"/>
      <c r="G27" s="98">
        <f t="shared" si="13"/>
        <v>0</v>
      </c>
      <c r="H27" s="53"/>
      <c r="I27" s="54"/>
      <c r="J27" s="98">
        <f t="shared" si="14"/>
        <v>0</v>
      </c>
      <c r="K27" s="53"/>
      <c r="L27" s="54"/>
      <c r="M27" s="98">
        <f t="shared" si="15"/>
        <v>0</v>
      </c>
      <c r="N27" s="97"/>
      <c r="O27" s="97">
        <v>1</v>
      </c>
      <c r="P27" s="98">
        <f t="shared" si="16"/>
        <v>1</v>
      </c>
      <c r="Q27" s="99">
        <f t="shared" si="5"/>
        <v>1</v>
      </c>
      <c r="S27" s="96">
        <f t="shared" si="6"/>
        <v>0</v>
      </c>
    </row>
    <row r="28" spans="1:79" ht="17.100000000000001" customHeight="1">
      <c r="A28" s="52" t="s">
        <v>161</v>
      </c>
      <c r="B28" s="97"/>
      <c r="C28" s="97"/>
      <c r="D28" s="98">
        <f t="shared" si="12"/>
        <v>0</v>
      </c>
      <c r="E28" s="53"/>
      <c r="F28" s="54"/>
      <c r="G28" s="98">
        <f t="shared" si="13"/>
        <v>0</v>
      </c>
      <c r="H28" s="53"/>
      <c r="I28" s="54"/>
      <c r="J28" s="98">
        <f t="shared" si="14"/>
        <v>0</v>
      </c>
      <c r="K28" s="53"/>
      <c r="L28" s="54"/>
      <c r="M28" s="98">
        <f t="shared" si="15"/>
        <v>0</v>
      </c>
      <c r="N28" s="97">
        <v>1</v>
      </c>
      <c r="O28" s="97"/>
      <c r="P28" s="98">
        <f t="shared" si="16"/>
        <v>12</v>
      </c>
      <c r="Q28" s="99">
        <f t="shared" si="5"/>
        <v>12</v>
      </c>
      <c r="S28" s="96">
        <f t="shared" si="6"/>
        <v>0</v>
      </c>
    </row>
    <row r="29" spans="1:79" ht="17.100000000000001" customHeight="1">
      <c r="A29" s="52" t="s">
        <v>162</v>
      </c>
      <c r="B29" s="97"/>
      <c r="C29" s="97"/>
      <c r="D29" s="98">
        <f t="shared" si="12"/>
        <v>0</v>
      </c>
      <c r="E29" s="53"/>
      <c r="F29" s="54"/>
      <c r="G29" s="98">
        <f t="shared" si="13"/>
        <v>0</v>
      </c>
      <c r="H29" s="53"/>
      <c r="I29" s="54"/>
      <c r="J29" s="98">
        <f t="shared" si="14"/>
        <v>0</v>
      </c>
      <c r="K29" s="53"/>
      <c r="L29" s="54"/>
      <c r="M29" s="98">
        <f t="shared" si="15"/>
        <v>0</v>
      </c>
      <c r="N29" s="97">
        <v>9</v>
      </c>
      <c r="O29" s="97">
        <v>9</v>
      </c>
      <c r="P29" s="98">
        <f t="shared" si="16"/>
        <v>117</v>
      </c>
      <c r="Q29" s="99">
        <f t="shared" si="5"/>
        <v>117</v>
      </c>
      <c r="S29" s="96">
        <f t="shared" si="6"/>
        <v>0</v>
      </c>
    </row>
    <row r="30" spans="1:79" ht="17.100000000000001" customHeight="1">
      <c r="A30" s="52" t="s">
        <v>94</v>
      </c>
      <c r="B30" s="97"/>
      <c r="C30" s="97"/>
      <c r="D30" s="98">
        <f>B30*10+C30</f>
        <v>0</v>
      </c>
      <c r="E30" s="53"/>
      <c r="F30" s="54"/>
      <c r="G30" s="98">
        <f>E30*10+F30</f>
        <v>0</v>
      </c>
      <c r="H30" s="53"/>
      <c r="I30" s="54"/>
      <c r="J30" s="98">
        <f>H30*10+I30</f>
        <v>0</v>
      </c>
      <c r="K30" s="53"/>
      <c r="L30" s="54"/>
      <c r="M30" s="98">
        <f>K30*10+L30</f>
        <v>0</v>
      </c>
      <c r="N30" s="97">
        <v>3</v>
      </c>
      <c r="O30" s="97"/>
      <c r="P30" s="98">
        <f>N30*10+O30</f>
        <v>30</v>
      </c>
      <c r="Q30" s="99">
        <f t="shared" si="5"/>
        <v>30</v>
      </c>
      <c r="S30" s="96">
        <f t="shared" si="6"/>
        <v>0</v>
      </c>
    </row>
    <row r="31" spans="1:79" ht="17.100000000000001" customHeight="1">
      <c r="A31" s="52" t="s">
        <v>95</v>
      </c>
      <c r="B31" s="97"/>
      <c r="C31" s="97"/>
      <c r="D31" s="98">
        <f t="shared" ref="D31:D33" si="17">B31*10+C31</f>
        <v>0</v>
      </c>
      <c r="E31" s="53"/>
      <c r="F31" s="54"/>
      <c r="G31" s="98">
        <f t="shared" ref="G31:G33" si="18">E31*10+F31</f>
        <v>0</v>
      </c>
      <c r="H31" s="53"/>
      <c r="I31" s="54"/>
      <c r="J31" s="98">
        <f t="shared" ref="J31:J33" si="19">H31*10+I31</f>
        <v>0</v>
      </c>
      <c r="K31" s="53"/>
      <c r="L31" s="54"/>
      <c r="M31" s="98">
        <f t="shared" ref="M31:M33" si="20">K31*10+L31</f>
        <v>0</v>
      </c>
      <c r="N31" s="97">
        <v>3</v>
      </c>
      <c r="O31" s="97"/>
      <c r="P31" s="98">
        <f t="shared" ref="P31:P33" si="21">N31*10+O31</f>
        <v>30</v>
      </c>
      <c r="Q31" s="99">
        <f t="shared" si="5"/>
        <v>30</v>
      </c>
      <c r="S31" s="96">
        <f t="shared" si="6"/>
        <v>0</v>
      </c>
    </row>
    <row r="32" spans="1:79" ht="17.100000000000001" customHeight="1">
      <c r="A32" s="52" t="s">
        <v>116</v>
      </c>
      <c r="B32" s="97"/>
      <c r="C32" s="97"/>
      <c r="D32" s="98">
        <f t="shared" si="17"/>
        <v>0</v>
      </c>
      <c r="E32" s="53"/>
      <c r="F32" s="54"/>
      <c r="G32" s="98">
        <f t="shared" si="18"/>
        <v>0</v>
      </c>
      <c r="H32" s="53"/>
      <c r="I32" s="54"/>
      <c r="J32" s="98">
        <f t="shared" si="19"/>
        <v>0</v>
      </c>
      <c r="K32" s="53"/>
      <c r="L32" s="54"/>
      <c r="M32" s="98">
        <f t="shared" si="20"/>
        <v>0</v>
      </c>
      <c r="N32" s="97"/>
      <c r="O32" s="97"/>
      <c r="P32" s="98">
        <f t="shared" si="21"/>
        <v>0</v>
      </c>
      <c r="Q32" s="99">
        <f t="shared" si="5"/>
        <v>0</v>
      </c>
      <c r="S32" s="96">
        <f t="shared" si="6"/>
        <v>0</v>
      </c>
    </row>
    <row r="33" spans="1:79" ht="17.100000000000001" customHeight="1">
      <c r="A33" s="52" t="s">
        <v>119</v>
      </c>
      <c r="B33" s="97"/>
      <c r="C33" s="97"/>
      <c r="D33" s="98">
        <f t="shared" si="17"/>
        <v>0</v>
      </c>
      <c r="E33" s="53"/>
      <c r="F33" s="54"/>
      <c r="G33" s="98">
        <f t="shared" si="18"/>
        <v>0</v>
      </c>
      <c r="H33" s="53"/>
      <c r="I33" s="54"/>
      <c r="J33" s="98">
        <f t="shared" si="19"/>
        <v>0</v>
      </c>
      <c r="K33" s="53"/>
      <c r="L33" s="54"/>
      <c r="M33" s="98">
        <f t="shared" si="20"/>
        <v>0</v>
      </c>
      <c r="N33" s="97"/>
      <c r="O33" s="97"/>
      <c r="P33" s="98">
        <f t="shared" si="21"/>
        <v>0</v>
      </c>
      <c r="Q33" s="99">
        <f t="shared" si="5"/>
        <v>0</v>
      </c>
      <c r="S33" s="96">
        <f t="shared" si="6"/>
        <v>0</v>
      </c>
    </row>
    <row r="34" spans="1:79" ht="17.100000000000001" customHeight="1">
      <c r="A34" s="52" t="s">
        <v>128</v>
      </c>
      <c r="B34" s="97"/>
      <c r="C34" s="97"/>
      <c r="D34" s="98">
        <f>B34*12+C34</f>
        <v>0</v>
      </c>
      <c r="E34" s="53"/>
      <c r="F34" s="54"/>
      <c r="G34" s="98">
        <f>E34*12+F34</f>
        <v>0</v>
      </c>
      <c r="H34" s="53"/>
      <c r="I34" s="54"/>
      <c r="J34" s="98">
        <f>H34*12+I34</f>
        <v>0</v>
      </c>
      <c r="K34" s="53"/>
      <c r="L34" s="54"/>
      <c r="M34" s="98">
        <f>K34*12+L34</f>
        <v>0</v>
      </c>
      <c r="N34" s="97"/>
      <c r="O34" s="97"/>
      <c r="P34" s="98">
        <f>N34*12+O34</f>
        <v>0</v>
      </c>
      <c r="Q34" s="99">
        <f t="shared" si="5"/>
        <v>0</v>
      </c>
      <c r="S34" s="96">
        <f t="shared" si="6"/>
        <v>0</v>
      </c>
    </row>
    <row r="35" spans="1:79" s="46" customFormat="1" ht="17.100000000000001" customHeight="1">
      <c r="A35" s="52" t="s">
        <v>96</v>
      </c>
      <c r="B35" s="97"/>
      <c r="C35" s="97"/>
      <c r="D35" s="98">
        <f>B35*12+C35</f>
        <v>0</v>
      </c>
      <c r="E35" s="53"/>
      <c r="F35" s="54"/>
      <c r="G35" s="98">
        <f>E35*12+F35</f>
        <v>0</v>
      </c>
      <c r="H35" s="53"/>
      <c r="I35" s="54"/>
      <c r="J35" s="98">
        <f>H35*12+I35</f>
        <v>0</v>
      </c>
      <c r="K35" s="53"/>
      <c r="L35" s="54"/>
      <c r="M35" s="98">
        <f>K35*12+L35</f>
        <v>0</v>
      </c>
      <c r="N35" s="97">
        <v>65</v>
      </c>
      <c r="O35" s="97"/>
      <c r="P35" s="98">
        <f>N35*12+O35</f>
        <v>780</v>
      </c>
      <c r="Q35" s="99">
        <f t="shared" si="5"/>
        <v>780</v>
      </c>
      <c r="R35" s="96"/>
      <c r="S35" s="96">
        <f t="shared" si="6"/>
        <v>0</v>
      </c>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row>
    <row r="36" spans="1:79" s="46" customFormat="1" ht="17.100000000000001" customHeight="1">
      <c r="A36" s="52" t="s">
        <v>117</v>
      </c>
      <c r="B36" s="97">
        <v>194</v>
      </c>
      <c r="C36" s="97"/>
      <c r="D36" s="98">
        <f>B36*12+C36</f>
        <v>2328</v>
      </c>
      <c r="E36" s="53">
        <v>3</v>
      </c>
      <c r="F36" s="54"/>
      <c r="G36" s="98">
        <f>E36*12+F36</f>
        <v>36</v>
      </c>
      <c r="H36" s="53"/>
      <c r="I36" s="54"/>
      <c r="J36" s="98">
        <f>H36*12+I36</f>
        <v>0</v>
      </c>
      <c r="K36" s="53"/>
      <c r="L36" s="54">
        <v>24</v>
      </c>
      <c r="M36" s="98">
        <f>K36*12+L36</f>
        <v>24</v>
      </c>
      <c r="N36" s="97">
        <v>31</v>
      </c>
      <c r="O36" s="97"/>
      <c r="P36" s="98">
        <f>N36*12+O36</f>
        <v>372</v>
      </c>
      <c r="Q36" s="99">
        <f t="shared" si="5"/>
        <v>2760</v>
      </c>
      <c r="R36" s="96"/>
      <c r="S36" s="96">
        <f t="shared" si="6"/>
        <v>0</v>
      </c>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row>
    <row r="37" spans="1:79" ht="17.100000000000001" customHeight="1">
      <c r="A37" s="52" t="s">
        <v>97</v>
      </c>
      <c r="B37" s="97">
        <v>196</v>
      </c>
      <c r="C37" s="97"/>
      <c r="D37" s="98">
        <f>B37*30+C37</f>
        <v>5880</v>
      </c>
      <c r="E37" s="53"/>
      <c r="F37" s="54"/>
      <c r="G37" s="98">
        <f>E37*30+F37</f>
        <v>0</v>
      </c>
      <c r="H37" s="53"/>
      <c r="I37" s="54"/>
      <c r="J37" s="98">
        <f>H37*30+I37</f>
        <v>0</v>
      </c>
      <c r="K37" s="53"/>
      <c r="L37" s="54">
        <v>56</v>
      </c>
      <c r="M37" s="98">
        <f>K37*30+L37</f>
        <v>56</v>
      </c>
      <c r="N37" s="97">
        <v>3</v>
      </c>
      <c r="O37" s="97"/>
      <c r="P37" s="98">
        <f>N37*30+O37</f>
        <v>90</v>
      </c>
      <c r="Q37" s="99">
        <f t="shared" si="5"/>
        <v>6026</v>
      </c>
      <c r="S37" s="96">
        <f t="shared" si="6"/>
        <v>0</v>
      </c>
    </row>
    <row r="38" spans="1:79" s="46" customFormat="1" ht="17.100000000000001" customHeight="1">
      <c r="A38" s="52" t="s">
        <v>98</v>
      </c>
      <c r="B38" s="97">
        <v>404</v>
      </c>
      <c r="C38" s="97">
        <v>12</v>
      </c>
      <c r="D38" s="98">
        <f>B38*24+C38</f>
        <v>9708</v>
      </c>
      <c r="E38" s="53">
        <v>1</v>
      </c>
      <c r="F38" s="54"/>
      <c r="G38" s="98">
        <f>E38*24+F38</f>
        <v>24</v>
      </c>
      <c r="H38" s="53"/>
      <c r="I38" s="54"/>
      <c r="J38" s="98">
        <f>H38*24+I38</f>
        <v>0</v>
      </c>
      <c r="K38" s="53"/>
      <c r="L38" s="54">
        <v>33</v>
      </c>
      <c r="M38" s="98">
        <f>K38*24+L38</f>
        <v>33</v>
      </c>
      <c r="N38" s="97">
        <v>1</v>
      </c>
      <c r="O38" s="97">
        <v>3</v>
      </c>
      <c r="P38" s="98">
        <f>N38*24+O38</f>
        <v>27</v>
      </c>
      <c r="Q38" s="99">
        <f t="shared" si="5"/>
        <v>9792</v>
      </c>
      <c r="R38" s="96"/>
      <c r="S38" s="96">
        <f t="shared" si="6"/>
        <v>0</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row>
    <row r="39" spans="1:79" s="46" customFormat="1" ht="17.100000000000001" customHeight="1">
      <c r="A39" s="52" t="s">
        <v>61</v>
      </c>
      <c r="B39" s="97">
        <v>55</v>
      </c>
      <c r="C39" s="97"/>
      <c r="D39" s="98">
        <f>B39*12+C39</f>
        <v>660</v>
      </c>
      <c r="E39" s="53"/>
      <c r="F39" s="54"/>
      <c r="G39" s="98">
        <f>E39*12+F39</f>
        <v>0</v>
      </c>
      <c r="H39" s="53"/>
      <c r="I39" s="54"/>
      <c r="J39" s="98">
        <f>H39*12+I39</f>
        <v>0</v>
      </c>
      <c r="K39" s="53"/>
      <c r="L39" s="54">
        <f>8+13</f>
        <v>21</v>
      </c>
      <c r="M39" s="98">
        <f>K39*12+L39</f>
        <v>21</v>
      </c>
      <c r="N39" s="97">
        <v>4</v>
      </c>
      <c r="O39" s="97"/>
      <c r="P39" s="98">
        <f>N39*12+O39</f>
        <v>48</v>
      </c>
      <c r="Q39" s="99">
        <f t="shared" si="5"/>
        <v>729</v>
      </c>
      <c r="R39" s="96"/>
      <c r="S39" s="96">
        <f t="shared" si="6"/>
        <v>0</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spans="1:79" s="46" customFormat="1" ht="17.100000000000001" customHeight="1">
      <c r="A40" s="52" t="s">
        <v>129</v>
      </c>
      <c r="B40" s="97"/>
      <c r="C40" s="97"/>
      <c r="D40" s="98">
        <f>B40*12+C40</f>
        <v>0</v>
      </c>
      <c r="E40" s="53"/>
      <c r="F40" s="54"/>
      <c r="G40" s="98">
        <f>E40*12+F40</f>
        <v>0</v>
      </c>
      <c r="H40" s="53"/>
      <c r="I40" s="54"/>
      <c r="J40" s="98">
        <f>H40*12+I40</f>
        <v>0</v>
      </c>
      <c r="K40" s="53"/>
      <c r="L40" s="54"/>
      <c r="M40" s="98">
        <f>K40*12+L40</f>
        <v>0</v>
      </c>
      <c r="N40" s="97"/>
      <c r="O40" s="97"/>
      <c r="P40" s="98">
        <f>N40*12+O40</f>
        <v>0</v>
      </c>
      <c r="Q40" s="99">
        <f t="shared" si="5"/>
        <v>0</v>
      </c>
      <c r="R40" s="96"/>
      <c r="S40" s="96">
        <f t="shared" si="6"/>
        <v>0</v>
      </c>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row>
    <row r="41" spans="1:79" s="46" customFormat="1" ht="17.100000000000001" customHeight="1">
      <c r="A41" s="52" t="s">
        <v>66</v>
      </c>
      <c r="B41" s="97"/>
      <c r="C41" s="97"/>
      <c r="D41" s="98">
        <f>B41*4+C41</f>
        <v>0</v>
      </c>
      <c r="E41" s="53"/>
      <c r="F41" s="54"/>
      <c r="G41" s="98">
        <f>E41*4+F41</f>
        <v>0</v>
      </c>
      <c r="H41" s="53"/>
      <c r="I41" s="54"/>
      <c r="J41" s="98">
        <f>H41*4+I41</f>
        <v>0</v>
      </c>
      <c r="K41" s="53"/>
      <c r="L41" s="54"/>
      <c r="M41" s="98">
        <f>K41*4+L41</f>
        <v>0</v>
      </c>
      <c r="N41" s="97"/>
      <c r="O41" s="97"/>
      <c r="P41" s="98">
        <f>N41*4+O41</f>
        <v>0</v>
      </c>
      <c r="Q41" s="99">
        <f t="shared" si="5"/>
        <v>0</v>
      </c>
      <c r="R41" s="96"/>
      <c r="S41" s="96">
        <f t="shared" si="6"/>
        <v>0</v>
      </c>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row>
    <row r="42" spans="1:79" s="46" customFormat="1" ht="17.100000000000001" customHeight="1">
      <c r="A42" s="52" t="s">
        <v>68</v>
      </c>
      <c r="B42" s="97"/>
      <c r="C42" s="97"/>
      <c r="D42" s="98">
        <f>B42*3+C42</f>
        <v>0</v>
      </c>
      <c r="E42" s="53"/>
      <c r="F42" s="54"/>
      <c r="G42" s="98">
        <f>E42*3+F42</f>
        <v>0</v>
      </c>
      <c r="H42" s="53"/>
      <c r="I42" s="54"/>
      <c r="J42" s="98">
        <f>H42*3+I42</f>
        <v>0</v>
      </c>
      <c r="K42" s="53"/>
      <c r="L42" s="54"/>
      <c r="M42" s="98">
        <f>K42*3+L42</f>
        <v>0</v>
      </c>
      <c r="N42" s="97">
        <v>5</v>
      </c>
      <c r="O42" s="97"/>
      <c r="P42" s="98">
        <f>N42*3+O42</f>
        <v>15</v>
      </c>
      <c r="Q42" s="99">
        <f t="shared" si="5"/>
        <v>15</v>
      </c>
      <c r="R42" s="96"/>
      <c r="S42" s="96">
        <f t="shared" si="6"/>
        <v>0</v>
      </c>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spans="1:79" s="46" customFormat="1" ht="17.100000000000001" customHeight="1">
      <c r="A43" s="52" t="s">
        <v>99</v>
      </c>
      <c r="B43" s="97">
        <f>1115+24</f>
        <v>1139</v>
      </c>
      <c r="C43" s="97">
        <v>14</v>
      </c>
      <c r="D43" s="98">
        <f>B43*24+C43</f>
        <v>27350</v>
      </c>
      <c r="E43" s="53">
        <f>58+33</f>
        <v>91</v>
      </c>
      <c r="F43" s="54"/>
      <c r="G43" s="98">
        <f>E43*24+F43</f>
        <v>2184</v>
      </c>
      <c r="H43" s="53"/>
      <c r="I43" s="54"/>
      <c r="J43" s="98">
        <f>H43*24+I43</f>
        <v>0</v>
      </c>
      <c r="K43" s="53"/>
      <c r="L43" s="54">
        <v>480</v>
      </c>
      <c r="M43" s="98">
        <f>K43*24+L43</f>
        <v>480</v>
      </c>
      <c r="N43" s="97">
        <v>4</v>
      </c>
      <c r="O43" s="97">
        <v>26</v>
      </c>
      <c r="P43" s="98">
        <f>N43*24+O43</f>
        <v>122</v>
      </c>
      <c r="Q43" s="99">
        <f t="shared" si="5"/>
        <v>30136</v>
      </c>
      <c r="R43" s="96"/>
      <c r="S43" s="96">
        <f t="shared" si="6"/>
        <v>0</v>
      </c>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row>
    <row r="44" spans="1:79" ht="17.100000000000001" customHeight="1">
      <c r="A44" s="52" t="s">
        <v>100</v>
      </c>
      <c r="B44" s="97">
        <v>196</v>
      </c>
      <c r="C44" s="97">
        <v>19</v>
      </c>
      <c r="D44" s="98">
        <f t="shared" ref="D44:D46" si="22">B44*24+C44</f>
        <v>4723</v>
      </c>
      <c r="E44" s="53">
        <f>11+8</f>
        <v>19</v>
      </c>
      <c r="F44" s="54"/>
      <c r="G44" s="98">
        <f t="shared" ref="G44:G46" si="23">E44*24+F44</f>
        <v>456</v>
      </c>
      <c r="H44" s="53"/>
      <c r="I44" s="54"/>
      <c r="J44" s="98">
        <f t="shared" ref="J44:J46" si="24">H44*24+I44</f>
        <v>0</v>
      </c>
      <c r="K44" s="53"/>
      <c r="L44" s="54">
        <v>156</v>
      </c>
      <c r="M44" s="98">
        <f t="shared" ref="M44:M46" si="25">K44*24+L44</f>
        <v>156</v>
      </c>
      <c r="N44" s="97">
        <v>1</v>
      </c>
      <c r="O44" s="97">
        <v>3</v>
      </c>
      <c r="P44" s="98">
        <f t="shared" ref="P44:P46" si="26">N44*24+O44</f>
        <v>27</v>
      </c>
      <c r="Q44" s="99">
        <f t="shared" si="5"/>
        <v>5362</v>
      </c>
      <c r="S44" s="96">
        <f t="shared" si="6"/>
        <v>0</v>
      </c>
    </row>
    <row r="45" spans="1:79" ht="17.100000000000001" customHeight="1">
      <c r="A45" s="52" t="s">
        <v>101</v>
      </c>
      <c r="B45" s="97">
        <v>178</v>
      </c>
      <c r="C45" s="97">
        <v>17</v>
      </c>
      <c r="D45" s="98">
        <f t="shared" si="22"/>
        <v>4289</v>
      </c>
      <c r="E45" s="53">
        <f>11+4</f>
        <v>15</v>
      </c>
      <c r="F45" s="54">
        <v>12</v>
      </c>
      <c r="G45" s="98">
        <f t="shared" si="23"/>
        <v>372</v>
      </c>
      <c r="H45" s="53"/>
      <c r="I45" s="54"/>
      <c r="J45" s="98">
        <f t="shared" si="24"/>
        <v>0</v>
      </c>
      <c r="K45" s="53"/>
      <c r="L45" s="54">
        <v>99</v>
      </c>
      <c r="M45" s="98">
        <f t="shared" si="25"/>
        <v>99</v>
      </c>
      <c r="N45" s="97"/>
      <c r="O45" s="97">
        <v>10</v>
      </c>
      <c r="P45" s="98">
        <f t="shared" si="26"/>
        <v>10</v>
      </c>
      <c r="Q45" s="99">
        <f t="shared" si="5"/>
        <v>4770</v>
      </c>
      <c r="S45" s="96">
        <f t="shared" si="6"/>
        <v>0</v>
      </c>
    </row>
    <row r="46" spans="1:79" ht="17.100000000000001" customHeight="1">
      <c r="A46" s="52" t="s">
        <v>102</v>
      </c>
      <c r="B46" s="97"/>
      <c r="C46" s="97"/>
      <c r="D46" s="98">
        <f t="shared" si="22"/>
        <v>0</v>
      </c>
      <c r="E46" s="53"/>
      <c r="F46" s="54"/>
      <c r="G46" s="98">
        <f t="shared" si="23"/>
        <v>0</v>
      </c>
      <c r="H46" s="53"/>
      <c r="I46" s="54"/>
      <c r="J46" s="98">
        <f t="shared" si="24"/>
        <v>0</v>
      </c>
      <c r="K46" s="53"/>
      <c r="L46" s="54"/>
      <c r="M46" s="98">
        <f t="shared" si="25"/>
        <v>0</v>
      </c>
      <c r="N46" s="97">
        <f>56+27</f>
        <v>83</v>
      </c>
      <c r="O46" s="97">
        <v>8</v>
      </c>
      <c r="P46" s="98">
        <f t="shared" si="26"/>
        <v>2000</v>
      </c>
      <c r="Q46" s="99">
        <f t="shared" si="5"/>
        <v>2000</v>
      </c>
      <c r="S46" s="96">
        <f t="shared" si="6"/>
        <v>0</v>
      </c>
    </row>
    <row r="47" spans="1:79" ht="17.100000000000001" customHeight="1">
      <c r="A47" s="52" t="s">
        <v>103</v>
      </c>
      <c r="B47" s="97"/>
      <c r="C47" s="97"/>
      <c r="D47" s="98">
        <f>B47*12+C47</f>
        <v>0</v>
      </c>
      <c r="E47" s="54"/>
      <c r="F47" s="54"/>
      <c r="G47" s="98">
        <f>E47*12+F47</f>
        <v>0</v>
      </c>
      <c r="H47" s="53"/>
      <c r="I47" s="54"/>
      <c r="J47" s="98">
        <f>H47*12+I47</f>
        <v>0</v>
      </c>
      <c r="K47" s="54"/>
      <c r="L47" s="54">
        <v>25</v>
      </c>
      <c r="M47" s="98">
        <f>K47*12+L47</f>
        <v>25</v>
      </c>
      <c r="N47" s="97">
        <f>2+22+352+21+324</f>
        <v>721</v>
      </c>
      <c r="O47" s="97">
        <v>1</v>
      </c>
      <c r="P47" s="98">
        <f>N47*12+O47</f>
        <v>8653</v>
      </c>
      <c r="Q47" s="99">
        <f t="shared" si="5"/>
        <v>8678</v>
      </c>
      <c r="S47" s="96">
        <f t="shared" si="6"/>
        <v>0</v>
      </c>
    </row>
    <row r="48" spans="1:79" ht="17.100000000000001" customHeight="1">
      <c r="A48" s="52" t="s">
        <v>104</v>
      </c>
      <c r="B48" s="97"/>
      <c r="C48" s="97"/>
      <c r="D48" s="98">
        <f t="shared" ref="D48:D50" si="27">B48*12+C48</f>
        <v>0</v>
      </c>
      <c r="E48" s="54"/>
      <c r="F48" s="54"/>
      <c r="G48" s="98">
        <f t="shared" ref="G48:G50" si="28">E48*12+F48</f>
        <v>0</v>
      </c>
      <c r="H48" s="53"/>
      <c r="I48" s="54"/>
      <c r="J48" s="98">
        <f t="shared" ref="J48:J50" si="29">H48*12+I48</f>
        <v>0</v>
      </c>
      <c r="K48" s="54"/>
      <c r="L48" s="54"/>
      <c r="M48" s="98">
        <f t="shared" ref="M48:M50" si="30">K48*12+L48</f>
        <v>0</v>
      </c>
      <c r="N48" s="97">
        <v>173</v>
      </c>
      <c r="O48" s="97">
        <v>1</v>
      </c>
      <c r="P48" s="98">
        <f t="shared" ref="P48:P50" si="31">N48*12+O48</f>
        <v>2077</v>
      </c>
      <c r="Q48" s="99">
        <f t="shared" si="5"/>
        <v>2077</v>
      </c>
      <c r="S48" s="96">
        <f t="shared" si="6"/>
        <v>0</v>
      </c>
    </row>
    <row r="49" spans="1:19" ht="17.100000000000001" customHeight="1">
      <c r="A49" s="52" t="s">
        <v>105</v>
      </c>
      <c r="B49" s="100"/>
      <c r="C49" s="100"/>
      <c r="D49" s="98">
        <f t="shared" si="27"/>
        <v>0</v>
      </c>
      <c r="E49" s="54"/>
      <c r="F49" s="54"/>
      <c r="G49" s="98">
        <f t="shared" si="28"/>
        <v>0</v>
      </c>
      <c r="H49" s="53"/>
      <c r="I49" s="54"/>
      <c r="J49" s="98">
        <f t="shared" si="29"/>
        <v>0</v>
      </c>
      <c r="K49" s="54"/>
      <c r="L49" s="54"/>
      <c r="M49" s="98">
        <f t="shared" si="30"/>
        <v>0</v>
      </c>
      <c r="N49" s="97">
        <v>224</v>
      </c>
      <c r="O49" s="97">
        <v>7</v>
      </c>
      <c r="P49" s="98">
        <f t="shared" si="31"/>
        <v>2695</v>
      </c>
      <c r="Q49" s="99">
        <f t="shared" si="5"/>
        <v>2695</v>
      </c>
      <c r="S49" s="96">
        <f t="shared" si="6"/>
        <v>0</v>
      </c>
    </row>
    <row r="50" spans="1:19" ht="17.100000000000001" customHeight="1">
      <c r="A50" s="52" t="s">
        <v>106</v>
      </c>
      <c r="B50" s="100"/>
      <c r="C50" s="100"/>
      <c r="D50" s="98">
        <f t="shared" si="27"/>
        <v>0</v>
      </c>
      <c r="E50" s="54"/>
      <c r="F50" s="54"/>
      <c r="G50" s="98">
        <f t="shared" si="28"/>
        <v>0</v>
      </c>
      <c r="H50" s="53"/>
      <c r="I50" s="54"/>
      <c r="J50" s="98">
        <f t="shared" si="29"/>
        <v>0</v>
      </c>
      <c r="K50" s="54"/>
      <c r="L50" s="54"/>
      <c r="M50" s="98">
        <f t="shared" si="30"/>
        <v>0</v>
      </c>
      <c r="N50" s="97">
        <v>40</v>
      </c>
      <c r="O50" s="97"/>
      <c r="P50" s="98">
        <f t="shared" si="31"/>
        <v>480</v>
      </c>
      <c r="Q50" s="99">
        <f t="shared" si="5"/>
        <v>480</v>
      </c>
      <c r="S50" s="96">
        <f t="shared" si="6"/>
        <v>0</v>
      </c>
    </row>
    <row r="51" spans="1:19" ht="17.100000000000001" customHeight="1">
      <c r="A51" s="52" t="s">
        <v>107</v>
      </c>
      <c r="B51" s="100">
        <v>19</v>
      </c>
      <c r="C51" s="100">
        <v>6</v>
      </c>
      <c r="D51" s="101">
        <f>B51*24+C51</f>
        <v>462</v>
      </c>
      <c r="E51" s="54"/>
      <c r="F51" s="54"/>
      <c r="G51" s="101">
        <f>E51*24+F51</f>
        <v>0</v>
      </c>
      <c r="H51" s="53"/>
      <c r="I51" s="54"/>
      <c r="J51" s="101">
        <f>H51*24+I51</f>
        <v>0</v>
      </c>
      <c r="K51" s="54"/>
      <c r="L51" s="54">
        <v>24</v>
      </c>
      <c r="M51" s="101">
        <f>K51*24+L51</f>
        <v>24</v>
      </c>
      <c r="N51" s="97">
        <f>1+2</f>
        <v>3</v>
      </c>
      <c r="O51" s="97"/>
      <c r="P51" s="101">
        <f>N51*24+O51</f>
        <v>72</v>
      </c>
      <c r="Q51" s="99">
        <f t="shared" si="5"/>
        <v>558</v>
      </c>
      <c r="S51" s="96">
        <f t="shared" si="6"/>
        <v>0</v>
      </c>
    </row>
    <row r="52" spans="1:19" ht="17.100000000000001" customHeight="1">
      <c r="A52" s="52" t="s">
        <v>108</v>
      </c>
      <c r="B52" s="100">
        <v>4</v>
      </c>
      <c r="C52" s="100"/>
      <c r="D52" s="98">
        <f>B52*24+C52</f>
        <v>96</v>
      </c>
      <c r="E52" s="54"/>
      <c r="F52" s="54"/>
      <c r="G52" s="98">
        <f>E52*24+F52</f>
        <v>0</v>
      </c>
      <c r="H52" s="53"/>
      <c r="I52" s="54"/>
      <c r="J52" s="98">
        <f>H52*24+I52</f>
        <v>0</v>
      </c>
      <c r="K52" s="54"/>
      <c r="L52" s="54">
        <v>48</v>
      </c>
      <c r="M52" s="98">
        <f>K52*24+L52</f>
        <v>48</v>
      </c>
      <c r="N52" s="97">
        <v>55</v>
      </c>
      <c r="O52" s="97">
        <v>12</v>
      </c>
      <c r="P52" s="98">
        <f>N52*24+O52</f>
        <v>1332</v>
      </c>
      <c r="Q52" s="99">
        <f t="shared" si="5"/>
        <v>1476</v>
      </c>
      <c r="S52" s="96">
        <f t="shared" si="6"/>
        <v>0</v>
      </c>
    </row>
    <row r="53" spans="1:19" ht="17.100000000000001" customHeight="1">
      <c r="A53" s="52" t="s">
        <v>109</v>
      </c>
      <c r="B53" s="100"/>
      <c r="C53" s="100"/>
      <c r="D53" s="98">
        <f>B53*12+C53</f>
        <v>0</v>
      </c>
      <c r="E53" s="54"/>
      <c r="F53" s="54"/>
      <c r="G53" s="98">
        <f>E53*12+F53</f>
        <v>0</v>
      </c>
      <c r="H53" s="53"/>
      <c r="I53" s="54"/>
      <c r="J53" s="98">
        <f>H53*12+I53</f>
        <v>0</v>
      </c>
      <c r="K53" s="54"/>
      <c r="L53" s="54"/>
      <c r="M53" s="98">
        <f>K53*12+L53</f>
        <v>0</v>
      </c>
      <c r="N53" s="97"/>
      <c r="O53" s="97"/>
      <c r="P53" s="98">
        <f>N53*12+O53</f>
        <v>0</v>
      </c>
      <c r="Q53" s="99">
        <f t="shared" si="5"/>
        <v>0</v>
      </c>
      <c r="S53" s="96">
        <f t="shared" si="6"/>
        <v>0</v>
      </c>
    </row>
    <row r="54" spans="1:19" ht="17.100000000000001" customHeight="1">
      <c r="A54" s="52" t="s">
        <v>110</v>
      </c>
      <c r="B54" s="100"/>
      <c r="C54" s="100"/>
      <c r="D54" s="98">
        <f>B54*12+C54</f>
        <v>0</v>
      </c>
      <c r="E54" s="54"/>
      <c r="F54" s="54"/>
      <c r="G54" s="98">
        <f>E54*12+F54</f>
        <v>0</v>
      </c>
      <c r="H54" s="53"/>
      <c r="I54" s="54"/>
      <c r="J54" s="98">
        <f>H54*12+I54</f>
        <v>0</v>
      </c>
      <c r="K54" s="54"/>
      <c r="L54" s="54"/>
      <c r="M54" s="98">
        <f>K54*12+L54</f>
        <v>0</v>
      </c>
      <c r="N54" s="97"/>
      <c r="O54" s="97"/>
      <c r="P54" s="98">
        <f>N54*12+O54</f>
        <v>0</v>
      </c>
      <c r="Q54" s="99">
        <f t="shared" si="5"/>
        <v>0</v>
      </c>
      <c r="S54" s="96">
        <f t="shared" si="6"/>
        <v>0</v>
      </c>
    </row>
    <row r="55" spans="1:19">
      <c r="B55" s="102"/>
      <c r="C55" s="102"/>
      <c r="D55" s="102"/>
      <c r="E55" s="103"/>
      <c r="F55" s="103"/>
      <c r="G55" s="103"/>
      <c r="H55" s="103"/>
      <c r="I55" s="103"/>
      <c r="J55" s="103"/>
      <c r="K55" s="103"/>
      <c r="L55" s="103"/>
      <c r="M55" s="103"/>
      <c r="N55" s="103"/>
      <c r="O55" s="104"/>
      <c r="P55" s="104"/>
      <c r="Q55" s="105">
        <f>SUM(Q7:Q54)</f>
        <v>102464.92</v>
      </c>
      <c r="R55" s="106"/>
      <c r="S55" s="105">
        <f>SUM(S7:S54)</f>
        <v>0</v>
      </c>
    </row>
    <row r="56" spans="1:19" ht="15" customHeight="1">
      <c r="A56" s="56"/>
      <c r="B56" s="56"/>
      <c r="C56" s="56"/>
      <c r="D56" s="102"/>
      <c r="E56" s="56"/>
      <c r="F56" s="56"/>
      <c r="G56" s="56"/>
      <c r="H56" s="56"/>
      <c r="I56" s="56"/>
      <c r="J56" s="56"/>
      <c r="K56" s="57"/>
      <c r="L56" s="57"/>
      <c r="M56" s="57"/>
      <c r="N56" s="57"/>
      <c r="O56" s="57"/>
      <c r="P56" s="57"/>
      <c r="Q56" s="106"/>
    </row>
    <row r="57" spans="1:19">
      <c r="A57" s="56"/>
      <c r="B57" s="56"/>
      <c r="C57" s="56"/>
      <c r="D57" s="102"/>
      <c r="E57" s="56"/>
      <c r="F57" s="56"/>
      <c r="G57" s="56"/>
      <c r="H57" s="56"/>
      <c r="I57" s="56"/>
      <c r="J57" s="56"/>
      <c r="K57" s="57"/>
      <c r="L57" s="57"/>
      <c r="M57" s="57"/>
      <c r="N57" s="57"/>
      <c r="O57" s="57"/>
      <c r="P57" s="57"/>
      <c r="Q57" s="106"/>
    </row>
    <row r="58" spans="1:19">
      <c r="A58" s="57"/>
      <c r="B58" s="57"/>
      <c r="C58" s="57"/>
      <c r="D58" s="102"/>
      <c r="E58" s="57"/>
      <c r="F58" s="57"/>
      <c r="G58" s="57"/>
      <c r="H58" s="57"/>
      <c r="I58" s="57"/>
      <c r="J58" s="57"/>
      <c r="K58" s="57"/>
      <c r="L58" s="57"/>
      <c r="M58" s="57"/>
      <c r="N58" s="57"/>
      <c r="O58" s="57"/>
      <c r="P58" s="57"/>
      <c r="Q58" s="106"/>
    </row>
    <row r="59" spans="1:19">
      <c r="B59" s="10"/>
      <c r="C59" s="10"/>
      <c r="D59" s="10"/>
      <c r="E59" s="10"/>
      <c r="F59" s="10"/>
      <c r="G59" s="10"/>
      <c r="H59" s="10"/>
      <c r="I59" s="10"/>
      <c r="J59" s="10"/>
      <c r="K59" s="10"/>
      <c r="L59" s="10"/>
      <c r="M59" s="10"/>
      <c r="N59" s="10"/>
      <c r="O59" s="10"/>
      <c r="P59" s="10"/>
      <c r="Q59" s="10"/>
    </row>
    <row r="60" spans="1:19">
      <c r="A60" s="58"/>
      <c r="B60" s="127"/>
      <c r="C60" s="127"/>
      <c r="D60" s="7"/>
      <c r="E60" s="7"/>
      <c r="F60" s="7"/>
      <c r="G60" s="127"/>
      <c r="H60" s="127"/>
      <c r="I60" s="127"/>
      <c r="J60" s="7"/>
      <c r="K60" s="7"/>
      <c r="L60" s="7"/>
      <c r="M60" s="7"/>
      <c r="N60" s="7"/>
      <c r="O60" s="7"/>
      <c r="P60" s="7"/>
    </row>
    <row r="61" spans="1:19">
      <c r="D61" s="7"/>
      <c r="E61" s="7"/>
      <c r="F61" s="7"/>
      <c r="G61" s="7"/>
      <c r="H61" s="7"/>
      <c r="I61" s="7"/>
      <c r="J61" s="7"/>
      <c r="K61" s="7"/>
      <c r="L61" s="7"/>
      <c r="M61" s="7"/>
      <c r="N61" s="7"/>
      <c r="O61" s="7"/>
      <c r="P61" s="7"/>
    </row>
    <row r="62" spans="1:19">
      <c r="A62" s="58"/>
      <c r="B62" s="127"/>
      <c r="C62" s="127"/>
      <c r="D62" s="127"/>
      <c r="E62" s="7"/>
      <c r="F62" s="7"/>
      <c r="G62" s="127"/>
      <c r="H62" s="127"/>
      <c r="I62" s="127"/>
      <c r="J62" s="127"/>
      <c r="K62" s="7"/>
      <c r="L62" s="7"/>
      <c r="M62" s="7"/>
      <c r="N62" s="7"/>
      <c r="O62" s="7"/>
      <c r="P62" s="7"/>
    </row>
    <row r="63" spans="1:19">
      <c r="D63" s="7"/>
      <c r="E63" s="7"/>
      <c r="F63" s="7"/>
      <c r="G63" s="127"/>
      <c r="H63" s="127"/>
      <c r="I63" s="127"/>
      <c r="J63" s="7"/>
      <c r="K63" s="7"/>
      <c r="L63" s="7"/>
      <c r="M63" s="7"/>
      <c r="N63" s="7"/>
      <c r="O63" s="7"/>
      <c r="P63" s="7"/>
    </row>
    <row r="64" spans="1:19">
      <c r="D64" s="7"/>
      <c r="E64" s="7"/>
      <c r="F64" s="7"/>
      <c r="G64" s="7"/>
      <c r="H64" s="7"/>
      <c r="I64" s="7"/>
      <c r="J64" s="7"/>
      <c r="K64" s="7"/>
      <c r="L64" s="7"/>
      <c r="M64" s="7"/>
      <c r="N64" s="7"/>
      <c r="O64" s="7"/>
      <c r="P64" s="7"/>
    </row>
    <row r="65" spans="1:19">
      <c r="D65" s="7"/>
      <c r="E65" s="7"/>
      <c r="F65" s="7"/>
      <c r="G65" s="7"/>
      <c r="H65" s="7"/>
      <c r="I65" s="7"/>
      <c r="J65" s="7"/>
      <c r="K65" s="7"/>
      <c r="L65" s="7"/>
      <c r="M65" s="7"/>
      <c r="N65" s="7"/>
      <c r="O65" s="7"/>
      <c r="P65" s="7"/>
    </row>
    <row r="66" spans="1:19" s="7" customFormat="1">
      <c r="A66"/>
      <c r="R66" s="96"/>
      <c r="S66" s="96"/>
    </row>
    <row r="67" spans="1:19" s="7" customFormat="1">
      <c r="A67"/>
      <c r="B67" s="102"/>
      <c r="C67" s="102"/>
      <c r="D67" s="102"/>
      <c r="R67" s="96"/>
      <c r="S67" s="96"/>
    </row>
    <row r="68" spans="1:19" s="7" customFormat="1">
      <c r="A68" s="56"/>
      <c r="B68" s="56"/>
      <c r="C68" s="56"/>
      <c r="D68" s="102"/>
      <c r="R68" s="96"/>
      <c r="S68" s="96"/>
    </row>
    <row r="69" spans="1:19" s="7" customFormat="1">
      <c r="A69" s="56"/>
      <c r="B69" s="56"/>
      <c r="C69" s="56"/>
      <c r="D69" s="102"/>
      <c r="R69" s="96"/>
      <c r="S69" s="96"/>
    </row>
    <row r="70" spans="1:19" s="7" customFormat="1">
      <c r="A70" s="57"/>
      <c r="B70" s="57"/>
      <c r="C70" s="57"/>
      <c r="D70" s="102"/>
      <c r="R70" s="96"/>
      <c r="S70" s="96"/>
    </row>
    <row r="71" spans="1:19" s="7" customFormat="1">
      <c r="A71"/>
      <c r="R71" s="96"/>
      <c r="S71" s="96"/>
    </row>
    <row r="72" spans="1:19" s="7" customFormat="1">
      <c r="A72"/>
      <c r="R72" s="96"/>
      <c r="S72" s="96"/>
    </row>
    <row r="73" spans="1:19" s="7" customFormat="1">
      <c r="A73"/>
      <c r="R73" s="96"/>
      <c r="S73" s="96"/>
    </row>
    <row r="74" spans="1:19" s="7" customFormat="1">
      <c r="A74"/>
      <c r="R74" s="96"/>
      <c r="S74" s="96"/>
    </row>
    <row r="75" spans="1:19" s="7" customFormat="1">
      <c r="A75"/>
      <c r="R75" s="96"/>
      <c r="S75" s="96"/>
    </row>
    <row r="76" spans="1:19" s="7" customFormat="1">
      <c r="A76"/>
      <c r="R76" s="96"/>
      <c r="S76" s="96"/>
    </row>
    <row r="77" spans="1:19" s="7" customFormat="1">
      <c r="A77"/>
      <c r="R77" s="96"/>
      <c r="S77" s="96"/>
    </row>
    <row r="78" spans="1:19" s="7" customFormat="1">
      <c r="A78"/>
      <c r="R78" s="96"/>
      <c r="S78" s="96"/>
    </row>
    <row r="79" spans="1:19" s="7" customFormat="1">
      <c r="A79"/>
      <c r="R79" s="96"/>
      <c r="S79" s="96"/>
    </row>
    <row r="80" spans="1:19" s="7" customFormat="1">
      <c r="A80"/>
      <c r="R80" s="96"/>
      <c r="S80" s="96"/>
    </row>
    <row r="81" spans="1:19" s="7" customFormat="1">
      <c r="A81"/>
      <c r="R81" s="96"/>
      <c r="S81" s="96"/>
    </row>
    <row r="82" spans="1:19" s="7" customFormat="1">
      <c r="R82" s="96"/>
      <c r="S82" s="96"/>
    </row>
    <row r="83" spans="1:19" s="7" customFormat="1">
      <c r="R83" s="96"/>
      <c r="S83" s="96"/>
    </row>
    <row r="84" spans="1:19" s="7" customFormat="1">
      <c r="R84" s="96"/>
      <c r="S84" s="96"/>
    </row>
    <row r="85" spans="1:19" s="7" customFormat="1">
      <c r="R85" s="96"/>
      <c r="S85" s="96"/>
    </row>
    <row r="86" spans="1:19" s="7" customFormat="1">
      <c r="R86" s="96"/>
      <c r="S86" s="96"/>
    </row>
    <row r="87" spans="1:19" s="7" customFormat="1">
      <c r="R87" s="96"/>
      <c r="S87" s="96"/>
    </row>
  </sheetData>
  <mergeCells count="15">
    <mergeCell ref="A4:A6"/>
    <mergeCell ref="B4:D5"/>
    <mergeCell ref="E4:J4"/>
    <mergeCell ref="K4:M5"/>
    <mergeCell ref="N4:P5"/>
    <mergeCell ref="B62:D62"/>
    <mergeCell ref="G62:J62"/>
    <mergeCell ref="G63:I63"/>
    <mergeCell ref="R4:R6"/>
    <mergeCell ref="S4:S6"/>
    <mergeCell ref="E5:G5"/>
    <mergeCell ref="H5:J5"/>
    <mergeCell ref="B60:C60"/>
    <mergeCell ref="G60:I60"/>
    <mergeCell ref="Q4:Q6"/>
  </mergeCells>
  <pageMargins left="0.7" right="0.7" top="0.75" bottom="0.75" header="0.3" footer="0.3"/>
  <pageSetup scale="62" fitToHeight="0"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U59"/>
  <sheetViews>
    <sheetView topLeftCell="A34" zoomScale="85" zoomScaleNormal="85" workbookViewId="0">
      <selection activeCell="B52" sqref="B52"/>
    </sheetView>
  </sheetViews>
  <sheetFormatPr defaultColWidth="9" defaultRowHeight="15"/>
  <cols>
    <col min="1" max="1" width="17.28515625" customWidth="1"/>
    <col min="2" max="2" width="41.85546875" bestFit="1" customWidth="1"/>
    <col min="4" max="4" width="11.7109375" customWidth="1"/>
    <col min="5" max="5" width="12.7109375" customWidth="1"/>
    <col min="6" max="6" width="17.85546875" bestFit="1" customWidth="1"/>
    <col min="7" max="7" width="16.42578125" hidden="1" customWidth="1"/>
    <col min="8" max="8" width="38.28515625" hidden="1" customWidth="1"/>
    <col min="9" max="9" width="8.85546875" hidden="1" customWidth="1"/>
    <col min="10" max="10" width="12.140625" hidden="1" customWidth="1"/>
    <col min="11" max="11" width="14" hidden="1" customWidth="1"/>
    <col min="12" max="12" width="8.85546875" hidden="1" customWidth="1"/>
    <col min="13" max="14" width="11.28515625" style="9" hidden="1" customWidth="1"/>
    <col min="16" max="16" width="10.5703125" bestFit="1" customWidth="1"/>
    <col min="17" max="17" width="17.42578125" customWidth="1"/>
    <col min="18" max="18" width="37" customWidth="1"/>
    <col min="19" max="19" width="12.28515625" bestFit="1" customWidth="1"/>
    <col min="20" max="20" width="23.5703125" bestFit="1" customWidth="1"/>
    <col min="21" max="21" width="19" bestFit="1" customWidth="1"/>
  </cols>
  <sheetData>
    <row r="1" spans="1:18">
      <c r="A1" s="144" t="s">
        <v>113</v>
      </c>
      <c r="B1" s="144"/>
      <c r="G1" s="144" t="s">
        <v>113</v>
      </c>
      <c r="H1" s="144"/>
    </row>
    <row r="3" spans="1:18">
      <c r="A3" s="11" t="s">
        <v>26</v>
      </c>
      <c r="G3" s="11" t="s">
        <v>26</v>
      </c>
    </row>
    <row r="4" spans="1:18" s="17" customFormat="1" ht="23.25" customHeight="1">
      <c r="A4" s="153" t="s">
        <v>3</v>
      </c>
      <c r="B4" s="145" t="s">
        <v>4</v>
      </c>
      <c r="C4" s="151" t="s">
        <v>5</v>
      </c>
      <c r="D4" s="145" t="s">
        <v>7</v>
      </c>
      <c r="E4" s="145" t="s">
        <v>8</v>
      </c>
      <c r="G4" s="148" t="s">
        <v>3</v>
      </c>
      <c r="H4" s="149" t="s">
        <v>4</v>
      </c>
      <c r="I4" s="147" t="s">
        <v>5</v>
      </c>
      <c r="J4" s="147"/>
      <c r="K4" s="150" t="s">
        <v>7</v>
      </c>
      <c r="L4" s="150"/>
      <c r="M4" s="143" t="s">
        <v>8</v>
      </c>
      <c r="N4" s="143"/>
    </row>
    <row r="5" spans="1:18" ht="13.5" customHeight="1">
      <c r="A5" s="154"/>
      <c r="B5" s="146"/>
      <c r="C5" s="152"/>
      <c r="D5" s="146"/>
      <c r="E5" s="146"/>
      <c r="G5" s="148"/>
      <c r="H5" s="149"/>
      <c r="I5" s="73" t="s">
        <v>114</v>
      </c>
      <c r="J5" s="73" t="s">
        <v>115</v>
      </c>
      <c r="K5" s="72" t="s">
        <v>114</v>
      </c>
      <c r="L5" s="72" t="s">
        <v>115</v>
      </c>
      <c r="M5" s="75" t="s">
        <v>114</v>
      </c>
      <c r="N5" s="75" t="s">
        <v>115</v>
      </c>
    </row>
    <row r="6" spans="1:18" ht="18" customHeight="1">
      <c r="A6" s="74">
        <v>8881234567837</v>
      </c>
      <c r="B6" s="19" t="s">
        <v>207</v>
      </c>
      <c r="C6" s="20">
        <v>8.0399999999999991</v>
      </c>
      <c r="D6" s="45">
        <v>-5</v>
      </c>
      <c r="E6" s="37">
        <v>-40.208333333343035</v>
      </c>
      <c r="G6" s="18" t="s">
        <v>34</v>
      </c>
      <c r="H6" s="19" t="s">
        <v>35</v>
      </c>
      <c r="I6" s="69">
        <v>692</v>
      </c>
      <c r="J6" s="20">
        <v>57.67</v>
      </c>
      <c r="K6" s="14">
        <v>-1</v>
      </c>
      <c r="L6" s="14">
        <v>-4</v>
      </c>
      <c r="M6" s="15">
        <f>I6*K6</f>
        <v>-692</v>
      </c>
      <c r="N6" s="15">
        <f>J6*L6</f>
        <v>-230.68</v>
      </c>
    </row>
    <row r="7" spans="1:18" ht="18" customHeight="1">
      <c r="A7" s="74" t="s">
        <v>134</v>
      </c>
      <c r="B7" s="19" t="s">
        <v>167</v>
      </c>
      <c r="C7" s="20">
        <v>31.25</v>
      </c>
      <c r="D7" s="45">
        <v>-6</v>
      </c>
      <c r="E7" s="37">
        <v>-187.5</v>
      </c>
      <c r="G7" s="18"/>
      <c r="H7" s="19"/>
      <c r="I7" s="69"/>
      <c r="J7" s="20"/>
      <c r="K7" s="14"/>
      <c r="L7" s="14"/>
      <c r="M7" s="15"/>
      <c r="N7" s="15"/>
    </row>
    <row r="8" spans="1:18" ht="18" customHeight="1">
      <c r="A8" s="74" t="s">
        <v>136</v>
      </c>
      <c r="B8" s="19" t="s">
        <v>169</v>
      </c>
      <c r="C8" s="20">
        <v>15.92</v>
      </c>
      <c r="D8" s="45">
        <v>-7</v>
      </c>
      <c r="E8" s="37">
        <v>-111.41666666665697</v>
      </c>
      <c r="G8" s="18"/>
      <c r="H8" s="19"/>
      <c r="I8" s="69"/>
      <c r="J8" s="20"/>
      <c r="K8" s="14"/>
      <c r="L8" s="14"/>
      <c r="M8" s="15"/>
      <c r="N8" s="15"/>
    </row>
    <row r="9" spans="1:18" ht="18" customHeight="1">
      <c r="A9" s="74" t="s">
        <v>137</v>
      </c>
      <c r="B9" s="19" t="s">
        <v>170</v>
      </c>
      <c r="C9" s="20">
        <v>11.58</v>
      </c>
      <c r="D9" s="45">
        <v>-48</v>
      </c>
      <c r="E9" s="37">
        <v>-555.99999983998714</v>
      </c>
      <c r="G9" s="18"/>
      <c r="H9" s="19"/>
      <c r="I9" s="69"/>
      <c r="J9" s="20"/>
      <c r="K9" s="14"/>
      <c r="L9" s="14"/>
      <c r="M9" s="15"/>
      <c r="N9" s="15"/>
    </row>
    <row r="10" spans="1:18" ht="18" customHeight="1">
      <c r="A10" s="74" t="s">
        <v>53</v>
      </c>
      <c r="B10" s="19" t="s">
        <v>54</v>
      </c>
      <c r="C10" s="20">
        <v>8.0399999999999991</v>
      </c>
      <c r="D10" s="45">
        <v>-12</v>
      </c>
      <c r="E10" s="37">
        <v>-96.5</v>
      </c>
      <c r="G10" s="18"/>
      <c r="H10" s="19"/>
      <c r="I10" s="69"/>
      <c r="J10" s="20"/>
      <c r="K10" s="14"/>
      <c r="L10" s="14"/>
      <c r="M10" s="15"/>
      <c r="N10" s="15"/>
    </row>
    <row r="11" spans="1:18" ht="18" customHeight="1">
      <c r="A11" s="74" t="s">
        <v>145</v>
      </c>
      <c r="B11" s="19" t="s">
        <v>181</v>
      </c>
      <c r="C11" s="20">
        <v>15.92</v>
      </c>
      <c r="D11" s="45">
        <v>-19</v>
      </c>
      <c r="E11" s="37">
        <v>-302.48</v>
      </c>
      <c r="G11" s="18"/>
      <c r="H11" s="19"/>
      <c r="I11" s="69"/>
      <c r="J11" s="20"/>
      <c r="K11" s="14"/>
      <c r="L11" s="14"/>
      <c r="M11" s="15"/>
      <c r="N11" s="15"/>
    </row>
    <row r="12" spans="1:18" ht="18" customHeight="1">
      <c r="A12" s="74" t="s">
        <v>154</v>
      </c>
      <c r="B12" s="19" t="s">
        <v>189</v>
      </c>
      <c r="C12" s="20">
        <v>7.04</v>
      </c>
      <c r="D12" s="45">
        <v>-35</v>
      </c>
      <c r="E12" s="37">
        <v>-246.40000000000146</v>
      </c>
      <c r="G12" s="18"/>
      <c r="H12" s="19"/>
      <c r="I12" s="69"/>
      <c r="J12" s="20"/>
      <c r="K12" s="14"/>
      <c r="L12" s="14"/>
      <c r="M12" s="15"/>
      <c r="N12" s="15"/>
    </row>
    <row r="13" spans="1:18" ht="18" customHeight="1">
      <c r="A13" s="74" t="s">
        <v>153</v>
      </c>
      <c r="B13" s="19" t="s">
        <v>192</v>
      </c>
      <c r="C13" s="20">
        <v>11.58</v>
      </c>
      <c r="D13" s="45">
        <v>-7</v>
      </c>
      <c r="E13" s="37">
        <v>-81.083333310001763</v>
      </c>
      <c r="G13" s="18"/>
      <c r="H13" s="19"/>
      <c r="I13" s="69"/>
      <c r="J13" s="20"/>
      <c r="K13" s="14"/>
      <c r="L13" s="14"/>
      <c r="M13" s="15"/>
      <c r="N13" s="15"/>
    </row>
    <row r="14" spans="1:18" ht="18" customHeight="1">
      <c r="A14" s="74" t="s">
        <v>64</v>
      </c>
      <c r="B14" s="19" t="s">
        <v>65</v>
      </c>
      <c r="C14" s="20">
        <v>8.7100000000000009</v>
      </c>
      <c r="D14" s="45">
        <v>-61</v>
      </c>
      <c r="E14" s="37">
        <v>-531.30999999999767</v>
      </c>
      <c r="G14" s="18"/>
      <c r="H14" s="19"/>
      <c r="I14" s="69"/>
      <c r="J14" s="20"/>
      <c r="K14" s="14"/>
      <c r="L14" s="14"/>
      <c r="M14" s="15"/>
      <c r="N14" s="15"/>
    </row>
    <row r="15" spans="1:18" ht="18" customHeight="1">
      <c r="A15" s="21"/>
      <c r="B15" s="21"/>
      <c r="C15" s="21"/>
      <c r="D15" s="22">
        <f>SUM(D6:D14)</f>
        <v>-200</v>
      </c>
      <c r="E15" s="23">
        <f>SUM(E6:E14)</f>
        <v>-2152.898333149988</v>
      </c>
      <c r="G15" s="21"/>
      <c r="H15" s="21"/>
      <c r="I15" s="21"/>
      <c r="J15" s="21"/>
      <c r="K15" s="70">
        <f>SUM(K6:K14)</f>
        <v>-1</v>
      </c>
      <c r="L15" s="70">
        <f>SUM(L6:L14)</f>
        <v>-4</v>
      </c>
      <c r="M15" s="71">
        <f>SUM(M6:M14)</f>
        <v>-692</v>
      </c>
      <c r="N15" s="71">
        <f>SUM(N6:N14)</f>
        <v>-230.68</v>
      </c>
      <c r="R15" s="95"/>
    </row>
    <row r="16" spans="1:18" ht="18" customHeight="1">
      <c r="D16" s="24"/>
      <c r="E16" s="25"/>
      <c r="N16" s="76">
        <f>M15+N15</f>
        <v>-922.68000000000006</v>
      </c>
    </row>
    <row r="17" spans="1:14" ht="18" customHeight="1">
      <c r="D17" s="24"/>
      <c r="E17" s="25"/>
      <c r="N17" s="78"/>
    </row>
    <row r="18" spans="1:14">
      <c r="G18" s="11" t="s">
        <v>28</v>
      </c>
    </row>
    <row r="19" spans="1:14">
      <c r="A19" s="11" t="s">
        <v>28</v>
      </c>
      <c r="G19" s="156" t="s">
        <v>3</v>
      </c>
      <c r="H19" s="158" t="s">
        <v>4</v>
      </c>
      <c r="I19" s="147" t="s">
        <v>5</v>
      </c>
      <c r="J19" s="147"/>
      <c r="K19" s="150" t="s">
        <v>7</v>
      </c>
      <c r="L19" s="150"/>
      <c r="M19" s="143" t="s">
        <v>8</v>
      </c>
      <c r="N19" s="143"/>
    </row>
    <row r="20" spans="1:14" ht="24">
      <c r="A20" s="44" t="s">
        <v>3</v>
      </c>
      <c r="B20" s="3" t="s">
        <v>4</v>
      </c>
      <c r="C20" s="27" t="s">
        <v>5</v>
      </c>
      <c r="D20" s="3" t="s">
        <v>7</v>
      </c>
      <c r="E20" s="3" t="s">
        <v>8</v>
      </c>
      <c r="F20" s="94"/>
      <c r="G20" s="157"/>
      <c r="H20" s="159"/>
      <c r="I20" s="73" t="s">
        <v>114</v>
      </c>
      <c r="J20" s="73" t="s">
        <v>115</v>
      </c>
      <c r="K20" s="72" t="s">
        <v>114</v>
      </c>
      <c r="L20" s="72" t="s">
        <v>115</v>
      </c>
      <c r="M20" s="75" t="s">
        <v>114</v>
      </c>
      <c r="N20" s="75" t="s">
        <v>115</v>
      </c>
    </row>
    <row r="21" spans="1:14" ht="15" customHeight="1">
      <c r="A21" s="74" t="s">
        <v>202</v>
      </c>
      <c r="B21" s="19" t="s">
        <v>204</v>
      </c>
      <c r="C21" s="20">
        <v>36.5</v>
      </c>
      <c r="D21" s="45">
        <v>12</v>
      </c>
      <c r="E21" s="37">
        <v>438</v>
      </c>
      <c r="G21" s="92" t="s">
        <v>38</v>
      </c>
      <c r="H21" s="19" t="s">
        <v>39</v>
      </c>
      <c r="I21" s="69">
        <v>726</v>
      </c>
      <c r="J21" s="20">
        <v>30.25</v>
      </c>
      <c r="K21" s="14">
        <v>3</v>
      </c>
      <c r="L21" s="14"/>
      <c r="M21" s="15">
        <f>I21*K21</f>
        <v>2178</v>
      </c>
      <c r="N21" s="15">
        <f>J21*L21</f>
        <v>0</v>
      </c>
    </row>
    <row r="22" spans="1:14" ht="15" customHeight="1">
      <c r="A22" s="74" t="s">
        <v>135</v>
      </c>
      <c r="B22" s="19" t="s">
        <v>168</v>
      </c>
      <c r="C22" s="20">
        <v>31.25</v>
      </c>
      <c r="D22" s="45">
        <v>14</v>
      </c>
      <c r="E22" s="37">
        <v>437.5</v>
      </c>
      <c r="G22" s="92" t="s">
        <v>42</v>
      </c>
      <c r="H22" s="19" t="s">
        <v>43</v>
      </c>
      <c r="I22" s="69">
        <v>692</v>
      </c>
      <c r="J22" s="20">
        <v>57.67</v>
      </c>
      <c r="K22" s="14"/>
      <c r="L22" s="14">
        <v>1</v>
      </c>
      <c r="M22" s="15">
        <f t="shared" ref="M22" si="0">I22*K22</f>
        <v>0</v>
      </c>
      <c r="N22" s="15">
        <f t="shared" ref="N22" si="1">J22*L22</f>
        <v>57.67</v>
      </c>
    </row>
    <row r="23" spans="1:14" ht="15" customHeight="1">
      <c r="A23" s="74" t="s">
        <v>40</v>
      </c>
      <c r="B23" s="19" t="s">
        <v>41</v>
      </c>
      <c r="C23" s="20">
        <v>22.33</v>
      </c>
      <c r="D23" s="45">
        <v>26</v>
      </c>
      <c r="E23" s="37">
        <v>580.66666666667152</v>
      </c>
      <c r="G23" s="92"/>
      <c r="H23" s="19"/>
      <c r="I23" s="69"/>
      <c r="J23" s="20"/>
      <c r="K23" s="14"/>
      <c r="L23" s="14"/>
      <c r="M23" s="15"/>
      <c r="N23" s="15"/>
    </row>
    <row r="24" spans="1:14" ht="15" customHeight="1">
      <c r="A24" s="74" t="s">
        <v>163</v>
      </c>
      <c r="B24" s="19" t="s">
        <v>173</v>
      </c>
      <c r="C24" s="20">
        <v>15.92</v>
      </c>
      <c r="D24" s="45">
        <v>14</v>
      </c>
      <c r="E24" s="37">
        <v>222.88000000000011</v>
      </c>
      <c r="G24" s="92"/>
      <c r="H24" s="19"/>
      <c r="I24" s="69"/>
      <c r="J24" s="20"/>
      <c r="K24" s="14"/>
      <c r="L24" s="14"/>
      <c r="M24" s="15"/>
      <c r="N24" s="15"/>
    </row>
    <row r="25" spans="1:14" ht="15" customHeight="1">
      <c r="A25" s="74" t="s">
        <v>51</v>
      </c>
      <c r="B25" s="19" t="s">
        <v>52</v>
      </c>
      <c r="C25" s="20">
        <v>11.2</v>
      </c>
      <c r="D25" s="45">
        <v>6</v>
      </c>
      <c r="E25" s="37">
        <v>67.19999999999709</v>
      </c>
      <c r="G25" s="92"/>
      <c r="H25" s="19"/>
      <c r="I25" s="69"/>
      <c r="J25" s="20"/>
      <c r="K25" s="14"/>
      <c r="L25" s="14"/>
      <c r="M25" s="15"/>
      <c r="N25" s="15"/>
    </row>
    <row r="26" spans="1:14" ht="15" customHeight="1">
      <c r="A26" s="74" t="s">
        <v>132</v>
      </c>
      <c r="B26" s="19" t="s">
        <v>176</v>
      </c>
      <c r="C26" s="20">
        <v>59.17</v>
      </c>
      <c r="D26" s="45">
        <v>4</v>
      </c>
      <c r="E26" s="37">
        <v>236.68000000000029</v>
      </c>
      <c r="G26" s="92"/>
      <c r="H26" s="19"/>
      <c r="I26" s="69"/>
      <c r="J26" s="20"/>
      <c r="K26" s="14"/>
      <c r="L26" s="14"/>
      <c r="M26" s="15"/>
      <c r="N26" s="15"/>
    </row>
    <row r="27" spans="1:14" ht="15" customHeight="1">
      <c r="A27" s="74" t="s">
        <v>203</v>
      </c>
      <c r="B27" s="19" t="s">
        <v>205</v>
      </c>
      <c r="C27" s="20">
        <v>22.33</v>
      </c>
      <c r="D27" s="45">
        <v>18</v>
      </c>
      <c r="E27" s="37">
        <v>402</v>
      </c>
      <c r="G27" s="92"/>
      <c r="H27" s="19"/>
      <c r="I27" s="69"/>
      <c r="J27" s="20"/>
      <c r="K27" s="14"/>
      <c r="L27" s="14"/>
      <c r="M27" s="15"/>
      <c r="N27" s="15"/>
    </row>
    <row r="28" spans="1:14" ht="15" customHeight="1">
      <c r="A28" s="74" t="s">
        <v>133</v>
      </c>
      <c r="B28" s="19" t="s">
        <v>186</v>
      </c>
      <c r="C28" s="20">
        <v>59.17</v>
      </c>
      <c r="D28" s="45">
        <v>13</v>
      </c>
      <c r="E28" s="37">
        <v>769.20999999999913</v>
      </c>
      <c r="G28" s="92"/>
      <c r="H28" s="19"/>
      <c r="I28" s="69"/>
      <c r="J28" s="20"/>
      <c r="K28" s="14"/>
      <c r="L28" s="14"/>
      <c r="M28" s="15"/>
      <c r="N28" s="15"/>
    </row>
    <row r="29" spans="1:14" ht="15" customHeight="1">
      <c r="A29" s="74" t="s">
        <v>150</v>
      </c>
      <c r="B29" s="19" t="s">
        <v>187</v>
      </c>
      <c r="C29" s="20">
        <v>36</v>
      </c>
      <c r="D29" s="45">
        <v>2</v>
      </c>
      <c r="E29" s="37">
        <v>72</v>
      </c>
      <c r="G29" s="92"/>
      <c r="H29" s="19"/>
      <c r="I29" s="69"/>
      <c r="J29" s="20"/>
      <c r="K29" s="14"/>
      <c r="L29" s="14"/>
      <c r="M29" s="15"/>
      <c r="N29" s="15"/>
    </row>
    <row r="30" spans="1:14" ht="15" customHeight="1">
      <c r="A30" s="74" t="s">
        <v>58</v>
      </c>
      <c r="B30" s="19" t="s">
        <v>59</v>
      </c>
      <c r="C30" s="20">
        <v>22.33</v>
      </c>
      <c r="D30" s="45">
        <v>54</v>
      </c>
      <c r="E30" s="37">
        <v>1206</v>
      </c>
      <c r="G30" s="92"/>
      <c r="H30" s="19"/>
      <c r="I30" s="69"/>
      <c r="J30" s="20"/>
      <c r="K30" s="14"/>
      <c r="L30" s="14"/>
      <c r="M30" s="15"/>
      <c r="N30" s="15"/>
    </row>
    <row r="31" spans="1:14" ht="15" customHeight="1">
      <c r="A31" s="74" t="s">
        <v>152</v>
      </c>
      <c r="B31" s="19" t="s">
        <v>191</v>
      </c>
      <c r="C31" s="20">
        <v>15.92</v>
      </c>
      <c r="D31" s="45">
        <v>65</v>
      </c>
      <c r="E31" s="37">
        <v>1034.5833333333285</v>
      </c>
      <c r="G31" s="92"/>
      <c r="H31" s="19"/>
      <c r="I31" s="69"/>
      <c r="J31" s="20"/>
      <c r="K31" s="14"/>
      <c r="L31" s="14"/>
      <c r="M31" s="15"/>
      <c r="N31" s="15"/>
    </row>
    <row r="32" spans="1:14" ht="15" customHeight="1">
      <c r="A32" s="74" t="s">
        <v>60</v>
      </c>
      <c r="B32" s="19" t="s">
        <v>61</v>
      </c>
      <c r="C32" s="20">
        <v>14.58</v>
      </c>
      <c r="D32" s="45">
        <v>5</v>
      </c>
      <c r="E32" s="37">
        <v>72.899999999999636</v>
      </c>
      <c r="G32" s="92"/>
      <c r="H32" s="19"/>
      <c r="I32" s="69"/>
      <c r="J32" s="20"/>
      <c r="K32" s="14"/>
      <c r="L32" s="14"/>
      <c r="M32" s="15"/>
      <c r="N32" s="15"/>
    </row>
    <row r="33" spans="1:21" ht="15" customHeight="1">
      <c r="A33" s="74" t="s">
        <v>62</v>
      </c>
      <c r="B33" s="19" t="s">
        <v>63</v>
      </c>
      <c r="C33" s="20">
        <v>6.67</v>
      </c>
      <c r="D33" s="45">
        <v>72</v>
      </c>
      <c r="E33" s="37">
        <v>480.23999999999796</v>
      </c>
      <c r="G33" s="92"/>
      <c r="H33" s="19"/>
      <c r="I33" s="69"/>
      <c r="J33" s="20"/>
      <c r="K33" s="14"/>
      <c r="L33" s="14"/>
      <c r="M33" s="15"/>
      <c r="N33" s="15"/>
    </row>
    <row r="34" spans="1:21" ht="15" customHeight="1">
      <c r="A34" s="74" t="s">
        <v>67</v>
      </c>
      <c r="B34" s="19" t="s">
        <v>68</v>
      </c>
      <c r="C34" s="20">
        <v>74.67</v>
      </c>
      <c r="D34" s="45">
        <v>1</v>
      </c>
      <c r="E34" s="37">
        <v>74.670000000000073</v>
      </c>
      <c r="G34" s="92"/>
      <c r="H34" s="19"/>
      <c r="I34" s="69"/>
      <c r="J34" s="20"/>
      <c r="K34" s="14"/>
      <c r="L34" s="14"/>
      <c r="M34" s="15"/>
      <c r="N34" s="15"/>
    </row>
    <row r="35" spans="1:21">
      <c r="A35" s="33"/>
      <c r="B35" s="33"/>
      <c r="C35" s="33"/>
      <c r="D35" s="30">
        <f>SUM(D21:D34)</f>
        <v>306</v>
      </c>
      <c r="E35" s="23">
        <f>SUM(E21:E34)</f>
        <v>6094.5299999999943</v>
      </c>
      <c r="G35" s="93"/>
      <c r="H35" s="21"/>
      <c r="I35" s="21"/>
      <c r="J35" s="21"/>
      <c r="K35" s="70">
        <f>SUM(K21:K34)</f>
        <v>3</v>
      </c>
      <c r="L35" s="70">
        <f>SUM(L21:L34)</f>
        <v>1</v>
      </c>
      <c r="M35" s="71">
        <f>SUM(M21:M34)</f>
        <v>2178</v>
      </c>
      <c r="N35" s="71">
        <f>SUM(N21:N34)</f>
        <v>57.67</v>
      </c>
    </row>
    <row r="36" spans="1:21">
      <c r="F36" s="95"/>
      <c r="N36" s="76">
        <f>M35+N35</f>
        <v>2235.67</v>
      </c>
    </row>
    <row r="38" spans="1:21" ht="18.75">
      <c r="G38" s="82"/>
      <c r="H38" s="82"/>
      <c r="I38" s="82"/>
      <c r="J38" s="82"/>
      <c r="K38" s="82"/>
    </row>
    <row r="39" spans="1:21" ht="18.75">
      <c r="A39" s="155" t="s">
        <v>120</v>
      </c>
      <c r="B39" s="155"/>
      <c r="C39" s="155"/>
      <c r="D39" s="155"/>
      <c r="E39" s="155"/>
      <c r="F39" s="155"/>
      <c r="G39" s="155"/>
      <c r="H39" s="155"/>
      <c r="I39" s="155"/>
      <c r="J39" s="155"/>
      <c r="K39" s="155"/>
    </row>
    <row r="40" spans="1:21" ht="18.75">
      <c r="F40" s="82"/>
    </row>
    <row r="41" spans="1:21">
      <c r="A41" s="11" t="s">
        <v>28</v>
      </c>
      <c r="G41" s="11" t="s">
        <v>26</v>
      </c>
      <c r="Q41" s="11" t="s">
        <v>26</v>
      </c>
    </row>
    <row r="42" spans="1:21" ht="24">
      <c r="A42" s="44" t="s">
        <v>3</v>
      </c>
      <c r="B42" s="3" t="s">
        <v>4</v>
      </c>
      <c r="C42" s="27" t="s">
        <v>5</v>
      </c>
      <c r="D42" s="3" t="s">
        <v>7</v>
      </c>
      <c r="E42" s="3" t="s">
        <v>8</v>
      </c>
      <c r="G42" s="79" t="s">
        <v>3</v>
      </c>
      <c r="H42" s="80" t="s">
        <v>4</v>
      </c>
      <c r="I42" s="81" t="s">
        <v>5</v>
      </c>
      <c r="J42" s="80" t="s">
        <v>7</v>
      </c>
      <c r="K42" s="80" t="s">
        <v>8</v>
      </c>
      <c r="Q42" s="153" t="s">
        <v>3</v>
      </c>
      <c r="R42" s="145" t="s">
        <v>4</v>
      </c>
      <c r="S42" s="151" t="s">
        <v>5</v>
      </c>
      <c r="T42" s="145" t="s">
        <v>7</v>
      </c>
      <c r="U42" s="145" t="s">
        <v>8</v>
      </c>
    </row>
    <row r="43" spans="1:21">
      <c r="A43" s="74" t="s">
        <v>202</v>
      </c>
      <c r="B43" s="19" t="s">
        <v>204</v>
      </c>
      <c r="C43" s="20">
        <v>36.5</v>
      </c>
      <c r="D43" s="45">
        <v>12</v>
      </c>
      <c r="E43" s="37">
        <f>D43*C43</f>
        <v>438</v>
      </c>
      <c r="G43" s="18"/>
      <c r="H43" s="19"/>
      <c r="I43" s="20"/>
      <c r="J43" s="45"/>
      <c r="K43" s="37"/>
      <c r="Q43" s="154"/>
      <c r="R43" s="146"/>
      <c r="S43" s="152"/>
      <c r="T43" s="146"/>
      <c r="U43" s="146"/>
    </row>
    <row r="44" spans="1:21">
      <c r="A44" s="74" t="s">
        <v>135</v>
      </c>
      <c r="B44" s="19" t="s">
        <v>168</v>
      </c>
      <c r="C44" s="20">
        <v>31.25</v>
      </c>
      <c r="D44" s="45">
        <f>14-6</f>
        <v>8</v>
      </c>
      <c r="E44" s="37">
        <f t="shared" ref="E44:E55" si="2">D44*C44</f>
        <v>250</v>
      </c>
      <c r="G44" s="18"/>
      <c r="H44" s="19"/>
      <c r="I44" s="20"/>
      <c r="J44" s="45"/>
      <c r="K44" s="37"/>
      <c r="Q44" s="74">
        <v>8881234567837</v>
      </c>
      <c r="R44" s="19" t="s">
        <v>207</v>
      </c>
      <c r="S44" s="20">
        <v>8.0399999999999991</v>
      </c>
      <c r="T44" s="45">
        <v>-5</v>
      </c>
      <c r="U44" s="37">
        <v>-40.208333333343035</v>
      </c>
    </row>
    <row r="45" spans="1:21" ht="19.5" customHeight="1">
      <c r="A45" s="74" t="s">
        <v>40</v>
      </c>
      <c r="B45" s="19" t="s">
        <v>41</v>
      </c>
      <c r="C45" s="20">
        <v>22.33</v>
      </c>
      <c r="D45" s="45">
        <v>26</v>
      </c>
      <c r="E45" s="37">
        <f t="shared" si="2"/>
        <v>580.57999999999993</v>
      </c>
      <c r="G45" s="18"/>
      <c r="H45" s="19"/>
      <c r="I45" s="20"/>
      <c r="J45" s="45"/>
      <c r="K45" s="37"/>
      <c r="Q45" s="74" t="s">
        <v>137</v>
      </c>
      <c r="R45" s="19" t="s">
        <v>170</v>
      </c>
      <c r="S45" s="20">
        <v>11.58</v>
      </c>
      <c r="T45" s="45">
        <v>-48</v>
      </c>
      <c r="U45" s="37">
        <v>-555.99999983998714</v>
      </c>
    </row>
    <row r="46" spans="1:21">
      <c r="A46" s="74" t="s">
        <v>51</v>
      </c>
      <c r="B46" s="19" t="s">
        <v>52</v>
      </c>
      <c r="C46" s="20">
        <v>11.2</v>
      </c>
      <c r="D46" s="45">
        <v>6</v>
      </c>
      <c r="E46" s="37">
        <f t="shared" si="2"/>
        <v>67.199999999999989</v>
      </c>
      <c r="G46" s="18"/>
      <c r="H46" s="19"/>
      <c r="I46" s="20"/>
      <c r="J46" s="45"/>
      <c r="K46" s="37"/>
      <c r="Q46" s="74" t="s">
        <v>53</v>
      </c>
      <c r="R46" s="19" t="s">
        <v>54</v>
      </c>
      <c r="S46" s="20">
        <v>8.0399999999999991</v>
      </c>
      <c r="T46" s="45">
        <v>-12</v>
      </c>
      <c r="U46" s="37">
        <v>-96.5</v>
      </c>
    </row>
    <row r="47" spans="1:21">
      <c r="A47" s="74" t="s">
        <v>132</v>
      </c>
      <c r="B47" s="19" t="s">
        <v>176</v>
      </c>
      <c r="C47" s="20">
        <v>59.17</v>
      </c>
      <c r="D47" s="45">
        <v>4</v>
      </c>
      <c r="E47" s="37">
        <f t="shared" si="2"/>
        <v>236.68</v>
      </c>
      <c r="G47" s="18"/>
      <c r="H47" s="19"/>
      <c r="I47" s="20"/>
      <c r="J47" s="45"/>
      <c r="K47" s="37"/>
      <c r="Q47" s="74" t="s">
        <v>154</v>
      </c>
      <c r="R47" s="19" t="s">
        <v>189</v>
      </c>
      <c r="S47" s="20">
        <v>7.04</v>
      </c>
      <c r="T47" s="45">
        <v>-35</v>
      </c>
      <c r="U47" s="37">
        <v>-246.40000000000146</v>
      </c>
    </row>
    <row r="48" spans="1:21">
      <c r="A48" s="74" t="s">
        <v>203</v>
      </c>
      <c r="B48" s="19" t="s">
        <v>205</v>
      </c>
      <c r="C48" s="20">
        <v>22.33</v>
      </c>
      <c r="D48" s="45">
        <v>18</v>
      </c>
      <c r="E48" s="37">
        <f t="shared" si="2"/>
        <v>401.93999999999994</v>
      </c>
      <c r="G48" s="18"/>
      <c r="H48" s="19"/>
      <c r="I48" s="20"/>
      <c r="J48" s="45"/>
      <c r="K48" s="37"/>
      <c r="Q48" s="74" t="s">
        <v>153</v>
      </c>
      <c r="R48" s="19" t="s">
        <v>192</v>
      </c>
      <c r="S48" s="20">
        <v>11.58</v>
      </c>
      <c r="T48" s="45">
        <v>-7</v>
      </c>
      <c r="U48" s="37">
        <v>-81.083333310001763</v>
      </c>
    </row>
    <row r="49" spans="1:21">
      <c r="A49" s="74" t="s">
        <v>133</v>
      </c>
      <c r="B49" s="19" t="s">
        <v>186</v>
      </c>
      <c r="C49" s="20">
        <v>59.17</v>
      </c>
      <c r="D49" s="45">
        <v>13</v>
      </c>
      <c r="E49" s="37">
        <f t="shared" si="2"/>
        <v>769.21</v>
      </c>
      <c r="G49" s="18"/>
      <c r="H49" s="19"/>
      <c r="I49" s="20"/>
      <c r="J49" s="45"/>
      <c r="K49" s="37"/>
      <c r="Q49" s="74" t="s">
        <v>64</v>
      </c>
      <c r="R49" s="19" t="s">
        <v>65</v>
      </c>
      <c r="S49" s="20">
        <v>8.7100000000000009</v>
      </c>
      <c r="T49" s="45">
        <v>-61</v>
      </c>
      <c r="U49" s="37">
        <v>-531.30999999999767</v>
      </c>
    </row>
    <row r="50" spans="1:21">
      <c r="A50" s="74" t="s">
        <v>150</v>
      </c>
      <c r="B50" s="19" t="s">
        <v>187</v>
      </c>
      <c r="C50" s="20">
        <v>36</v>
      </c>
      <c r="D50" s="45">
        <v>2</v>
      </c>
      <c r="E50" s="37">
        <f t="shared" si="2"/>
        <v>72</v>
      </c>
      <c r="G50" s="18"/>
      <c r="H50" s="19"/>
      <c r="I50" s="20"/>
      <c r="J50" s="45"/>
      <c r="K50" s="37"/>
      <c r="Q50" s="21"/>
      <c r="R50" s="21"/>
      <c r="S50" s="21"/>
      <c r="T50" s="22">
        <f>SUM(T44:T49)</f>
        <v>-168</v>
      </c>
      <c r="U50" s="23">
        <f>SUM(U44:U49)</f>
        <v>-1551.5016664833311</v>
      </c>
    </row>
    <row r="51" spans="1:21">
      <c r="A51" s="74" t="s">
        <v>58</v>
      </c>
      <c r="B51" s="19" t="s">
        <v>59</v>
      </c>
      <c r="C51" s="20">
        <v>22.33</v>
      </c>
      <c r="D51" s="45">
        <v>54</v>
      </c>
      <c r="E51" s="37">
        <f t="shared" si="2"/>
        <v>1205.82</v>
      </c>
      <c r="G51" s="18"/>
      <c r="H51" s="19"/>
      <c r="I51" s="20"/>
      <c r="J51" s="45"/>
      <c r="K51" s="37"/>
    </row>
    <row r="52" spans="1:21">
      <c r="A52" s="74" t="s">
        <v>152</v>
      </c>
      <c r="B52" s="19" t="s">
        <v>191</v>
      </c>
      <c r="C52" s="20">
        <v>15.92</v>
      </c>
      <c r="D52" s="45">
        <f>65-12</f>
        <v>53</v>
      </c>
      <c r="E52" s="37">
        <f t="shared" si="2"/>
        <v>843.76</v>
      </c>
      <c r="G52" s="18"/>
      <c r="H52" s="19"/>
      <c r="I52" s="20"/>
      <c r="J52" s="45"/>
      <c r="K52" s="37"/>
    </row>
    <row r="53" spans="1:21">
      <c r="A53" s="74" t="s">
        <v>60</v>
      </c>
      <c r="B53" s="19" t="s">
        <v>61</v>
      </c>
      <c r="C53" s="20">
        <v>14.58</v>
      </c>
      <c r="D53" s="45">
        <v>5</v>
      </c>
      <c r="E53" s="37">
        <f t="shared" si="2"/>
        <v>72.900000000000006</v>
      </c>
      <c r="G53" s="18"/>
      <c r="H53" s="19"/>
      <c r="I53" s="20"/>
      <c r="J53" s="45"/>
      <c r="K53" s="37"/>
    </row>
    <row r="54" spans="1:21">
      <c r="A54" s="74" t="s">
        <v>62</v>
      </c>
      <c r="B54" s="19" t="s">
        <v>63</v>
      </c>
      <c r="C54" s="20">
        <v>6.67</v>
      </c>
      <c r="D54" s="45">
        <v>72</v>
      </c>
      <c r="E54" s="37">
        <f t="shared" si="2"/>
        <v>480.24</v>
      </c>
      <c r="G54" s="18"/>
      <c r="H54" s="19"/>
      <c r="I54" s="20"/>
      <c r="J54" s="45"/>
      <c r="K54" s="37"/>
    </row>
    <row r="55" spans="1:21">
      <c r="A55" s="74" t="s">
        <v>67</v>
      </c>
      <c r="B55" s="19" t="s">
        <v>68</v>
      </c>
      <c r="C55" s="20">
        <v>74.67</v>
      </c>
      <c r="D55" s="45">
        <v>1</v>
      </c>
      <c r="E55" s="37">
        <f t="shared" si="2"/>
        <v>74.67</v>
      </c>
      <c r="G55" s="18"/>
      <c r="H55" s="19"/>
      <c r="I55" s="20"/>
      <c r="J55" s="45"/>
      <c r="K55" s="37"/>
    </row>
    <row r="56" spans="1:21">
      <c r="A56" s="33"/>
      <c r="B56" s="33"/>
      <c r="C56" s="33"/>
      <c r="D56" s="30">
        <f>SUM(D43:D55)</f>
        <v>274</v>
      </c>
      <c r="E56" s="23">
        <f>SUM(E43:E55)</f>
        <v>5493</v>
      </c>
      <c r="G56" s="18"/>
      <c r="H56" s="19"/>
      <c r="I56" s="20"/>
      <c r="J56" s="45"/>
      <c r="K56" s="37"/>
    </row>
    <row r="57" spans="1:21">
      <c r="G57" s="18"/>
      <c r="H57" s="19"/>
      <c r="I57" s="20"/>
      <c r="J57" s="45"/>
      <c r="K57" s="37"/>
    </row>
    <row r="58" spans="1:21">
      <c r="G58" s="18"/>
      <c r="H58" s="19"/>
      <c r="I58" s="20"/>
      <c r="J58" s="45"/>
      <c r="K58" s="37"/>
    </row>
    <row r="59" spans="1:21">
      <c r="G59" s="18"/>
      <c r="H59" s="19"/>
      <c r="I59" s="20"/>
      <c r="J59" s="45"/>
      <c r="K59" s="37"/>
    </row>
  </sheetData>
  <mergeCells count="23">
    <mergeCell ref="Q42:Q43"/>
    <mergeCell ref="R42:R43"/>
    <mergeCell ref="S42:S43"/>
    <mergeCell ref="T42:T43"/>
    <mergeCell ref="U42:U43"/>
    <mergeCell ref="A39:K39"/>
    <mergeCell ref="G19:G20"/>
    <mergeCell ref="H19:H20"/>
    <mergeCell ref="I19:J19"/>
    <mergeCell ref="K19:L19"/>
    <mergeCell ref="M19:N19"/>
    <mergeCell ref="A1:B1"/>
    <mergeCell ref="E4:E5"/>
    <mergeCell ref="G1:H1"/>
    <mergeCell ref="M4:N4"/>
    <mergeCell ref="I4:J4"/>
    <mergeCell ref="G4:G5"/>
    <mergeCell ref="H4:H5"/>
    <mergeCell ref="K4:L4"/>
    <mergeCell ref="D4:D5"/>
    <mergeCell ref="C4:C5"/>
    <mergeCell ref="B4:B5"/>
    <mergeCell ref="A4:A5"/>
  </mergeCells>
  <pageMargins left="0.7" right="0.7" top="0.75" bottom="0.75" header="0.3" footer="0.3"/>
  <pageSetup paperSize="14" scale="3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COCA COLA</vt:lpstr>
      <vt:lpstr>BEGINNING</vt:lpstr>
      <vt:lpstr>END</vt:lpstr>
      <vt:lpstr>VB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ampcdt2</dc:creator>
  <cp:lastModifiedBy>AMPC-Nerissa Duldulao</cp:lastModifiedBy>
  <cp:lastPrinted>2026-09-08T01:27:14Z</cp:lastPrinted>
  <dcterms:created xsi:type="dcterms:W3CDTF">2022-09-19T06:35:00Z</dcterms:created>
  <dcterms:modified xsi:type="dcterms:W3CDTF">2026-09-08T01:27:17Z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7B89EFFD48E1435BB2F96505029CE542_12</vt:lpwstr>
  </property>
  <property fmtid="{D5CDD505-2E9C-101B-9397-08002B2CF9AE}" pid="3" name="KSOProductBuildVer">
    <vt:lpwstr>1033-12.2.0.18607</vt:lpwstr>
  </property>
</Properties>
</file>