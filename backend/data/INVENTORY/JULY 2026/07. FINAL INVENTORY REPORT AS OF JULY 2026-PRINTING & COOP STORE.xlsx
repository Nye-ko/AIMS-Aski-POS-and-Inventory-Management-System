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3 - BK FILES 2026\07 JULY 2026\01 PRINTING &amp; COOP STORE JULY 2026\"/>
    </mc:Choice>
  </mc:AlternateContent>
  <xr:revisionPtr revIDLastSave="0" documentId="13_ncr:1_{5D9DDAC4-436D-4121-B65E-48F8B5A1C697}" xr6:coauthVersionLast="47" xr6:coauthVersionMax="47" xr10:uidLastSave="{00000000-0000-0000-0000-000000000000}"/>
  <bookViews>
    <workbookView xWindow="-120" yWindow="-120" windowWidth="20730" windowHeight="11160" tabRatio="552" activeTab="3" xr2:uid="{00000000-000D-0000-FFFF-FFFF00000000}"/>
  </bookViews>
  <sheets>
    <sheet name="PRINTING" sheetId="5" r:id="rId1"/>
    <sheet name="VB-3" sheetId="15" r:id="rId2"/>
    <sheet name="CONVIE - final" sheetId="16" r:id="rId3"/>
    <sheet name="VB-final" sheetId="17" r:id="rId4"/>
    <sheet name="FOR PULLOUT" sheetId="28" r:id="rId5"/>
    <sheet name="RECHECKING" sheetId="25" r:id="rId6"/>
    <sheet name="Sheet1" sheetId="27" r:id="rId7"/>
    <sheet name="JUNE SALES-" sheetId="22" r:id="rId8"/>
    <sheet name="PURCHASES+" sheetId="18" r:id="rId9"/>
    <sheet name="RETAIL+" sheetId="21" r:id="rId10"/>
    <sheet name="PULL OUT-" sheetId="19" r:id="rId11"/>
  </sheets>
  <definedNames>
    <definedName name="_xlnm._FilterDatabase" localSheetId="2" hidden="1">'CONVIE - final'!$A$5:$AE$2069</definedName>
    <definedName name="_xlnm._FilterDatabase" localSheetId="7" hidden="1">'JUNE SALES-'!$A$3:$L$1332</definedName>
    <definedName name="_xlnm._FilterDatabase" localSheetId="0" hidden="1">PRINTING!$B$5:$X$236</definedName>
    <definedName name="_xlnm._FilterDatabase" localSheetId="10" hidden="1">'PULL OUT-'!$A$4:$F$19</definedName>
    <definedName name="_xlnm._FilterDatabase" localSheetId="8" hidden="1">'PURCHASES+'!$A$3:$J$133</definedName>
    <definedName name="_xlnm.Print_Area" localSheetId="2">'CONVIE - final'!$A:$R</definedName>
    <definedName name="_xlnm.Print_Area" localSheetId="4">'FOR PULLOUT'!$A$1:$M$37</definedName>
    <definedName name="_xlnm.Print_Area" localSheetId="0">PRINTING!$A$1:$M$253</definedName>
    <definedName name="_xlnm.Print_Area" localSheetId="1">'VB-3'!$A$1:$J$31</definedName>
    <definedName name="_xlnm.Print_Area" localSheetId="3">'VB-final'!$A$1:$M$88</definedName>
  </definedNames>
  <calcPr calcId="181029"/>
</workbook>
</file>

<file path=xl/calcChain.xml><?xml version="1.0" encoding="utf-8"?>
<calcChain xmlns="http://schemas.openxmlformats.org/spreadsheetml/2006/main">
  <c r="J88" i="17" l="1"/>
  <c r="D88" i="17"/>
  <c r="E88" i="17"/>
  <c r="F88" i="17"/>
  <c r="G88" i="17"/>
  <c r="H88" i="17"/>
  <c r="K88" i="17"/>
  <c r="C88" i="17"/>
  <c r="L88" i="17" l="1"/>
  <c r="I88" i="17"/>
  <c r="L30" i="15"/>
  <c r="L29" i="15"/>
  <c r="K31" i="15"/>
  <c r="L12" i="28"/>
  <c r="K12" i="28"/>
  <c r="J12" i="28"/>
  <c r="I12" i="28"/>
  <c r="H12" i="28"/>
  <c r="G12" i="28"/>
  <c r="F12" i="28"/>
  <c r="E12" i="28"/>
  <c r="D12" i="28"/>
  <c r="G4" i="28"/>
  <c r="F4" i="28"/>
  <c r="A2" i="28"/>
  <c r="O13" i="16"/>
  <c r="Q1442" i="16"/>
  <c r="L31" i="15" l="1"/>
  <c r="E21" i="15"/>
  <c r="F21" i="15"/>
  <c r="G21" i="15"/>
  <c r="H21" i="15"/>
  <c r="I21" i="15"/>
  <c r="J21" i="15"/>
  <c r="M1263" i="16"/>
  <c r="J27" i="17"/>
  <c r="K27" i="17"/>
  <c r="G27" i="17"/>
  <c r="H27" i="17"/>
  <c r="I27" i="17"/>
  <c r="M27" i="17"/>
  <c r="F27" i="17"/>
  <c r="E31" i="15"/>
  <c r="F31" i="15"/>
  <c r="H31" i="15"/>
  <c r="I31" i="15"/>
  <c r="J31" i="15"/>
  <c r="G31" i="15"/>
  <c r="F565" i="25"/>
  <c r="G565" i="25"/>
  <c r="H565" i="25"/>
  <c r="I565" i="25"/>
  <c r="J565" i="25"/>
  <c r="K565" i="25"/>
  <c r="L565" i="25"/>
  <c r="M565" i="25"/>
  <c r="E565" i="25"/>
  <c r="F196" i="25"/>
  <c r="G196" i="25"/>
  <c r="H196" i="25"/>
  <c r="I196" i="25"/>
  <c r="J196" i="25"/>
  <c r="K196" i="25"/>
  <c r="L196" i="25"/>
  <c r="M196" i="25"/>
  <c r="N196" i="25"/>
  <c r="E196" i="25"/>
  <c r="D27" i="17"/>
  <c r="E27" i="17"/>
  <c r="F31" i="17"/>
  <c r="G31" i="17"/>
  <c r="M1156" i="16"/>
  <c r="M528" i="16"/>
  <c r="M522" i="16"/>
  <c r="M324" i="16"/>
  <c r="M108" i="16"/>
  <c r="M1224" i="16"/>
  <c r="M1225" i="16"/>
  <c r="M995" i="16"/>
  <c r="M1399" i="16"/>
  <c r="M1391" i="16"/>
  <c r="M1303" i="16"/>
  <c r="M987" i="16"/>
  <c r="M1344" i="16"/>
  <c r="M1345" i="16"/>
  <c r="M1351" i="16"/>
  <c r="M1128" i="16"/>
  <c r="M960" i="16"/>
  <c r="M1281" i="16"/>
  <c r="M784" i="16"/>
  <c r="M9" i="16"/>
  <c r="M531" i="16"/>
  <c r="M52" i="16"/>
  <c r="M96" i="16"/>
  <c r="M45" i="16"/>
  <c r="M397" i="16"/>
  <c r="M683" i="16"/>
  <c r="M495" i="16"/>
  <c r="M1616" i="16"/>
  <c r="M1406" i="16"/>
  <c r="L27" i="17" l="1"/>
  <c r="AD1582" i="16"/>
  <c r="AE1582" i="16" s="1"/>
  <c r="AD1581" i="16"/>
  <c r="AE1581" i="16" s="1"/>
  <c r="AD1580" i="16"/>
  <c r="AE1580" i="16" s="1"/>
  <c r="M1683" i="16"/>
  <c r="M1653" i="16"/>
  <c r="M1644" i="16"/>
  <c r="M1641" i="16"/>
  <c r="M1640" i="16"/>
  <c r="M1208" i="16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J81" i="5"/>
  <c r="K81" i="5"/>
  <c r="I82" i="5"/>
  <c r="J82" i="5"/>
  <c r="K82" i="5"/>
  <c r="I83" i="5"/>
  <c r="J83" i="5"/>
  <c r="K83" i="5"/>
  <c r="I84" i="5"/>
  <c r="J84" i="5"/>
  <c r="K84" i="5"/>
  <c r="I85" i="5"/>
  <c r="J85" i="5"/>
  <c r="K85" i="5"/>
  <c r="I86" i="5"/>
  <c r="J86" i="5"/>
  <c r="K86" i="5"/>
  <c r="I87" i="5"/>
  <c r="J87" i="5"/>
  <c r="K87" i="5"/>
  <c r="I88" i="5"/>
  <c r="J88" i="5"/>
  <c r="K88" i="5"/>
  <c r="I89" i="5"/>
  <c r="J89" i="5"/>
  <c r="K89" i="5"/>
  <c r="I90" i="5"/>
  <c r="J90" i="5"/>
  <c r="K90" i="5"/>
  <c r="I91" i="5"/>
  <c r="J91" i="5"/>
  <c r="K91" i="5"/>
  <c r="I92" i="5"/>
  <c r="J92" i="5"/>
  <c r="K92" i="5"/>
  <c r="I93" i="5"/>
  <c r="J93" i="5"/>
  <c r="K93" i="5"/>
  <c r="I94" i="5"/>
  <c r="J94" i="5"/>
  <c r="K94" i="5"/>
  <c r="I95" i="5"/>
  <c r="J95" i="5"/>
  <c r="K95" i="5"/>
  <c r="I96" i="5"/>
  <c r="J96" i="5"/>
  <c r="K96" i="5"/>
  <c r="I97" i="5"/>
  <c r="J97" i="5"/>
  <c r="K97" i="5"/>
  <c r="I98" i="5"/>
  <c r="J98" i="5"/>
  <c r="K98" i="5"/>
  <c r="I99" i="5"/>
  <c r="J99" i="5"/>
  <c r="K99" i="5"/>
  <c r="I100" i="5"/>
  <c r="J100" i="5"/>
  <c r="K100" i="5"/>
  <c r="I101" i="5"/>
  <c r="J101" i="5"/>
  <c r="K101" i="5"/>
  <c r="I102" i="5"/>
  <c r="J102" i="5"/>
  <c r="K102" i="5"/>
  <c r="I103" i="5"/>
  <c r="J103" i="5"/>
  <c r="K103" i="5"/>
  <c r="I104" i="5"/>
  <c r="J104" i="5"/>
  <c r="K104" i="5"/>
  <c r="I105" i="5"/>
  <c r="J105" i="5"/>
  <c r="K105" i="5"/>
  <c r="I106" i="5"/>
  <c r="J106" i="5"/>
  <c r="K106" i="5"/>
  <c r="I107" i="5"/>
  <c r="J107" i="5"/>
  <c r="K107" i="5"/>
  <c r="I108" i="5"/>
  <c r="J108" i="5"/>
  <c r="K108" i="5"/>
  <c r="I109" i="5"/>
  <c r="J109" i="5"/>
  <c r="K109" i="5"/>
  <c r="I110" i="5"/>
  <c r="J110" i="5"/>
  <c r="K110" i="5"/>
  <c r="I111" i="5"/>
  <c r="J111" i="5"/>
  <c r="K111" i="5"/>
  <c r="I112" i="5"/>
  <c r="J112" i="5"/>
  <c r="K112" i="5"/>
  <c r="I113" i="5"/>
  <c r="J113" i="5"/>
  <c r="K113" i="5"/>
  <c r="I114" i="5"/>
  <c r="J114" i="5"/>
  <c r="K114" i="5"/>
  <c r="I115" i="5"/>
  <c r="J115" i="5"/>
  <c r="K115" i="5"/>
  <c r="I116" i="5"/>
  <c r="J116" i="5"/>
  <c r="K116" i="5"/>
  <c r="I117" i="5"/>
  <c r="J117" i="5"/>
  <c r="K117" i="5"/>
  <c r="I118" i="5"/>
  <c r="J118" i="5"/>
  <c r="K118" i="5"/>
  <c r="I119" i="5"/>
  <c r="J119" i="5"/>
  <c r="K119" i="5"/>
  <c r="I120" i="5"/>
  <c r="J120" i="5"/>
  <c r="K120" i="5"/>
  <c r="I121" i="5"/>
  <c r="J121" i="5"/>
  <c r="K121" i="5"/>
  <c r="I122" i="5"/>
  <c r="J122" i="5"/>
  <c r="K122" i="5"/>
  <c r="I123" i="5"/>
  <c r="J123" i="5"/>
  <c r="K123" i="5"/>
  <c r="I124" i="5"/>
  <c r="J124" i="5"/>
  <c r="K124" i="5"/>
  <c r="I125" i="5"/>
  <c r="J125" i="5"/>
  <c r="K125" i="5"/>
  <c r="I126" i="5"/>
  <c r="J126" i="5"/>
  <c r="K126" i="5"/>
  <c r="I127" i="5"/>
  <c r="J127" i="5"/>
  <c r="K127" i="5"/>
  <c r="I128" i="5"/>
  <c r="J128" i="5"/>
  <c r="K128" i="5"/>
  <c r="I129" i="5"/>
  <c r="J129" i="5"/>
  <c r="K129" i="5"/>
  <c r="I130" i="5"/>
  <c r="J130" i="5"/>
  <c r="K130" i="5"/>
  <c r="I131" i="5"/>
  <c r="J131" i="5"/>
  <c r="K131" i="5"/>
  <c r="I132" i="5"/>
  <c r="J132" i="5"/>
  <c r="K132" i="5"/>
  <c r="I133" i="5"/>
  <c r="J133" i="5"/>
  <c r="K133" i="5"/>
  <c r="I134" i="5"/>
  <c r="J134" i="5"/>
  <c r="L134" i="5" s="1"/>
  <c r="K134" i="5"/>
  <c r="I135" i="5"/>
  <c r="J135" i="5"/>
  <c r="K135" i="5"/>
  <c r="I136" i="5"/>
  <c r="J136" i="5"/>
  <c r="K136" i="5"/>
  <c r="I137" i="5"/>
  <c r="J137" i="5"/>
  <c r="K137" i="5"/>
  <c r="I138" i="5"/>
  <c r="J138" i="5"/>
  <c r="L138" i="5" s="1"/>
  <c r="K138" i="5"/>
  <c r="I139" i="5"/>
  <c r="J139" i="5"/>
  <c r="K139" i="5"/>
  <c r="I140" i="5"/>
  <c r="J140" i="5"/>
  <c r="K140" i="5"/>
  <c r="I141" i="5"/>
  <c r="J141" i="5"/>
  <c r="K141" i="5"/>
  <c r="I142" i="5"/>
  <c r="J142" i="5"/>
  <c r="L142" i="5" s="1"/>
  <c r="K142" i="5"/>
  <c r="I143" i="5"/>
  <c r="J143" i="5"/>
  <c r="K143" i="5"/>
  <c r="I144" i="5"/>
  <c r="J144" i="5"/>
  <c r="K144" i="5"/>
  <c r="I145" i="5"/>
  <c r="J145" i="5"/>
  <c r="K145" i="5"/>
  <c r="I146" i="5"/>
  <c r="J146" i="5"/>
  <c r="L146" i="5" s="1"/>
  <c r="K146" i="5"/>
  <c r="I147" i="5"/>
  <c r="J147" i="5"/>
  <c r="K147" i="5"/>
  <c r="I148" i="5"/>
  <c r="J148" i="5"/>
  <c r="K148" i="5"/>
  <c r="I149" i="5"/>
  <c r="J149" i="5"/>
  <c r="K149" i="5"/>
  <c r="I150" i="5"/>
  <c r="J150" i="5"/>
  <c r="L150" i="5" s="1"/>
  <c r="K150" i="5"/>
  <c r="I151" i="5"/>
  <c r="J151" i="5"/>
  <c r="K151" i="5"/>
  <c r="I152" i="5"/>
  <c r="L152" i="5" s="1"/>
  <c r="J152" i="5"/>
  <c r="K152" i="5"/>
  <c r="I153" i="5"/>
  <c r="J153" i="5"/>
  <c r="K153" i="5"/>
  <c r="I154" i="5"/>
  <c r="J154" i="5"/>
  <c r="K154" i="5"/>
  <c r="I155" i="5"/>
  <c r="J155" i="5"/>
  <c r="K155" i="5"/>
  <c r="I156" i="5"/>
  <c r="L156" i="5" s="1"/>
  <c r="J156" i="5"/>
  <c r="K156" i="5"/>
  <c r="I157" i="5"/>
  <c r="J157" i="5"/>
  <c r="K157" i="5"/>
  <c r="I158" i="5"/>
  <c r="J158" i="5"/>
  <c r="K158" i="5"/>
  <c r="I159" i="5"/>
  <c r="J159" i="5"/>
  <c r="K159" i="5"/>
  <c r="I160" i="5"/>
  <c r="L160" i="5" s="1"/>
  <c r="J160" i="5"/>
  <c r="K160" i="5"/>
  <c r="I161" i="5"/>
  <c r="J161" i="5"/>
  <c r="K161" i="5"/>
  <c r="I162" i="5"/>
  <c r="J162" i="5"/>
  <c r="K162" i="5"/>
  <c r="I163" i="5"/>
  <c r="J163" i="5"/>
  <c r="K163" i="5"/>
  <c r="I164" i="5"/>
  <c r="L164" i="5" s="1"/>
  <c r="J164" i="5"/>
  <c r="K164" i="5"/>
  <c r="I165" i="5"/>
  <c r="J165" i="5"/>
  <c r="K165" i="5"/>
  <c r="I166" i="5"/>
  <c r="J166" i="5"/>
  <c r="K166" i="5"/>
  <c r="I167" i="5"/>
  <c r="J167" i="5"/>
  <c r="K167" i="5"/>
  <c r="I168" i="5"/>
  <c r="L168" i="5" s="1"/>
  <c r="J168" i="5"/>
  <c r="K168" i="5"/>
  <c r="I169" i="5"/>
  <c r="J169" i="5"/>
  <c r="K169" i="5"/>
  <c r="I170" i="5"/>
  <c r="J170" i="5"/>
  <c r="K170" i="5"/>
  <c r="I171" i="5"/>
  <c r="J171" i="5"/>
  <c r="K171" i="5"/>
  <c r="I172" i="5"/>
  <c r="J172" i="5"/>
  <c r="K172" i="5"/>
  <c r="I173" i="5"/>
  <c r="J173" i="5"/>
  <c r="L173" i="5" s="1"/>
  <c r="K173" i="5"/>
  <c r="I174" i="5"/>
  <c r="J174" i="5"/>
  <c r="L174" i="5" s="1"/>
  <c r="K174" i="5"/>
  <c r="I175" i="5"/>
  <c r="J175" i="5"/>
  <c r="K175" i="5"/>
  <c r="I176" i="5"/>
  <c r="L176" i="5" s="1"/>
  <c r="J176" i="5"/>
  <c r="K176" i="5"/>
  <c r="I177" i="5"/>
  <c r="J177" i="5"/>
  <c r="K177" i="5"/>
  <c r="I178" i="5"/>
  <c r="J178" i="5"/>
  <c r="K178" i="5"/>
  <c r="I179" i="5"/>
  <c r="J179" i="5"/>
  <c r="K179" i="5"/>
  <c r="I180" i="5"/>
  <c r="J180" i="5"/>
  <c r="K180" i="5"/>
  <c r="I181" i="5"/>
  <c r="J181" i="5"/>
  <c r="K181" i="5"/>
  <c r="I182" i="5"/>
  <c r="J182" i="5"/>
  <c r="L182" i="5" s="1"/>
  <c r="K182" i="5"/>
  <c r="I183" i="5"/>
  <c r="J183" i="5"/>
  <c r="K183" i="5"/>
  <c r="I184" i="5"/>
  <c r="L184" i="5" s="1"/>
  <c r="J184" i="5"/>
  <c r="K184" i="5"/>
  <c r="I185" i="5"/>
  <c r="J185" i="5"/>
  <c r="K185" i="5"/>
  <c r="I186" i="5"/>
  <c r="J186" i="5"/>
  <c r="K186" i="5"/>
  <c r="I187" i="5"/>
  <c r="J187" i="5"/>
  <c r="K187" i="5"/>
  <c r="I188" i="5"/>
  <c r="L188" i="5" s="1"/>
  <c r="J188" i="5"/>
  <c r="K188" i="5"/>
  <c r="I189" i="5"/>
  <c r="J189" i="5"/>
  <c r="K189" i="5"/>
  <c r="I190" i="5"/>
  <c r="J190" i="5"/>
  <c r="K190" i="5"/>
  <c r="I191" i="5"/>
  <c r="J191" i="5"/>
  <c r="K191" i="5"/>
  <c r="I192" i="5"/>
  <c r="L192" i="5" s="1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I219" i="5"/>
  <c r="J219" i="5"/>
  <c r="K219" i="5"/>
  <c r="I220" i="5"/>
  <c r="J220" i="5"/>
  <c r="K220" i="5"/>
  <c r="I221" i="5"/>
  <c r="J221" i="5"/>
  <c r="K221" i="5"/>
  <c r="I222" i="5"/>
  <c r="J222" i="5"/>
  <c r="K222" i="5"/>
  <c r="I223" i="5"/>
  <c r="J223" i="5"/>
  <c r="K223" i="5"/>
  <c r="I224" i="5"/>
  <c r="J224" i="5"/>
  <c r="K224" i="5"/>
  <c r="I225" i="5"/>
  <c r="J225" i="5"/>
  <c r="K225" i="5"/>
  <c r="I226" i="5"/>
  <c r="J226" i="5"/>
  <c r="K226" i="5"/>
  <c r="I227" i="5"/>
  <c r="J227" i="5"/>
  <c r="K227" i="5"/>
  <c r="I228" i="5"/>
  <c r="J228" i="5"/>
  <c r="K228" i="5"/>
  <c r="I229" i="5"/>
  <c r="J229" i="5"/>
  <c r="K229" i="5"/>
  <c r="I230" i="5"/>
  <c r="J230" i="5"/>
  <c r="K230" i="5"/>
  <c r="I231" i="5"/>
  <c r="J231" i="5"/>
  <c r="K231" i="5"/>
  <c r="I232" i="5"/>
  <c r="J232" i="5"/>
  <c r="K232" i="5"/>
  <c r="I233" i="5"/>
  <c r="J233" i="5"/>
  <c r="K233" i="5"/>
  <c r="I234" i="5"/>
  <c r="J234" i="5"/>
  <c r="K234" i="5"/>
  <c r="I235" i="5"/>
  <c r="J235" i="5"/>
  <c r="K235" i="5"/>
  <c r="L1442" i="16"/>
  <c r="P1442" i="16" s="1"/>
  <c r="L1443" i="16"/>
  <c r="L1444" i="16"/>
  <c r="L193" i="5" l="1"/>
  <c r="L189" i="5"/>
  <c r="L190" i="5"/>
  <c r="L186" i="5"/>
  <c r="L178" i="5"/>
  <c r="L185" i="5"/>
  <c r="L177" i="5"/>
  <c r="L191" i="5"/>
  <c r="L187" i="5"/>
  <c r="L179" i="5"/>
  <c r="L171" i="5"/>
  <c r="L167" i="5"/>
  <c r="L163" i="5"/>
  <c r="L159" i="5"/>
  <c r="L231" i="5"/>
  <c r="L203" i="5"/>
  <c r="L161" i="5"/>
  <c r="L219" i="5"/>
  <c r="L207" i="5"/>
  <c r="L195" i="5"/>
  <c r="L169" i="5"/>
  <c r="L153" i="5"/>
  <c r="L183" i="5"/>
  <c r="L175" i="5"/>
  <c r="L170" i="5"/>
  <c r="L166" i="5"/>
  <c r="L162" i="5"/>
  <c r="L158" i="5"/>
  <c r="L154" i="5"/>
  <c r="L135" i="5"/>
  <c r="L211" i="5"/>
  <c r="L157" i="5"/>
  <c r="L172" i="5"/>
  <c r="L155" i="5"/>
  <c r="L49" i="5"/>
  <c r="L9" i="5"/>
  <c r="L151" i="5"/>
  <c r="L147" i="5"/>
  <c r="L143" i="5"/>
  <c r="L139" i="5"/>
  <c r="L129" i="5"/>
  <c r="L57" i="5"/>
  <c r="L165" i="5"/>
  <c r="L148" i="5"/>
  <c r="L144" i="5"/>
  <c r="L140" i="5"/>
  <c r="L136" i="5"/>
  <c r="L130" i="5"/>
  <c r="L131" i="5"/>
  <c r="L127" i="5"/>
  <c r="L126" i="5"/>
  <c r="L149" i="5"/>
  <c r="L145" i="5"/>
  <c r="L141" i="5"/>
  <c r="L137" i="5"/>
  <c r="L133" i="5"/>
  <c r="L132" i="5"/>
  <c r="L128" i="5"/>
  <c r="L34" i="5"/>
  <c r="L26" i="5"/>
  <c r="L123" i="5"/>
  <c r="L119" i="5"/>
  <c r="L115" i="5"/>
  <c r="L103" i="5"/>
  <c r="L99" i="5"/>
  <c r="L95" i="5"/>
  <c r="L91" i="5"/>
  <c r="L87" i="5"/>
  <c r="L83" i="5"/>
  <c r="L79" i="5"/>
  <c r="L75" i="5"/>
  <c r="L71" i="5"/>
  <c r="L67" i="5"/>
  <c r="L63" i="5"/>
  <c r="L59" i="5"/>
  <c r="L55" i="5"/>
  <c r="L51" i="5"/>
  <c r="L47" i="5"/>
  <c r="L43" i="5"/>
  <c r="L39" i="5"/>
  <c r="L35" i="5"/>
  <c r="L31" i="5"/>
  <c r="L23" i="5"/>
  <c r="L19" i="5"/>
  <c r="L11" i="5"/>
  <c r="L46" i="5"/>
  <c r="L42" i="5"/>
  <c r="L38" i="5"/>
  <c r="L30" i="5"/>
  <c r="L111" i="5"/>
  <c r="L107" i="5"/>
  <c r="L62" i="5"/>
  <c r="L27" i="5"/>
  <c r="L22" i="5"/>
  <c r="L18" i="5"/>
  <c r="L124" i="5"/>
  <c r="L120" i="5"/>
  <c r="L116" i="5"/>
  <c r="L112" i="5"/>
  <c r="L108" i="5"/>
  <c r="L104" i="5"/>
  <c r="L100" i="5"/>
  <c r="L60" i="5"/>
  <c r="L56" i="5"/>
  <c r="L52" i="5"/>
  <c r="L48" i="5"/>
  <c r="L44" i="5"/>
  <c r="L40" i="5"/>
  <c r="L36" i="5"/>
  <c r="L32" i="5"/>
  <c r="L28" i="5"/>
  <c r="L24" i="5"/>
  <c r="L20" i="5"/>
  <c r="L12" i="5"/>
  <c r="L197" i="5"/>
  <c r="L180" i="5"/>
  <c r="L121" i="5"/>
  <c r="L117" i="5"/>
  <c r="L113" i="5"/>
  <c r="L109" i="5"/>
  <c r="L105" i="5"/>
  <c r="L101" i="5"/>
  <c r="L97" i="5"/>
  <c r="L61" i="5"/>
  <c r="L53" i="5"/>
  <c r="L45" i="5"/>
  <c r="L41" i="5"/>
  <c r="L37" i="5"/>
  <c r="L33" i="5"/>
  <c r="L29" i="5"/>
  <c r="L25" i="5"/>
  <c r="L21" i="5"/>
  <c r="L17" i="5"/>
  <c r="L181" i="5"/>
  <c r="L122" i="5"/>
  <c r="L118" i="5"/>
  <c r="L114" i="5"/>
  <c r="L110" i="5"/>
  <c r="L106" i="5"/>
  <c r="L102" i="5"/>
  <c r="L98" i="5"/>
  <c r="L58" i="5"/>
  <c r="L54" i="5"/>
  <c r="L50" i="5"/>
  <c r="L10" i="5"/>
  <c r="L235" i="5"/>
  <c r="L234" i="5"/>
  <c r="L230" i="5"/>
  <c r="L229" i="5"/>
  <c r="L227" i="5"/>
  <c r="L226" i="5"/>
  <c r="L225" i="5"/>
  <c r="L223" i="5"/>
  <c r="L222" i="5"/>
  <c r="L221" i="5"/>
  <c r="L218" i="5"/>
  <c r="L217" i="5"/>
  <c r="L215" i="5"/>
  <c r="L214" i="5"/>
  <c r="L213" i="5"/>
  <c r="L210" i="5"/>
  <c r="L209" i="5"/>
  <c r="L206" i="5"/>
  <c r="L205" i="5"/>
  <c r="L202" i="5"/>
  <c r="L201" i="5"/>
  <c r="L199" i="5"/>
  <c r="L198" i="5"/>
  <c r="L194" i="5"/>
  <c r="L232" i="5"/>
  <c r="L228" i="5"/>
  <c r="L224" i="5"/>
  <c r="L220" i="5"/>
  <c r="L216" i="5"/>
  <c r="L212" i="5"/>
  <c r="L208" i="5"/>
  <c r="L204" i="5"/>
  <c r="L200" i="5"/>
  <c r="L196" i="5"/>
  <c r="L125" i="5"/>
  <c r="L96" i="5"/>
  <c r="L92" i="5"/>
  <c r="L88" i="5"/>
  <c r="L84" i="5"/>
  <c r="L80" i="5"/>
  <c r="L76" i="5"/>
  <c r="L72" i="5"/>
  <c r="L68" i="5"/>
  <c r="L64" i="5"/>
  <c r="L233" i="5"/>
  <c r="L93" i="5"/>
  <c r="L89" i="5"/>
  <c r="L85" i="5"/>
  <c r="L81" i="5"/>
  <c r="L77" i="5"/>
  <c r="L73" i="5"/>
  <c r="L69" i="5"/>
  <c r="L65" i="5"/>
  <c r="L94" i="5"/>
  <c r="L90" i="5"/>
  <c r="L86" i="5"/>
  <c r="L82" i="5"/>
  <c r="L78" i="5"/>
  <c r="L74" i="5"/>
  <c r="L70" i="5"/>
  <c r="L66" i="5"/>
  <c r="L15" i="5"/>
  <c r="L16" i="5"/>
  <c r="L13" i="5"/>
  <c r="L14" i="5"/>
  <c r="M1246" i="16"/>
  <c r="L1251" i="16"/>
  <c r="N1251" i="16" s="1"/>
  <c r="O1251" i="16"/>
  <c r="S1251" i="16"/>
  <c r="T1251" i="16" s="1"/>
  <c r="Q1251" i="16" l="1"/>
  <c r="P1251" i="16"/>
  <c r="M509" i="16"/>
  <c r="M162" i="16"/>
  <c r="M1794" i="16"/>
  <c r="M10" i="16" l="1"/>
  <c r="K2064" i="16"/>
  <c r="O1909" i="16"/>
  <c r="L1909" i="16"/>
  <c r="P1909" i="16" s="1"/>
  <c r="G434" i="16"/>
  <c r="L434" i="16" s="1"/>
  <c r="N434" i="16" s="1"/>
  <c r="S434" i="16"/>
  <c r="T434" i="16" s="1"/>
  <c r="O434" i="16"/>
  <c r="S814" i="16"/>
  <c r="T814" i="16" s="1"/>
  <c r="O814" i="16"/>
  <c r="L814" i="16"/>
  <c r="N814" i="16" s="1"/>
  <c r="N1909" i="16" l="1"/>
  <c r="Q1909" i="16" s="1"/>
  <c r="Q434" i="16"/>
  <c r="P434" i="16"/>
  <c r="Q814" i="16"/>
  <c r="P814" i="16"/>
  <c r="E34" i="19" l="1"/>
  <c r="E21" i="21"/>
  <c r="I2064" i="16"/>
  <c r="J2064" i="16"/>
  <c r="S1820" i="16"/>
  <c r="T1820" i="16" s="1"/>
  <c r="O1820" i="16"/>
  <c r="L1820" i="16"/>
  <c r="P1820" i="16" s="1"/>
  <c r="S1819" i="16"/>
  <c r="T1819" i="16" s="1"/>
  <c r="O1819" i="16"/>
  <c r="L1819" i="16"/>
  <c r="P1819" i="16" s="1"/>
  <c r="S1818" i="16"/>
  <c r="T1818" i="16" s="1"/>
  <c r="O1818" i="16"/>
  <c r="L1818" i="16"/>
  <c r="N1818" i="16" s="1"/>
  <c r="S1817" i="16"/>
  <c r="T1817" i="16" s="1"/>
  <c r="O1817" i="16"/>
  <c r="L1817" i="16"/>
  <c r="N1817" i="16" s="1"/>
  <c r="S238" i="16"/>
  <c r="T238" i="16" s="1"/>
  <c r="O238" i="16"/>
  <c r="L238" i="16"/>
  <c r="P238" i="16" s="1"/>
  <c r="L1809" i="16"/>
  <c r="P1809" i="16" s="1"/>
  <c r="O1838" i="16"/>
  <c r="L1838" i="16"/>
  <c r="P1838" i="16" s="1"/>
  <c r="O1837" i="16"/>
  <c r="L1837" i="16"/>
  <c r="P1837" i="16" s="1"/>
  <c r="S1807" i="16"/>
  <c r="T1807" i="16" s="1"/>
  <c r="O1807" i="16"/>
  <c r="L1807" i="16"/>
  <c r="P1807" i="16" s="1"/>
  <c r="S1809" i="16"/>
  <c r="T1809" i="16" s="1"/>
  <c r="O1809" i="16"/>
  <c r="S1808" i="16"/>
  <c r="T1808" i="16" s="1"/>
  <c r="O1808" i="16"/>
  <c r="L1808" i="16"/>
  <c r="N1808" i="16" s="1"/>
  <c r="L6" i="16"/>
  <c r="N6" i="16" s="1"/>
  <c r="O1896" i="16"/>
  <c r="L1896" i="16"/>
  <c r="N1896" i="16" s="1"/>
  <c r="O1910" i="16"/>
  <c r="O1911" i="16"/>
  <c r="O1912" i="16"/>
  <c r="O1913" i="16"/>
  <c r="O1914" i="16"/>
  <c r="O1915" i="16"/>
  <c r="O1916" i="16"/>
  <c r="O1917" i="16"/>
  <c r="O1918" i="16"/>
  <c r="O1919" i="16"/>
  <c r="O1920" i="16"/>
  <c r="O1921" i="16"/>
  <c r="O1922" i="16"/>
  <c r="O1923" i="16"/>
  <c r="O1924" i="16"/>
  <c r="O1925" i="16"/>
  <c r="O1926" i="16"/>
  <c r="O1927" i="16"/>
  <c r="O1928" i="16"/>
  <c r="O1929" i="16"/>
  <c r="O1930" i="16"/>
  <c r="O1931" i="16"/>
  <c r="O1932" i="16"/>
  <c r="O1933" i="16"/>
  <c r="O1934" i="16"/>
  <c r="O1935" i="16"/>
  <c r="O1936" i="16"/>
  <c r="O1937" i="16"/>
  <c r="O1938" i="16"/>
  <c r="O1939" i="16"/>
  <c r="O1940" i="16"/>
  <c r="O1941" i="16"/>
  <c r="L1910" i="16"/>
  <c r="N1910" i="16" s="1"/>
  <c r="L1911" i="16"/>
  <c r="N1911" i="16" s="1"/>
  <c r="L1912" i="16"/>
  <c r="N1912" i="16" s="1"/>
  <c r="L1913" i="16"/>
  <c r="P1913" i="16" s="1"/>
  <c r="L1914" i="16"/>
  <c r="N1914" i="16" s="1"/>
  <c r="L1915" i="16"/>
  <c r="P1915" i="16" s="1"/>
  <c r="L1916" i="16"/>
  <c r="P1916" i="16" s="1"/>
  <c r="L1917" i="16"/>
  <c r="N1917" i="16" s="1"/>
  <c r="L1918" i="16"/>
  <c r="N1918" i="16" s="1"/>
  <c r="L1919" i="16"/>
  <c r="N1919" i="16" s="1"/>
  <c r="L1920" i="16"/>
  <c r="N1920" i="16" s="1"/>
  <c r="L1921" i="16"/>
  <c r="P1921" i="16" s="1"/>
  <c r="L1922" i="16"/>
  <c r="N1922" i="16" s="1"/>
  <c r="L1923" i="16"/>
  <c r="N1923" i="16" s="1"/>
  <c r="L1924" i="16"/>
  <c r="N1924" i="16" s="1"/>
  <c r="L1925" i="16"/>
  <c r="N1925" i="16" s="1"/>
  <c r="L1926" i="16"/>
  <c r="P1926" i="16" s="1"/>
  <c r="L1927" i="16"/>
  <c r="N1927" i="16" s="1"/>
  <c r="L1928" i="16"/>
  <c r="N1928" i="16" s="1"/>
  <c r="L1929" i="16"/>
  <c r="P1929" i="16" s="1"/>
  <c r="L1930" i="16"/>
  <c r="N1930" i="16" s="1"/>
  <c r="L1931" i="16"/>
  <c r="N1931" i="16" s="1"/>
  <c r="L1932" i="16"/>
  <c r="P1932" i="16" s="1"/>
  <c r="L1933" i="16"/>
  <c r="N1933" i="16" s="1"/>
  <c r="L1934" i="16"/>
  <c r="N1934" i="16" s="1"/>
  <c r="L1935" i="16"/>
  <c r="N1935" i="16" s="1"/>
  <c r="L1936" i="16"/>
  <c r="P1936" i="16" s="1"/>
  <c r="L1937" i="16"/>
  <c r="N1937" i="16" s="1"/>
  <c r="L1938" i="16"/>
  <c r="N1938" i="16" s="1"/>
  <c r="L1939" i="16"/>
  <c r="P1939" i="16" s="1"/>
  <c r="L1940" i="16"/>
  <c r="N1940" i="16" s="1"/>
  <c r="L1941" i="16"/>
  <c r="P1941" i="16" s="1"/>
  <c r="S674" i="16"/>
  <c r="T674" i="16" s="1"/>
  <c r="O674" i="16"/>
  <c r="L674" i="16"/>
  <c r="N674" i="16" s="1"/>
  <c r="S1335" i="16"/>
  <c r="T1335" i="16" s="1"/>
  <c r="O1335" i="16"/>
  <c r="L1335" i="16"/>
  <c r="N1335" i="16" s="1"/>
  <c r="S258" i="16"/>
  <c r="T258" i="16" s="1"/>
  <c r="O258" i="16"/>
  <c r="L258" i="16"/>
  <c r="P258" i="16" s="1"/>
  <c r="S256" i="16"/>
  <c r="T256" i="16" s="1"/>
  <c r="O256" i="16"/>
  <c r="L256" i="16"/>
  <c r="N256" i="16" s="1"/>
  <c r="S1790" i="16"/>
  <c r="T1790" i="16" s="1"/>
  <c r="O1790" i="16"/>
  <c r="L1790" i="16"/>
  <c r="P1790" i="16" s="1"/>
  <c r="S1136" i="16"/>
  <c r="T1136" i="16" s="1"/>
  <c r="O1136" i="16"/>
  <c r="L1136" i="16"/>
  <c r="N1136" i="16" s="1"/>
  <c r="O1897" i="16"/>
  <c r="O1898" i="16"/>
  <c r="O1899" i="16"/>
  <c r="O1900" i="16"/>
  <c r="O1901" i="16"/>
  <c r="O1902" i="16"/>
  <c r="O1903" i="16"/>
  <c r="O1904" i="16"/>
  <c r="O1905" i="16"/>
  <c r="O1906" i="16"/>
  <c r="O1907" i="16"/>
  <c r="O1908" i="16"/>
  <c r="O1942" i="16"/>
  <c r="O1943" i="16"/>
  <c r="O1944" i="16"/>
  <c r="O1945" i="16"/>
  <c r="O1946" i="16"/>
  <c r="O1947" i="16"/>
  <c r="O1948" i="16"/>
  <c r="O1949" i="16"/>
  <c r="L1894" i="16"/>
  <c r="L1895" i="16"/>
  <c r="N1895" i="16" s="1"/>
  <c r="L1897" i="16"/>
  <c r="N1897" i="16" s="1"/>
  <c r="L1898" i="16"/>
  <c r="N1898" i="16" s="1"/>
  <c r="L1899" i="16"/>
  <c r="N1899" i="16" s="1"/>
  <c r="L1900" i="16"/>
  <c r="P1900" i="16" s="1"/>
  <c r="L1901" i="16"/>
  <c r="N1901" i="16" s="1"/>
  <c r="L1902" i="16"/>
  <c r="N1902" i="16" s="1"/>
  <c r="L1903" i="16"/>
  <c r="P1903" i="16" s="1"/>
  <c r="L1904" i="16"/>
  <c r="P1904" i="16" s="1"/>
  <c r="L1905" i="16"/>
  <c r="N1905" i="16" s="1"/>
  <c r="L1906" i="16"/>
  <c r="P1906" i="16" s="1"/>
  <c r="L1907" i="16"/>
  <c r="N1907" i="16" s="1"/>
  <c r="L1908" i="16"/>
  <c r="P1908" i="16" s="1"/>
  <c r="L1942" i="16"/>
  <c r="N1942" i="16" s="1"/>
  <c r="L1943" i="16"/>
  <c r="N1943" i="16" s="1"/>
  <c r="L1944" i="16"/>
  <c r="P1944" i="16" s="1"/>
  <c r="S1446" i="16"/>
  <c r="T1446" i="16" s="1"/>
  <c r="O1446" i="16"/>
  <c r="L1446" i="16"/>
  <c r="P1446" i="16" s="1"/>
  <c r="S1444" i="16"/>
  <c r="T1444" i="16" s="1"/>
  <c r="O1444" i="16"/>
  <c r="N1444" i="16"/>
  <c r="AD1748" i="16"/>
  <c r="AE1748" i="16" s="1"/>
  <c r="S1748" i="16"/>
  <c r="T1748" i="16" s="1"/>
  <c r="O1748" i="16"/>
  <c r="L1748" i="16"/>
  <c r="P1748" i="16" s="1"/>
  <c r="AD1747" i="16"/>
  <c r="AE1747" i="16" s="1"/>
  <c r="S1747" i="16"/>
  <c r="T1747" i="16" s="1"/>
  <c r="O1747" i="16"/>
  <c r="L1747" i="16"/>
  <c r="P1747" i="16" s="1"/>
  <c r="S113" i="16"/>
  <c r="T113" i="16" s="1"/>
  <c r="O113" i="16"/>
  <c r="L113" i="16"/>
  <c r="N113" i="16" s="1"/>
  <c r="S1895" i="16"/>
  <c r="T1895" i="16" s="1"/>
  <c r="O1895" i="16"/>
  <c r="S1449" i="16"/>
  <c r="T1449" i="16" s="1"/>
  <c r="O1449" i="16"/>
  <c r="L1449" i="16"/>
  <c r="P1449" i="16" s="1"/>
  <c r="S198" i="16"/>
  <c r="T198" i="16" s="1"/>
  <c r="O198" i="16"/>
  <c r="L198" i="16"/>
  <c r="P198" i="16" s="1"/>
  <c r="S767" i="16"/>
  <c r="T767" i="16" s="1"/>
  <c r="O767" i="16"/>
  <c r="L767" i="16"/>
  <c r="P767" i="16" s="1"/>
  <c r="S1267" i="16"/>
  <c r="T1267" i="16" s="1"/>
  <c r="O1267" i="16"/>
  <c r="L1267" i="16"/>
  <c r="N1267" i="16" s="1"/>
  <c r="S1409" i="16"/>
  <c r="T1409" i="16" s="1"/>
  <c r="O1409" i="16"/>
  <c r="L1409" i="16"/>
  <c r="N1409" i="16" s="1"/>
  <c r="S1319" i="16"/>
  <c r="T1319" i="16" s="1"/>
  <c r="O1319" i="16"/>
  <c r="L1319" i="16"/>
  <c r="P1319" i="16" s="1"/>
  <c r="U1263" i="16"/>
  <c r="S1263" i="16" s="1"/>
  <c r="T1263" i="16" s="1"/>
  <c r="O1263" i="16"/>
  <c r="L1263" i="16"/>
  <c r="P1263" i="16" s="1"/>
  <c r="S1324" i="16"/>
  <c r="T1324" i="16" s="1"/>
  <c r="O1324" i="16"/>
  <c r="L1324" i="16"/>
  <c r="N1324" i="16" s="1"/>
  <c r="U1308" i="16"/>
  <c r="S1308" i="16" s="1"/>
  <c r="T1308" i="16" s="1"/>
  <c r="O1308" i="16"/>
  <c r="L1308" i="16"/>
  <c r="N1308" i="16" s="1"/>
  <c r="S1158" i="16"/>
  <c r="T1158" i="16" s="1"/>
  <c r="O1158" i="16"/>
  <c r="L1158" i="16"/>
  <c r="P1158" i="16" s="1"/>
  <c r="S808" i="16"/>
  <c r="T808" i="16" s="1"/>
  <c r="O808" i="16"/>
  <c r="L808" i="16"/>
  <c r="P808" i="16" s="1"/>
  <c r="S569" i="16"/>
  <c r="T569" i="16" s="1"/>
  <c r="O569" i="16"/>
  <c r="L569" i="16"/>
  <c r="N569" i="16" s="1"/>
  <c r="S577" i="16"/>
  <c r="T577" i="16" s="1"/>
  <c r="O577" i="16"/>
  <c r="L577" i="16"/>
  <c r="N577" i="16" s="1"/>
  <c r="AD550" i="16"/>
  <c r="AE550" i="16" s="1"/>
  <c r="S550" i="16"/>
  <c r="T550" i="16" s="1"/>
  <c r="O550" i="16"/>
  <c r="L550" i="16"/>
  <c r="P550" i="16" s="1"/>
  <c r="S169" i="16"/>
  <c r="T169" i="16" s="1"/>
  <c r="O169" i="16"/>
  <c r="L169" i="16"/>
  <c r="N169" i="16" s="1"/>
  <c r="S282" i="16"/>
  <c r="T282" i="16" s="1"/>
  <c r="O282" i="16"/>
  <c r="L282" i="16"/>
  <c r="P282" i="16" s="1"/>
  <c r="S997" i="16"/>
  <c r="T997" i="16" s="1"/>
  <c r="O997" i="16"/>
  <c r="L997" i="16"/>
  <c r="P997" i="16" s="1"/>
  <c r="S422" i="16"/>
  <c r="T422" i="16" s="1"/>
  <c r="O422" i="16"/>
  <c r="L422" i="16"/>
  <c r="N422" i="16" s="1"/>
  <c r="S248" i="16"/>
  <c r="T248" i="16" s="1"/>
  <c r="O248" i="16"/>
  <c r="L248" i="16"/>
  <c r="P248" i="16" s="1"/>
  <c r="S32" i="16"/>
  <c r="T32" i="16" s="1"/>
  <c r="O32" i="16"/>
  <c r="L32" i="16"/>
  <c r="P32" i="16" s="1"/>
  <c r="S36" i="16"/>
  <c r="T36" i="16" s="1"/>
  <c r="O36" i="16"/>
  <c r="L36" i="16"/>
  <c r="P36" i="16" s="1"/>
  <c r="S34" i="16"/>
  <c r="T34" i="16" s="1"/>
  <c r="O34" i="16"/>
  <c r="L34" i="16"/>
  <c r="P34" i="16" s="1"/>
  <c r="S1095" i="16"/>
  <c r="T1095" i="16" s="1"/>
  <c r="O1095" i="16"/>
  <c r="L1095" i="16"/>
  <c r="N1095" i="16" s="1"/>
  <c r="S1083" i="16"/>
  <c r="T1083" i="16" s="1"/>
  <c r="O1083" i="16"/>
  <c r="L1083" i="16"/>
  <c r="P1083" i="16" s="1"/>
  <c r="S824" i="16"/>
  <c r="T824" i="16" s="1"/>
  <c r="O824" i="16"/>
  <c r="L824" i="16"/>
  <c r="P824" i="16" s="1"/>
  <c r="S867" i="16"/>
  <c r="T867" i="16" s="1"/>
  <c r="O867" i="16"/>
  <c r="L867" i="16"/>
  <c r="N867" i="16" s="1"/>
  <c r="S840" i="16"/>
  <c r="T840" i="16" s="1"/>
  <c r="O840" i="16"/>
  <c r="L840" i="16"/>
  <c r="P840" i="16" s="1"/>
  <c r="S811" i="16"/>
  <c r="T811" i="16" s="1"/>
  <c r="O811" i="16"/>
  <c r="L811" i="16"/>
  <c r="N811" i="16" s="1"/>
  <c r="S6" i="16"/>
  <c r="T6" i="16" s="1"/>
  <c r="O6" i="16"/>
  <c r="S15" i="16"/>
  <c r="T15" i="16" s="1"/>
  <c r="O15" i="16"/>
  <c r="L15" i="16"/>
  <c r="N15" i="16" s="1"/>
  <c r="S417" i="16"/>
  <c r="T417" i="16" s="1"/>
  <c r="O417" i="16"/>
  <c r="L417" i="16"/>
  <c r="P417" i="16" s="1"/>
  <c r="AD616" i="16"/>
  <c r="AE616" i="16" s="1"/>
  <c r="S616" i="16"/>
  <c r="T616" i="16" s="1"/>
  <c r="O616" i="16"/>
  <c r="L616" i="16"/>
  <c r="P616" i="16" s="1"/>
  <c r="S185" i="16"/>
  <c r="T185" i="16" s="1"/>
  <c r="O185" i="16"/>
  <c r="L185" i="16"/>
  <c r="P185" i="16" s="1"/>
  <c r="S25" i="16"/>
  <c r="T25" i="16" s="1"/>
  <c r="O25" i="16"/>
  <c r="L25" i="16"/>
  <c r="N25" i="16" s="1"/>
  <c r="S22" i="16"/>
  <c r="T22" i="16" s="1"/>
  <c r="O22" i="16"/>
  <c r="L22" i="16"/>
  <c r="N22" i="16" s="1"/>
  <c r="S20" i="16"/>
  <c r="T20" i="16" s="1"/>
  <c r="O20" i="16"/>
  <c r="L20" i="16"/>
  <c r="P20" i="16" s="1"/>
  <c r="AD47" i="16"/>
  <c r="AE47" i="16" s="1"/>
  <c r="S47" i="16"/>
  <c r="T47" i="16" s="1"/>
  <c r="O47" i="16"/>
  <c r="L47" i="16"/>
  <c r="P47" i="16" s="1"/>
  <c r="O1052" i="16"/>
  <c r="O1053" i="16"/>
  <c r="O1054" i="16"/>
  <c r="O1055" i="16"/>
  <c r="O1056" i="16"/>
  <c r="O1057" i="16"/>
  <c r="O1058" i="16"/>
  <c r="O1059" i="16"/>
  <c r="O1060" i="16"/>
  <c r="O1061" i="16"/>
  <c r="O1062" i="16"/>
  <c r="O1063" i="16"/>
  <c r="O1064" i="16"/>
  <c r="O1065" i="16"/>
  <c r="O1066" i="16"/>
  <c r="O1067" i="16"/>
  <c r="O1068" i="16"/>
  <c r="O1069" i="16"/>
  <c r="O1070" i="16"/>
  <c r="O1071" i="16"/>
  <c r="O1072" i="16"/>
  <c r="O1073" i="16"/>
  <c r="O1074" i="16"/>
  <c r="O1075" i="16"/>
  <c r="O1076" i="16"/>
  <c r="O1077" i="16"/>
  <c r="O1078" i="16"/>
  <c r="O1079" i="16"/>
  <c r="O1080" i="16"/>
  <c r="O1081" i="16"/>
  <c r="O1082" i="16"/>
  <c r="O1084" i="16"/>
  <c r="O1085" i="16"/>
  <c r="O1086" i="16"/>
  <c r="O1087" i="16"/>
  <c r="O1088" i="16"/>
  <c r="O1089" i="16"/>
  <c r="O1090" i="16"/>
  <c r="O1091" i="16"/>
  <c r="O1092" i="16"/>
  <c r="O1093" i="16"/>
  <c r="O1094" i="16"/>
  <c r="O1096" i="16"/>
  <c r="O1097" i="16"/>
  <c r="O1098" i="16"/>
  <c r="O1099" i="16"/>
  <c r="O1100" i="16"/>
  <c r="O1101" i="16"/>
  <c r="L1052" i="16"/>
  <c r="N1052" i="16" s="1"/>
  <c r="L1053" i="16"/>
  <c r="N1053" i="16" s="1"/>
  <c r="L1054" i="16"/>
  <c r="N1054" i="16" s="1"/>
  <c r="L1055" i="16"/>
  <c r="N1055" i="16" s="1"/>
  <c r="Q1055" i="16" s="1"/>
  <c r="L1056" i="16"/>
  <c r="N1056" i="16" s="1"/>
  <c r="L1057" i="16"/>
  <c r="N1057" i="16" s="1"/>
  <c r="L1058" i="16"/>
  <c r="N1058" i="16" s="1"/>
  <c r="Q1058" i="16" s="1"/>
  <c r="L1059" i="16"/>
  <c r="N1059" i="16" s="1"/>
  <c r="L1060" i="16"/>
  <c r="N1060" i="16" s="1"/>
  <c r="L1061" i="16"/>
  <c r="N1061" i="16" s="1"/>
  <c r="L1062" i="16"/>
  <c r="N1062" i="16" s="1"/>
  <c r="Q1062" i="16" s="1"/>
  <c r="L1063" i="16"/>
  <c r="N1063" i="16" s="1"/>
  <c r="Q1063" i="16" s="1"/>
  <c r="L1064" i="16"/>
  <c r="N1064" i="16" s="1"/>
  <c r="L1065" i="16"/>
  <c r="N1065" i="16" s="1"/>
  <c r="L1066" i="16"/>
  <c r="N1066" i="16" s="1"/>
  <c r="Q1066" i="16" s="1"/>
  <c r="L1067" i="16"/>
  <c r="N1067" i="16" s="1"/>
  <c r="L1068" i="16"/>
  <c r="N1068" i="16" s="1"/>
  <c r="L1069" i="16"/>
  <c r="P1069" i="16" s="1"/>
  <c r="L1070" i="16"/>
  <c r="N1070" i="16" s="1"/>
  <c r="Q1070" i="16" s="1"/>
  <c r="L1071" i="16"/>
  <c r="P1071" i="16" s="1"/>
  <c r="S1435" i="16"/>
  <c r="T1435" i="16" s="1"/>
  <c r="O1435" i="16"/>
  <c r="L1435" i="16"/>
  <c r="N1435" i="16" s="1"/>
  <c r="S1427" i="16"/>
  <c r="T1427" i="16" s="1"/>
  <c r="O1427" i="16"/>
  <c r="L1427" i="16"/>
  <c r="N1427" i="16" s="1"/>
  <c r="S1007" i="16"/>
  <c r="T1007" i="16" s="1"/>
  <c r="O1007" i="16"/>
  <c r="L1007" i="16"/>
  <c r="P1007" i="16" s="1"/>
  <c r="S1006" i="16"/>
  <c r="T1006" i="16" s="1"/>
  <c r="O1006" i="16"/>
  <c r="L1006" i="16"/>
  <c r="P1006" i="16" s="1"/>
  <c r="S779" i="16"/>
  <c r="T779" i="16" s="1"/>
  <c r="O779" i="16"/>
  <c r="L779" i="16"/>
  <c r="P779" i="16" s="1"/>
  <c r="S123" i="16"/>
  <c r="T123" i="16" s="1"/>
  <c r="O123" i="16"/>
  <c r="L123" i="16"/>
  <c r="P123" i="16" s="1"/>
  <c r="S121" i="16"/>
  <c r="T121" i="16" s="1"/>
  <c r="O121" i="16"/>
  <c r="L121" i="16"/>
  <c r="P121" i="16" s="1"/>
  <c r="U115" i="16"/>
  <c r="S115" i="16" s="1"/>
  <c r="T115" i="16" s="1"/>
  <c r="O115" i="16"/>
  <c r="L115" i="16"/>
  <c r="P115" i="16" s="1"/>
  <c r="O666" i="16"/>
  <c r="O667" i="16"/>
  <c r="O668" i="16"/>
  <c r="O669" i="16"/>
  <c r="O670" i="16"/>
  <c r="O671" i="16"/>
  <c r="O672" i="16"/>
  <c r="O673" i="16"/>
  <c r="L667" i="16"/>
  <c r="N667" i="16" s="1"/>
  <c r="L668" i="16"/>
  <c r="N668" i="16" s="1"/>
  <c r="L669" i="16"/>
  <c r="P669" i="16" s="1"/>
  <c r="L670" i="16"/>
  <c r="N670" i="16" s="1"/>
  <c r="L671" i="16"/>
  <c r="N671" i="16" s="1"/>
  <c r="Q1065" i="16" l="1"/>
  <c r="Q1053" i="16"/>
  <c r="Q1067" i="16"/>
  <c r="Q1061" i="16"/>
  <c r="Q1054" i="16"/>
  <c r="Q1068" i="16"/>
  <c r="Q1064" i="16"/>
  <c r="Q1818" i="16"/>
  <c r="H2064" i="16"/>
  <c r="Q1817" i="16"/>
  <c r="N1819" i="16"/>
  <c r="Q1819" i="16" s="1"/>
  <c r="N1820" i="16"/>
  <c r="Q1820" i="16" s="1"/>
  <c r="P1818" i="16"/>
  <c r="P1817" i="16"/>
  <c r="N238" i="16"/>
  <c r="Q238" i="16" s="1"/>
  <c r="Q1896" i="16"/>
  <c r="P1940" i="16"/>
  <c r="Q1912" i="16"/>
  <c r="Q1928" i="16"/>
  <c r="Q1925" i="16"/>
  <c r="Q1922" i="16"/>
  <c r="Q1910" i="16"/>
  <c r="Q1808" i="16"/>
  <c r="N1838" i="16"/>
  <c r="Q1838" i="16" s="1"/>
  <c r="N1932" i="16"/>
  <c r="Q1932" i="16" s="1"/>
  <c r="N1941" i="16"/>
  <c r="Q1941" i="16" s="1"/>
  <c r="P1931" i="16"/>
  <c r="N1837" i="16"/>
  <c r="Q1837" i="16" s="1"/>
  <c r="N1807" i="16"/>
  <c r="Q1807" i="16" s="1"/>
  <c r="Q1924" i="16"/>
  <c r="Q1923" i="16"/>
  <c r="Q1918" i="16"/>
  <c r="Q1917" i="16"/>
  <c r="Q1937" i="16"/>
  <c r="N1915" i="16"/>
  <c r="Q1915" i="16" s="1"/>
  <c r="Q1911" i="16"/>
  <c r="N1809" i="16"/>
  <c r="Q1809" i="16" s="1"/>
  <c r="N1916" i="16"/>
  <c r="Q1916" i="16" s="1"/>
  <c r="P1808" i="16"/>
  <c r="Q1933" i="16"/>
  <c r="P1919" i="16"/>
  <c r="P1928" i="16"/>
  <c r="Q1935" i="16"/>
  <c r="Q1934" i="16"/>
  <c r="Q1930" i="16"/>
  <c r="P1938" i="16"/>
  <c r="P1914" i="16"/>
  <c r="N1926" i="16"/>
  <c r="Q1926" i="16" s="1"/>
  <c r="Q1919" i="16"/>
  <c r="P1937" i="16"/>
  <c r="P1925" i="16"/>
  <c r="P1918" i="16"/>
  <c r="N1913" i="16"/>
  <c r="Q1913" i="16" s="1"/>
  <c r="Q674" i="16"/>
  <c r="Q1920" i="16"/>
  <c r="N1929" i="16"/>
  <c r="Q1929" i="16" s="1"/>
  <c r="Q1931" i="16"/>
  <c r="P1922" i="16"/>
  <c r="Q1940" i="16"/>
  <c r="Q1927" i="16"/>
  <c r="N1939" i="16"/>
  <c r="Q1939" i="16" s="1"/>
  <c r="P1927" i="16"/>
  <c r="P1896" i="16"/>
  <c r="P1935" i="16"/>
  <c r="P1934" i="16"/>
  <c r="P1924" i="16"/>
  <c r="N1921" i="16"/>
  <c r="Q1921" i="16" s="1"/>
  <c r="P1917" i="16"/>
  <c r="P1930" i="16"/>
  <c r="P1920" i="16"/>
  <c r="P1933" i="16"/>
  <c r="P1923" i="16"/>
  <c r="P1910" i="16"/>
  <c r="N1936" i="16"/>
  <c r="Q1936" i="16" s="1"/>
  <c r="P1912" i="16"/>
  <c r="P1911" i="16"/>
  <c r="Q1914" i="16"/>
  <c r="Q1938" i="16"/>
  <c r="Q256" i="16"/>
  <c r="P674" i="16"/>
  <c r="Q1335" i="16"/>
  <c r="P1335" i="16"/>
  <c r="P1942" i="16"/>
  <c r="Q1136" i="16"/>
  <c r="N258" i="16"/>
  <c r="Q258" i="16" s="1"/>
  <c r="P256" i="16"/>
  <c r="Q113" i="16"/>
  <c r="N1790" i="16"/>
  <c r="Q1790" i="16" s="1"/>
  <c r="Q1899" i="16"/>
  <c r="Q1898" i="16"/>
  <c r="Q1897" i="16"/>
  <c r="N1900" i="16"/>
  <c r="Q1900" i="16" s="1"/>
  <c r="N1906" i="16"/>
  <c r="Q1906" i="16" s="1"/>
  <c r="Q1942" i="16"/>
  <c r="P1899" i="16"/>
  <c r="Q1902" i="16"/>
  <c r="N1908" i="16"/>
  <c r="Q1908" i="16" s="1"/>
  <c r="P1907" i="16"/>
  <c r="Q1901" i="16"/>
  <c r="Q1907" i="16"/>
  <c r="N1903" i="16"/>
  <c r="Q1903" i="16" s="1"/>
  <c r="Q1943" i="16"/>
  <c r="P1898" i="16"/>
  <c r="Q1444" i="16"/>
  <c r="Q1905" i="16"/>
  <c r="P1136" i="16"/>
  <c r="P1902" i="16"/>
  <c r="P1901" i="16"/>
  <c r="P1943" i="16"/>
  <c r="N1904" i="16"/>
  <c r="Q1904" i="16" s="1"/>
  <c r="P1897" i="16"/>
  <c r="P1905" i="16"/>
  <c r="N1944" i="16"/>
  <c r="Q1944" i="16" s="1"/>
  <c r="Q1895" i="16"/>
  <c r="N1446" i="16"/>
  <c r="Q1446" i="16" s="1"/>
  <c r="Q1057" i="16"/>
  <c r="P1444" i="16"/>
  <c r="N1748" i="16"/>
  <c r="Q1748" i="16" s="1"/>
  <c r="N1747" i="16"/>
  <c r="Q1747" i="16" s="1"/>
  <c r="P113" i="16"/>
  <c r="Q1308" i="16"/>
  <c r="Q1409" i="16"/>
  <c r="P1895" i="16"/>
  <c r="N1449" i="16"/>
  <c r="Q1449" i="16" s="1"/>
  <c r="N198" i="16"/>
  <c r="Q198" i="16" s="1"/>
  <c r="N767" i="16"/>
  <c r="Q767" i="16" s="1"/>
  <c r="Q1324" i="16"/>
  <c r="Q1267" i="16"/>
  <c r="P1267" i="16"/>
  <c r="P1409" i="16"/>
  <c r="N1319" i="16"/>
  <c r="Q1319" i="16" s="1"/>
  <c r="N1263" i="16"/>
  <c r="Q1263" i="16" s="1"/>
  <c r="P1324" i="16"/>
  <c r="P1308" i="16"/>
  <c r="N1158" i="16"/>
  <c r="Q1158" i="16" s="1"/>
  <c r="N808" i="16"/>
  <c r="Q808" i="16" s="1"/>
  <c r="Q569" i="16"/>
  <c r="Q169" i="16"/>
  <c r="P569" i="16"/>
  <c r="Q577" i="16"/>
  <c r="P577" i="16"/>
  <c r="N550" i="16"/>
  <c r="Q550" i="16" s="1"/>
  <c r="Q1052" i="16"/>
  <c r="P169" i="16"/>
  <c r="N282" i="16"/>
  <c r="Q282" i="16" s="1"/>
  <c r="N997" i="16"/>
  <c r="Q997" i="16" s="1"/>
  <c r="P422" i="16"/>
  <c r="Q422" i="16"/>
  <c r="N248" i="16"/>
  <c r="Q248" i="16" s="1"/>
  <c r="N32" i="16"/>
  <c r="Q32" i="16" s="1"/>
  <c r="N36" i="16"/>
  <c r="Q36" i="16" s="1"/>
  <c r="N34" i="16"/>
  <c r="Q34" i="16" s="1"/>
  <c r="Q1095" i="16"/>
  <c r="P1095" i="16"/>
  <c r="Q811" i="16"/>
  <c r="N1083" i="16"/>
  <c r="Q1083" i="16" s="1"/>
  <c r="Q867" i="16"/>
  <c r="N824" i="16"/>
  <c r="Q824" i="16" s="1"/>
  <c r="P867" i="16"/>
  <c r="N840" i="16"/>
  <c r="Q840" i="16" s="1"/>
  <c r="P811" i="16"/>
  <c r="Q6" i="16"/>
  <c r="Q15" i="16"/>
  <c r="P6" i="16"/>
  <c r="P15" i="16"/>
  <c r="Q25" i="16"/>
  <c r="N417" i="16"/>
  <c r="Q417" i="16" s="1"/>
  <c r="N616" i="16"/>
  <c r="Q616" i="16" s="1"/>
  <c r="N185" i="16"/>
  <c r="Q185" i="16" s="1"/>
  <c r="Q22" i="16"/>
  <c r="P25" i="16"/>
  <c r="P22" i="16"/>
  <c r="N20" i="16"/>
  <c r="Q20" i="16" s="1"/>
  <c r="Q1427" i="16"/>
  <c r="N47" i="16"/>
  <c r="Q47" i="16" s="1"/>
  <c r="Q1056" i="16"/>
  <c r="P1060" i="16"/>
  <c r="P1068" i="16"/>
  <c r="P1056" i="16"/>
  <c r="Q1060" i="16"/>
  <c r="N1069" i="16"/>
  <c r="Q1069" i="16" s="1"/>
  <c r="P1057" i="16"/>
  <c r="Q1059" i="16"/>
  <c r="P1066" i="16"/>
  <c r="P1053" i="16"/>
  <c r="P1054" i="16"/>
  <c r="P1065" i="16"/>
  <c r="P1063" i="16"/>
  <c r="P1062" i="16"/>
  <c r="P1070" i="16"/>
  <c r="P1067" i="16"/>
  <c r="P1064" i="16"/>
  <c r="P1061" i="16"/>
  <c r="P1058" i="16"/>
  <c r="P1055" i="16"/>
  <c r="P1052" i="16"/>
  <c r="N1071" i="16"/>
  <c r="Q1071" i="16" s="1"/>
  <c r="P1059" i="16"/>
  <c r="Q1435" i="16"/>
  <c r="P1435" i="16"/>
  <c r="P1427" i="16"/>
  <c r="N1007" i="16"/>
  <c r="Q1007" i="16" s="1"/>
  <c r="N1006" i="16"/>
  <c r="Q1006" i="16" s="1"/>
  <c r="N779" i="16"/>
  <c r="Q779" i="16" s="1"/>
  <c r="N123" i="16"/>
  <c r="Q123" i="16" s="1"/>
  <c r="N121" i="16"/>
  <c r="Q121" i="16" s="1"/>
  <c r="Q667" i="16"/>
  <c r="Q670" i="16"/>
  <c r="N115" i="16"/>
  <c r="Q115" i="16" s="1"/>
  <c r="Q668" i="16"/>
  <c r="Q671" i="16"/>
  <c r="N669" i="16"/>
  <c r="Q669" i="16" s="1"/>
  <c r="P668" i="16"/>
  <c r="P671" i="16"/>
  <c r="P670" i="16"/>
  <c r="P667" i="16"/>
  <c r="H20" i="21" l="1"/>
  <c r="H19" i="21"/>
  <c r="H31" i="19"/>
  <c r="H18" i="21"/>
  <c r="H17" i="21"/>
  <c r="H51" i="21"/>
  <c r="H15" i="21"/>
  <c r="H16" i="21"/>
  <c r="H30" i="19"/>
  <c r="H29" i="19"/>
  <c r="H23" i="19"/>
  <c r="H24" i="19"/>
  <c r="H25" i="19"/>
  <c r="H13" i="21"/>
  <c r="H12" i="21"/>
  <c r="H11" i="21"/>
  <c r="H5" i="21"/>
  <c r="H6" i="21"/>
  <c r="H7" i="21"/>
  <c r="H8" i="21"/>
  <c r="H9" i="21"/>
  <c r="H10" i="21"/>
  <c r="H14" i="21"/>
  <c r="H4" i="21"/>
  <c r="H19" i="19"/>
  <c r="H20" i="19"/>
  <c r="H21" i="19"/>
  <c r="H22" i="19"/>
  <c r="H26" i="19"/>
  <c r="H27" i="19"/>
  <c r="H28" i="19"/>
  <c r="H32" i="19"/>
  <c r="H33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5" i="19"/>
  <c r="H195" i="18"/>
  <c r="I195" i="18"/>
  <c r="F195" i="18"/>
  <c r="L7" i="16" l="1"/>
  <c r="L1998" i="16"/>
  <c r="L8" i="16"/>
  <c r="L9" i="16"/>
  <c r="L10" i="16"/>
  <c r="L11" i="16"/>
  <c r="L12" i="16"/>
  <c r="L13" i="16"/>
  <c r="L14" i="16"/>
  <c r="L16" i="16"/>
  <c r="L17" i="16"/>
  <c r="L18" i="16"/>
  <c r="L19" i="16"/>
  <c r="L21" i="16"/>
  <c r="L23" i="16"/>
  <c r="L24" i="16"/>
  <c r="L26" i="16"/>
  <c r="L27" i="16"/>
  <c r="L28" i="16"/>
  <c r="L29" i="16"/>
  <c r="L30" i="16"/>
  <c r="L31" i="16"/>
  <c r="L33" i="16"/>
  <c r="L35" i="16"/>
  <c r="L37" i="16"/>
  <c r="L38" i="16"/>
  <c r="L39" i="16"/>
  <c r="L40" i="16"/>
  <c r="L41" i="16"/>
  <c r="L42" i="16"/>
  <c r="L43" i="16"/>
  <c r="L44" i="16"/>
  <c r="L45" i="16"/>
  <c r="L46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N77" i="16" s="1"/>
  <c r="L78" i="16"/>
  <c r="L79" i="16"/>
  <c r="L80" i="16"/>
  <c r="L81" i="16"/>
  <c r="L82" i="16"/>
  <c r="L83" i="16"/>
  <c r="L84" i="16"/>
  <c r="L85" i="16"/>
  <c r="L86" i="16"/>
  <c r="L87" i="16"/>
  <c r="L88" i="16"/>
  <c r="P88" i="16" s="1"/>
  <c r="L89" i="16"/>
  <c r="L90" i="16"/>
  <c r="L91" i="16"/>
  <c r="P91" i="16" s="1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4" i="16"/>
  <c r="L116" i="16"/>
  <c r="L117" i="16"/>
  <c r="L118" i="16"/>
  <c r="L119" i="16"/>
  <c r="L120" i="16"/>
  <c r="L122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70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183" i="16"/>
  <c r="L184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9" i="16"/>
  <c r="L200" i="16"/>
  <c r="L201" i="16"/>
  <c r="L202" i="16"/>
  <c r="L203" i="16"/>
  <c r="L204" i="16"/>
  <c r="L205" i="16"/>
  <c r="L206" i="16"/>
  <c r="L207" i="16"/>
  <c r="L208" i="16"/>
  <c r="L209" i="16"/>
  <c r="L210" i="16"/>
  <c r="L211" i="16"/>
  <c r="L212" i="16"/>
  <c r="L213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28" i="16"/>
  <c r="L229" i="16"/>
  <c r="L230" i="16"/>
  <c r="L231" i="16"/>
  <c r="L232" i="16"/>
  <c r="L235" i="16"/>
  <c r="L236" i="16"/>
  <c r="L237" i="16"/>
  <c r="L239" i="16"/>
  <c r="L240" i="16"/>
  <c r="L241" i="16"/>
  <c r="L242" i="16"/>
  <c r="L243" i="16"/>
  <c r="L244" i="16"/>
  <c r="L245" i="16"/>
  <c r="L246" i="16"/>
  <c r="L247" i="16"/>
  <c r="L249" i="16"/>
  <c r="L250" i="16"/>
  <c r="L251" i="16"/>
  <c r="L252" i="16"/>
  <c r="L253" i="16"/>
  <c r="L254" i="16"/>
  <c r="L255" i="16"/>
  <c r="L257" i="16"/>
  <c r="L259" i="16"/>
  <c r="L260" i="16"/>
  <c r="L261" i="16"/>
  <c r="L262" i="16"/>
  <c r="L263" i="16"/>
  <c r="L264" i="1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345" i="16"/>
  <c r="L346" i="16"/>
  <c r="L347" i="16"/>
  <c r="L348" i="16"/>
  <c r="L349" i="16"/>
  <c r="L350" i="16"/>
  <c r="L351" i="16"/>
  <c r="L352" i="16"/>
  <c r="L353" i="16"/>
  <c r="L354" i="16"/>
  <c r="L355" i="16"/>
  <c r="L356" i="16"/>
  <c r="L357" i="16"/>
  <c r="L358" i="16"/>
  <c r="L359" i="16"/>
  <c r="L360" i="16"/>
  <c r="L361" i="16"/>
  <c r="L363" i="16"/>
  <c r="L364" i="16"/>
  <c r="L365" i="16"/>
  <c r="L366" i="16"/>
  <c r="L367" i="16"/>
  <c r="L368" i="16"/>
  <c r="L369" i="16"/>
  <c r="L370" i="16"/>
  <c r="L371" i="16"/>
  <c r="L372" i="16"/>
  <c r="L373" i="16"/>
  <c r="L374" i="16"/>
  <c r="L375" i="16"/>
  <c r="L376" i="16"/>
  <c r="L377" i="16"/>
  <c r="L378" i="16"/>
  <c r="L379" i="16"/>
  <c r="L380" i="16"/>
  <c r="L381" i="16"/>
  <c r="L382" i="16"/>
  <c r="L383" i="16"/>
  <c r="L384" i="16"/>
  <c r="L385" i="16"/>
  <c r="L386" i="16"/>
  <c r="L387" i="16"/>
  <c r="L388" i="16"/>
  <c r="L389" i="16"/>
  <c r="L390" i="16"/>
  <c r="L391" i="16"/>
  <c r="L392" i="16"/>
  <c r="L393" i="16"/>
  <c r="L394" i="16"/>
  <c r="L395" i="16"/>
  <c r="L396" i="16"/>
  <c r="L397" i="16"/>
  <c r="L398" i="16"/>
  <c r="L399" i="16"/>
  <c r="L400" i="16"/>
  <c r="L401" i="16"/>
  <c r="L402" i="16"/>
  <c r="L403" i="16"/>
  <c r="L404" i="16"/>
  <c r="L405" i="16"/>
  <c r="L406" i="16"/>
  <c r="L407" i="16"/>
  <c r="L408" i="16"/>
  <c r="L409" i="16"/>
  <c r="L410" i="16"/>
  <c r="L411" i="16"/>
  <c r="L412" i="16"/>
  <c r="L413" i="16"/>
  <c r="L414" i="16"/>
  <c r="L415" i="16"/>
  <c r="L416" i="16"/>
  <c r="L418" i="16"/>
  <c r="L419" i="16"/>
  <c r="L420" i="16"/>
  <c r="L421" i="16"/>
  <c r="L423" i="16"/>
  <c r="L424" i="16"/>
  <c r="L425" i="16"/>
  <c r="L426" i="16"/>
  <c r="L427" i="16"/>
  <c r="L428" i="16"/>
  <c r="L429" i="16"/>
  <c r="L430" i="16"/>
  <c r="L431" i="16"/>
  <c r="L432" i="16"/>
  <c r="L433" i="16"/>
  <c r="L435" i="16"/>
  <c r="L436" i="16"/>
  <c r="L437" i="16"/>
  <c r="L438" i="16"/>
  <c r="L439" i="16"/>
  <c r="L440" i="16"/>
  <c r="L441" i="16"/>
  <c r="L442" i="16"/>
  <c r="L443" i="16"/>
  <c r="L444" i="16"/>
  <c r="L445" i="16"/>
  <c r="L446" i="16"/>
  <c r="L447" i="16"/>
  <c r="L448" i="16"/>
  <c r="L449" i="16"/>
  <c r="L450" i="16"/>
  <c r="L451" i="16"/>
  <c r="L452" i="16"/>
  <c r="L453" i="16"/>
  <c r="L454" i="16"/>
  <c r="L455" i="16"/>
  <c r="L456" i="16"/>
  <c r="L457" i="16"/>
  <c r="L458" i="16"/>
  <c r="L459" i="16"/>
  <c r="L460" i="16"/>
  <c r="L461" i="16"/>
  <c r="L462" i="16"/>
  <c r="L463" i="16"/>
  <c r="L464" i="16"/>
  <c r="L465" i="16"/>
  <c r="L466" i="16"/>
  <c r="L467" i="16"/>
  <c r="L468" i="16"/>
  <c r="L469" i="16"/>
  <c r="L470" i="16"/>
  <c r="L471" i="16"/>
  <c r="L472" i="16"/>
  <c r="L473" i="16"/>
  <c r="L474" i="16"/>
  <c r="L475" i="16"/>
  <c r="L476" i="16"/>
  <c r="L477" i="16"/>
  <c r="L478" i="16"/>
  <c r="L479" i="16"/>
  <c r="L480" i="16"/>
  <c r="L481" i="16"/>
  <c r="L482" i="16"/>
  <c r="L483" i="16"/>
  <c r="L484" i="16"/>
  <c r="L485" i="16"/>
  <c r="L486" i="16"/>
  <c r="L487" i="16"/>
  <c r="L488" i="16"/>
  <c r="L489" i="16"/>
  <c r="L490" i="16"/>
  <c r="L491" i="16"/>
  <c r="L492" i="16"/>
  <c r="L493" i="16"/>
  <c r="L494" i="16"/>
  <c r="L495" i="16"/>
  <c r="L496" i="16"/>
  <c r="L497" i="16"/>
  <c r="L498" i="16"/>
  <c r="L499" i="16"/>
  <c r="L500" i="16"/>
  <c r="L501" i="16"/>
  <c r="L502" i="16"/>
  <c r="L503" i="16"/>
  <c r="L504" i="16"/>
  <c r="L505" i="16"/>
  <c r="L506" i="16"/>
  <c r="L507" i="16"/>
  <c r="L508" i="16"/>
  <c r="L509" i="16"/>
  <c r="L510" i="16"/>
  <c r="L511" i="16"/>
  <c r="L512" i="16"/>
  <c r="L513" i="16"/>
  <c r="L514" i="16"/>
  <c r="L515" i="16"/>
  <c r="L516" i="16"/>
  <c r="L517" i="16"/>
  <c r="L518" i="16"/>
  <c r="L519" i="16"/>
  <c r="L520" i="16"/>
  <c r="L521" i="16"/>
  <c r="L522" i="16"/>
  <c r="L523" i="16"/>
  <c r="L524" i="16"/>
  <c r="L525" i="16"/>
  <c r="L526" i="16"/>
  <c r="L527" i="16"/>
  <c r="L528" i="16"/>
  <c r="L529" i="16"/>
  <c r="L530" i="16"/>
  <c r="L531" i="16"/>
  <c r="L532" i="16"/>
  <c r="L533" i="16"/>
  <c r="L534" i="16"/>
  <c r="L535" i="16"/>
  <c r="L536" i="16"/>
  <c r="L537" i="16"/>
  <c r="L538" i="16"/>
  <c r="L539" i="16"/>
  <c r="L540" i="16"/>
  <c r="L541" i="16"/>
  <c r="L542" i="16"/>
  <c r="L543" i="16"/>
  <c r="L545" i="16"/>
  <c r="L546" i="16"/>
  <c r="L547" i="16"/>
  <c r="L548" i="16"/>
  <c r="L549" i="16"/>
  <c r="L551" i="16"/>
  <c r="L552" i="16"/>
  <c r="L553" i="16"/>
  <c r="L554" i="16"/>
  <c r="L555" i="16"/>
  <c r="L556" i="16"/>
  <c r="L557" i="16"/>
  <c r="L558" i="16"/>
  <c r="L559" i="16"/>
  <c r="L560" i="16"/>
  <c r="L561" i="16"/>
  <c r="L562" i="16"/>
  <c r="L563" i="16"/>
  <c r="L564" i="16"/>
  <c r="L565" i="16"/>
  <c r="L566" i="16"/>
  <c r="L567" i="16"/>
  <c r="L568" i="16"/>
  <c r="L570" i="16"/>
  <c r="L571" i="16"/>
  <c r="L572" i="16"/>
  <c r="L573" i="16"/>
  <c r="L574" i="16"/>
  <c r="L575" i="16"/>
  <c r="L576" i="16"/>
  <c r="L578" i="16"/>
  <c r="L579" i="16"/>
  <c r="L580" i="16"/>
  <c r="L581" i="16"/>
  <c r="L582" i="16"/>
  <c r="L583" i="16"/>
  <c r="L584" i="16"/>
  <c r="L585" i="16"/>
  <c r="L586" i="16"/>
  <c r="L587" i="16"/>
  <c r="L588" i="16"/>
  <c r="L589" i="16"/>
  <c r="L590" i="16"/>
  <c r="L591" i="16"/>
  <c r="L592" i="16"/>
  <c r="L593" i="16"/>
  <c r="L594" i="16"/>
  <c r="L595" i="16"/>
  <c r="L596" i="16"/>
  <c r="L597" i="16"/>
  <c r="L599" i="16"/>
  <c r="L600" i="16"/>
  <c r="L602" i="16"/>
  <c r="L603" i="16"/>
  <c r="L604" i="16"/>
  <c r="L605" i="16"/>
  <c r="L606" i="16"/>
  <c r="L607" i="16"/>
  <c r="L608" i="16"/>
  <c r="L609" i="16"/>
  <c r="L610" i="16"/>
  <c r="L611" i="16"/>
  <c r="L612" i="16"/>
  <c r="L613" i="16"/>
  <c r="L614" i="16"/>
  <c r="L615" i="16"/>
  <c r="L617" i="16"/>
  <c r="L618" i="16"/>
  <c r="L619" i="16"/>
  <c r="L620" i="16"/>
  <c r="L621" i="16"/>
  <c r="L622" i="16"/>
  <c r="L623" i="16"/>
  <c r="L624" i="16"/>
  <c r="L625" i="16"/>
  <c r="L626" i="16"/>
  <c r="L627" i="16"/>
  <c r="L628" i="16"/>
  <c r="L629" i="16"/>
  <c r="L630" i="16"/>
  <c r="L631" i="16"/>
  <c r="L632" i="16"/>
  <c r="L633" i="16"/>
  <c r="L634" i="16"/>
  <c r="L635" i="16"/>
  <c r="L636" i="16"/>
  <c r="L637" i="16"/>
  <c r="L638" i="16"/>
  <c r="L639" i="16"/>
  <c r="L640" i="16"/>
  <c r="L641" i="16"/>
  <c r="L642" i="16"/>
  <c r="L643" i="16"/>
  <c r="L644" i="16"/>
  <c r="L645" i="16"/>
  <c r="L646" i="16"/>
  <c r="L647" i="16"/>
  <c r="L648" i="16"/>
  <c r="L649" i="16"/>
  <c r="L650" i="16"/>
  <c r="L651" i="16"/>
  <c r="L652" i="16"/>
  <c r="L653" i="16"/>
  <c r="L654" i="16"/>
  <c r="L655" i="16"/>
  <c r="L656" i="16"/>
  <c r="L657" i="16"/>
  <c r="L658" i="16"/>
  <c r="L659" i="16"/>
  <c r="L660" i="16"/>
  <c r="L661" i="16"/>
  <c r="L662" i="16"/>
  <c r="L663" i="16"/>
  <c r="L664" i="16"/>
  <c r="L665" i="16"/>
  <c r="L666" i="16"/>
  <c r="L672" i="16"/>
  <c r="L673" i="16"/>
  <c r="L675" i="16"/>
  <c r="L676" i="16"/>
  <c r="L677" i="16"/>
  <c r="L678" i="16"/>
  <c r="L679" i="16"/>
  <c r="L680" i="16"/>
  <c r="L681" i="16"/>
  <c r="L682" i="16"/>
  <c r="L683" i="16"/>
  <c r="L684" i="16"/>
  <c r="L685" i="16"/>
  <c r="L686" i="16"/>
  <c r="L687" i="16"/>
  <c r="L688" i="16"/>
  <c r="L689" i="16"/>
  <c r="L690" i="16"/>
  <c r="L691" i="16"/>
  <c r="L692" i="16"/>
  <c r="L693" i="16"/>
  <c r="L694" i="16"/>
  <c r="L695" i="16"/>
  <c r="L696" i="16"/>
  <c r="L697" i="16"/>
  <c r="L698" i="16"/>
  <c r="L699" i="16"/>
  <c r="L700" i="16"/>
  <c r="L701" i="16"/>
  <c r="L702" i="16"/>
  <c r="L703" i="16"/>
  <c r="L704" i="16"/>
  <c r="L705" i="16"/>
  <c r="L706" i="16"/>
  <c r="L707" i="16"/>
  <c r="L708" i="16"/>
  <c r="L709" i="16"/>
  <c r="L710" i="16"/>
  <c r="L711" i="16"/>
  <c r="L712" i="16"/>
  <c r="L713" i="16"/>
  <c r="L714" i="16"/>
  <c r="L715" i="16"/>
  <c r="L716" i="16"/>
  <c r="L717" i="16"/>
  <c r="L718" i="16"/>
  <c r="L719" i="16"/>
  <c r="L720" i="16"/>
  <c r="L721" i="16"/>
  <c r="L722" i="16"/>
  <c r="L723" i="16"/>
  <c r="L724" i="16"/>
  <c r="L725" i="16"/>
  <c r="L726" i="16"/>
  <c r="L727" i="16"/>
  <c r="L728" i="16"/>
  <c r="L729" i="16"/>
  <c r="L730" i="16"/>
  <c r="L731" i="16"/>
  <c r="L732" i="16"/>
  <c r="L733" i="16"/>
  <c r="L734" i="16"/>
  <c r="L735" i="16"/>
  <c r="L736" i="16"/>
  <c r="L737" i="16"/>
  <c r="L738" i="16"/>
  <c r="L739" i="16"/>
  <c r="L740" i="16"/>
  <c r="L741" i="16"/>
  <c r="L742" i="16"/>
  <c r="L743" i="16"/>
  <c r="L744" i="16"/>
  <c r="L745" i="16"/>
  <c r="L746" i="16"/>
  <c r="L747" i="16"/>
  <c r="L748" i="16"/>
  <c r="L749" i="16"/>
  <c r="L750" i="16"/>
  <c r="L751" i="16"/>
  <c r="L752" i="16"/>
  <c r="L753" i="16"/>
  <c r="L754" i="16"/>
  <c r="L755" i="16"/>
  <c r="L756" i="16"/>
  <c r="L757" i="16"/>
  <c r="L758" i="16"/>
  <c r="L759" i="16"/>
  <c r="L760" i="16"/>
  <c r="L761" i="16"/>
  <c r="L762" i="16"/>
  <c r="L763" i="16"/>
  <c r="L764" i="16"/>
  <c r="L765" i="16"/>
  <c r="L766" i="16"/>
  <c r="L768" i="16"/>
  <c r="L769" i="16"/>
  <c r="L770" i="16"/>
  <c r="L771" i="16"/>
  <c r="L772" i="16"/>
  <c r="L773" i="16"/>
  <c r="L774" i="16"/>
  <c r="L775" i="16"/>
  <c r="L776" i="16"/>
  <c r="L777" i="16"/>
  <c r="L778" i="16"/>
  <c r="L780" i="16"/>
  <c r="L781" i="16"/>
  <c r="L782" i="16"/>
  <c r="L783" i="16"/>
  <c r="L784" i="16"/>
  <c r="L785" i="16"/>
  <c r="L786" i="16"/>
  <c r="L787" i="16"/>
  <c r="L788" i="16"/>
  <c r="L789" i="16"/>
  <c r="L790" i="16"/>
  <c r="L791" i="16"/>
  <c r="L792" i="16"/>
  <c r="L793" i="16"/>
  <c r="L794" i="16"/>
  <c r="L795" i="16"/>
  <c r="L796" i="16"/>
  <c r="L797" i="16"/>
  <c r="L798" i="16"/>
  <c r="L799" i="16"/>
  <c r="L800" i="16"/>
  <c r="L801" i="16"/>
  <c r="L802" i="16"/>
  <c r="L803" i="16"/>
  <c r="L804" i="16"/>
  <c r="L805" i="16"/>
  <c r="L806" i="16"/>
  <c r="L807" i="16"/>
  <c r="L809" i="16"/>
  <c r="L810" i="16"/>
  <c r="L812" i="16"/>
  <c r="L813" i="16"/>
  <c r="L815" i="16"/>
  <c r="L816" i="16"/>
  <c r="L817" i="16"/>
  <c r="L818" i="16"/>
  <c r="L819" i="16"/>
  <c r="L820" i="16"/>
  <c r="L821" i="16"/>
  <c r="L822" i="16"/>
  <c r="L823" i="16"/>
  <c r="L825" i="16"/>
  <c r="L826" i="16"/>
  <c r="L827" i="16"/>
  <c r="L828" i="16"/>
  <c r="L829" i="16"/>
  <c r="L830" i="16"/>
  <c r="L831" i="16"/>
  <c r="L832" i="16"/>
  <c r="L833" i="16"/>
  <c r="L834" i="16"/>
  <c r="L835" i="16"/>
  <c r="L836" i="16"/>
  <c r="L837" i="16"/>
  <c r="L838" i="16"/>
  <c r="L839" i="16"/>
  <c r="L841" i="16"/>
  <c r="L842" i="16"/>
  <c r="L843" i="16"/>
  <c r="L844" i="16"/>
  <c r="L845" i="16"/>
  <c r="L846" i="16"/>
  <c r="L847" i="16"/>
  <c r="L848" i="16"/>
  <c r="L849" i="16"/>
  <c r="L850" i="16"/>
  <c r="L851" i="16"/>
  <c r="L852" i="16"/>
  <c r="L853" i="16"/>
  <c r="L854" i="16"/>
  <c r="L855" i="16"/>
  <c r="L856" i="16"/>
  <c r="L857" i="16"/>
  <c r="L858" i="16"/>
  <c r="L859" i="16"/>
  <c r="L860" i="16"/>
  <c r="L861" i="16"/>
  <c r="L862" i="16"/>
  <c r="L863" i="16"/>
  <c r="L864" i="16"/>
  <c r="L865" i="16"/>
  <c r="L866" i="16"/>
  <c r="L868" i="16"/>
  <c r="L869" i="16"/>
  <c r="L870" i="16"/>
  <c r="L871" i="16"/>
  <c r="L872" i="16"/>
  <c r="L873" i="16"/>
  <c r="L874" i="16"/>
  <c r="L875" i="16"/>
  <c r="L876" i="16"/>
  <c r="L877" i="16"/>
  <c r="L878" i="16"/>
  <c r="L879" i="16"/>
  <c r="L880" i="16"/>
  <c r="L881" i="16"/>
  <c r="L882" i="16"/>
  <c r="L883" i="16"/>
  <c r="L884" i="16"/>
  <c r="L885" i="16"/>
  <c r="L886" i="16"/>
  <c r="L887" i="16"/>
  <c r="L888" i="16"/>
  <c r="L889" i="16"/>
  <c r="L890" i="16"/>
  <c r="L891" i="16"/>
  <c r="L892" i="16"/>
  <c r="L893" i="16"/>
  <c r="L894" i="16"/>
  <c r="L895" i="16"/>
  <c r="L896" i="16"/>
  <c r="L897" i="16"/>
  <c r="L898" i="16"/>
  <c r="L899" i="16"/>
  <c r="L900" i="16"/>
  <c r="L901" i="16"/>
  <c r="L902" i="16"/>
  <c r="L903" i="16"/>
  <c r="L904" i="16"/>
  <c r="L905" i="16"/>
  <c r="L906" i="16"/>
  <c r="L907" i="16"/>
  <c r="L908" i="16"/>
  <c r="L909" i="16"/>
  <c r="L910" i="16"/>
  <c r="L911" i="16"/>
  <c r="L912" i="16"/>
  <c r="L913" i="16"/>
  <c r="L914" i="16"/>
  <c r="L915" i="16"/>
  <c r="L916" i="16"/>
  <c r="L917" i="16"/>
  <c r="L918" i="16"/>
  <c r="L919" i="16"/>
  <c r="L920" i="16"/>
  <c r="L921" i="16"/>
  <c r="L922" i="16"/>
  <c r="L923" i="16"/>
  <c r="L924" i="16"/>
  <c r="L925" i="16"/>
  <c r="L926" i="16"/>
  <c r="L927" i="16"/>
  <c r="L928" i="16"/>
  <c r="L929" i="16"/>
  <c r="L930" i="16"/>
  <c r="L931" i="16"/>
  <c r="L932" i="16"/>
  <c r="L933" i="16"/>
  <c r="L934" i="16"/>
  <c r="L935" i="16"/>
  <c r="L936" i="16"/>
  <c r="L937" i="16"/>
  <c r="L938" i="16"/>
  <c r="L939" i="16"/>
  <c r="L940" i="16"/>
  <c r="L941" i="16"/>
  <c r="L942" i="16"/>
  <c r="L943" i="16"/>
  <c r="L944" i="16"/>
  <c r="L945" i="16"/>
  <c r="L946" i="16"/>
  <c r="L947" i="16"/>
  <c r="L948" i="16"/>
  <c r="L949" i="16"/>
  <c r="L950" i="16"/>
  <c r="L951" i="16"/>
  <c r="L952" i="16"/>
  <c r="L953" i="16"/>
  <c r="L954" i="16"/>
  <c r="L955" i="16"/>
  <c r="L956" i="16"/>
  <c r="L957" i="16"/>
  <c r="L958" i="16"/>
  <c r="L959" i="16"/>
  <c r="L960" i="16"/>
  <c r="L961" i="16"/>
  <c r="L962" i="16"/>
  <c r="L963" i="16"/>
  <c r="L964" i="16"/>
  <c r="L965" i="16"/>
  <c r="L966" i="16"/>
  <c r="L967" i="16"/>
  <c r="L968" i="16"/>
  <c r="L969" i="16"/>
  <c r="L970" i="16"/>
  <c r="L971" i="16"/>
  <c r="L972" i="16"/>
  <c r="L973" i="16"/>
  <c r="L974" i="16"/>
  <c r="L975" i="16"/>
  <c r="L976" i="16"/>
  <c r="L977" i="16"/>
  <c r="L978" i="16"/>
  <c r="L979" i="16"/>
  <c r="L980" i="16"/>
  <c r="L981" i="16"/>
  <c r="L982" i="16"/>
  <c r="L983" i="16"/>
  <c r="L984" i="16"/>
  <c r="L985" i="16"/>
  <c r="L986" i="16"/>
  <c r="L987" i="16"/>
  <c r="L988" i="16"/>
  <c r="L989" i="16"/>
  <c r="L990" i="16"/>
  <c r="L991" i="16"/>
  <c r="L992" i="16"/>
  <c r="L993" i="16"/>
  <c r="L994" i="16"/>
  <c r="L995" i="16"/>
  <c r="L996" i="16"/>
  <c r="L998" i="16"/>
  <c r="L999" i="16"/>
  <c r="L1000" i="16"/>
  <c r="L1001" i="16"/>
  <c r="L1002" i="16"/>
  <c r="L1003" i="16"/>
  <c r="L1004" i="16"/>
  <c r="L1005" i="16"/>
  <c r="L1008" i="16"/>
  <c r="L1009" i="16"/>
  <c r="L1011" i="16"/>
  <c r="L1012" i="16"/>
  <c r="L1013" i="16"/>
  <c r="L1014" i="16"/>
  <c r="L1015" i="16"/>
  <c r="L1016" i="16"/>
  <c r="L1017" i="16"/>
  <c r="L1018" i="16"/>
  <c r="L1019" i="16"/>
  <c r="L1020" i="16"/>
  <c r="L1021" i="16"/>
  <c r="L1022" i="16"/>
  <c r="L1023" i="16"/>
  <c r="L1024" i="16"/>
  <c r="L1025" i="16"/>
  <c r="L1026" i="16"/>
  <c r="L1027" i="16"/>
  <c r="L1028" i="16"/>
  <c r="L1029" i="16"/>
  <c r="L1030" i="16"/>
  <c r="L1031" i="16"/>
  <c r="L1032" i="16"/>
  <c r="L1033" i="16"/>
  <c r="L1034" i="16"/>
  <c r="L1035" i="16"/>
  <c r="L1036" i="16"/>
  <c r="L1037" i="16"/>
  <c r="L1038" i="16"/>
  <c r="L1039" i="16"/>
  <c r="L1040" i="16"/>
  <c r="L1041" i="16"/>
  <c r="L1042" i="16"/>
  <c r="L1043" i="16"/>
  <c r="L1044" i="16"/>
  <c r="L1045" i="16"/>
  <c r="L1046" i="16"/>
  <c r="L1047" i="16"/>
  <c r="L1048" i="16"/>
  <c r="L1049" i="16"/>
  <c r="L1050" i="16"/>
  <c r="L1051" i="16"/>
  <c r="L1072" i="16"/>
  <c r="L1073" i="16"/>
  <c r="L1074" i="16"/>
  <c r="L1075" i="16"/>
  <c r="L1076" i="16"/>
  <c r="L1077" i="16"/>
  <c r="L1078" i="16"/>
  <c r="L1079" i="16"/>
  <c r="L1080" i="16"/>
  <c r="L1081" i="16"/>
  <c r="L1082" i="16"/>
  <c r="L1084" i="16"/>
  <c r="L1086" i="16"/>
  <c r="L1087" i="16"/>
  <c r="L1088" i="16"/>
  <c r="L1089" i="16"/>
  <c r="L1090" i="16"/>
  <c r="L1091" i="16"/>
  <c r="L1092" i="16"/>
  <c r="L1093" i="16"/>
  <c r="L1094" i="16"/>
  <c r="L1096" i="16"/>
  <c r="L1097" i="16"/>
  <c r="L1098" i="16"/>
  <c r="L1099" i="16"/>
  <c r="L1100" i="16"/>
  <c r="L1101" i="16"/>
  <c r="L1102" i="16"/>
  <c r="L1103" i="16"/>
  <c r="L1104" i="16"/>
  <c r="L1105" i="16"/>
  <c r="L1106" i="16"/>
  <c r="L1107" i="16"/>
  <c r="L1108" i="16"/>
  <c r="L1109" i="16"/>
  <c r="L1110" i="16"/>
  <c r="L1111" i="16"/>
  <c r="L1112" i="16"/>
  <c r="L1113" i="16"/>
  <c r="L1114" i="16"/>
  <c r="L1115" i="16"/>
  <c r="L1116" i="16"/>
  <c r="L1117" i="16"/>
  <c r="L1118" i="16"/>
  <c r="L1119" i="16"/>
  <c r="L1120" i="16"/>
  <c r="L1121" i="16"/>
  <c r="L1122" i="16"/>
  <c r="L1123" i="16"/>
  <c r="L1124" i="16"/>
  <c r="L1125" i="16"/>
  <c r="L1126" i="16"/>
  <c r="L1127" i="16"/>
  <c r="L1128" i="16"/>
  <c r="L1130" i="16"/>
  <c r="L1131" i="16"/>
  <c r="L1132" i="16"/>
  <c r="L1133" i="16"/>
  <c r="L1134" i="16"/>
  <c r="L1135" i="16"/>
  <c r="L1137" i="16"/>
  <c r="L1138" i="16"/>
  <c r="L1139" i="16"/>
  <c r="L1140" i="16"/>
  <c r="L1141" i="16"/>
  <c r="L1142" i="16"/>
  <c r="L1143" i="16"/>
  <c r="L1144" i="16"/>
  <c r="L1145" i="16"/>
  <c r="L1146" i="16"/>
  <c r="L1147" i="16"/>
  <c r="L1148" i="16"/>
  <c r="L1149" i="16"/>
  <c r="L1150" i="16"/>
  <c r="L1151" i="16"/>
  <c r="L1152" i="16"/>
  <c r="L1153" i="16"/>
  <c r="L1154" i="16"/>
  <c r="L1155" i="16"/>
  <c r="L1156" i="16"/>
  <c r="L1157" i="16"/>
  <c r="L1159" i="16"/>
  <c r="L1160" i="16"/>
  <c r="L1161" i="16"/>
  <c r="L1162" i="16"/>
  <c r="L1163" i="16"/>
  <c r="L1164" i="16"/>
  <c r="L1165" i="16"/>
  <c r="L1166" i="16"/>
  <c r="L1167" i="16"/>
  <c r="L1168" i="16"/>
  <c r="L1169" i="16"/>
  <c r="L1170" i="16"/>
  <c r="L1171" i="16"/>
  <c r="L1172" i="16"/>
  <c r="L1173" i="16"/>
  <c r="L1174" i="16"/>
  <c r="L1175" i="16"/>
  <c r="L1176" i="16"/>
  <c r="L1177" i="16"/>
  <c r="L1178" i="16"/>
  <c r="L1179" i="16"/>
  <c r="L1180" i="16"/>
  <c r="L1181" i="16"/>
  <c r="L1182" i="16"/>
  <c r="L1183" i="16"/>
  <c r="L1184" i="16"/>
  <c r="L1185" i="16"/>
  <c r="L1186" i="16"/>
  <c r="L1187" i="16"/>
  <c r="L1188" i="16"/>
  <c r="L1189" i="16"/>
  <c r="L1190" i="16"/>
  <c r="L1191" i="16"/>
  <c r="L1192" i="16"/>
  <c r="L1193" i="16"/>
  <c r="L1194" i="16"/>
  <c r="L1195" i="16"/>
  <c r="L1196" i="16"/>
  <c r="L1197" i="16"/>
  <c r="L1198" i="16"/>
  <c r="L1199" i="16"/>
  <c r="L1200" i="16"/>
  <c r="L1201" i="16"/>
  <c r="L1202" i="16"/>
  <c r="L1203" i="16"/>
  <c r="L1204" i="16"/>
  <c r="L1205" i="16"/>
  <c r="L1206" i="16"/>
  <c r="L1207" i="16"/>
  <c r="L1208" i="16"/>
  <c r="L1209" i="16"/>
  <c r="L1210" i="16"/>
  <c r="L1211" i="16"/>
  <c r="L1212" i="16"/>
  <c r="L1213" i="16"/>
  <c r="L1214" i="16"/>
  <c r="L1215" i="16"/>
  <c r="L1216" i="16"/>
  <c r="L1217" i="16"/>
  <c r="L1218" i="16"/>
  <c r="L1219" i="16"/>
  <c r="L1220" i="16"/>
  <c r="L1221" i="16"/>
  <c r="L1222" i="16"/>
  <c r="L1223" i="16"/>
  <c r="L1224" i="16"/>
  <c r="L1225" i="16"/>
  <c r="L1226" i="16"/>
  <c r="L1227" i="16"/>
  <c r="L1228" i="16"/>
  <c r="L1229" i="16"/>
  <c r="L1230" i="16"/>
  <c r="L1231" i="16"/>
  <c r="L1232" i="16"/>
  <c r="L1233" i="16"/>
  <c r="L1234" i="16"/>
  <c r="L1235" i="16"/>
  <c r="L1236" i="16"/>
  <c r="L1237" i="16"/>
  <c r="L1238" i="16"/>
  <c r="L1239" i="16"/>
  <c r="L1240" i="16"/>
  <c r="L1241" i="16"/>
  <c r="L1242" i="16"/>
  <c r="L1243" i="16"/>
  <c r="L1244" i="16"/>
  <c r="L1245" i="16"/>
  <c r="L1246" i="16"/>
  <c r="L1247" i="16"/>
  <c r="L1248" i="16"/>
  <c r="L1249" i="16"/>
  <c r="L1250" i="16"/>
  <c r="L1252" i="16"/>
  <c r="L1253" i="16"/>
  <c r="L1254" i="16"/>
  <c r="L1255" i="16"/>
  <c r="L1256" i="16"/>
  <c r="L1257" i="16"/>
  <c r="L1258" i="16"/>
  <c r="L1259" i="16"/>
  <c r="L1260" i="16"/>
  <c r="L1261" i="16"/>
  <c r="L1262" i="16"/>
  <c r="L1264" i="16"/>
  <c r="L1265" i="16"/>
  <c r="L1266" i="16"/>
  <c r="L1268" i="16"/>
  <c r="L1269" i="16"/>
  <c r="L1270" i="16"/>
  <c r="L1271" i="16"/>
  <c r="L1272" i="16"/>
  <c r="L1273" i="16"/>
  <c r="L1274" i="16"/>
  <c r="L1275" i="16"/>
  <c r="L1276" i="16"/>
  <c r="L1277" i="16"/>
  <c r="L1278" i="16"/>
  <c r="L1279" i="16"/>
  <c r="L1280" i="16"/>
  <c r="L1281" i="16"/>
  <c r="L1282" i="16"/>
  <c r="L1283" i="16"/>
  <c r="L1284" i="16"/>
  <c r="L1285" i="16"/>
  <c r="L1286" i="16"/>
  <c r="L1287" i="16"/>
  <c r="L1288" i="16"/>
  <c r="L1289" i="16"/>
  <c r="L1290" i="16"/>
  <c r="L1291" i="16"/>
  <c r="L1292" i="16"/>
  <c r="L1293" i="16"/>
  <c r="L1294" i="16"/>
  <c r="L1295" i="16"/>
  <c r="L1296" i="16"/>
  <c r="L1297" i="16"/>
  <c r="L1298" i="16"/>
  <c r="L1299" i="16"/>
  <c r="L1300" i="16"/>
  <c r="L1301" i="16"/>
  <c r="L1302" i="16"/>
  <c r="L1303" i="16"/>
  <c r="L1304" i="16"/>
  <c r="L1305" i="16"/>
  <c r="L1306" i="16"/>
  <c r="L1307" i="16"/>
  <c r="L1309" i="16"/>
  <c r="L1310" i="16"/>
  <c r="L1311" i="16"/>
  <c r="L1312" i="16"/>
  <c r="L1313" i="16"/>
  <c r="L1314" i="16"/>
  <c r="L1315" i="16"/>
  <c r="L1316" i="16"/>
  <c r="L1317" i="16"/>
  <c r="L1318" i="16"/>
  <c r="L1320" i="16"/>
  <c r="L1321" i="16"/>
  <c r="L1322" i="16"/>
  <c r="L1323" i="16"/>
  <c r="L1325" i="16"/>
  <c r="L1326" i="16"/>
  <c r="L1327" i="16"/>
  <c r="L1328" i="16"/>
  <c r="L1329" i="16"/>
  <c r="L1330" i="16"/>
  <c r="L1331" i="16"/>
  <c r="L1332" i="16"/>
  <c r="L1333" i="16"/>
  <c r="L1334" i="16"/>
  <c r="L1336" i="16"/>
  <c r="L1337" i="16"/>
  <c r="L1338" i="16"/>
  <c r="L1339" i="16"/>
  <c r="L1340" i="16"/>
  <c r="L1341" i="16"/>
  <c r="L1342" i="16"/>
  <c r="L1343" i="16"/>
  <c r="L1344" i="16"/>
  <c r="L1345" i="16"/>
  <c r="L1346" i="16"/>
  <c r="L1347" i="16"/>
  <c r="L1348" i="16"/>
  <c r="L1349" i="16"/>
  <c r="L1350" i="16"/>
  <c r="L1351" i="16"/>
  <c r="L1352" i="16"/>
  <c r="L1353" i="16"/>
  <c r="L1354" i="16"/>
  <c r="L1355" i="16"/>
  <c r="L1356" i="16"/>
  <c r="L1357" i="16"/>
  <c r="L1358" i="16"/>
  <c r="L1359" i="16"/>
  <c r="L1360" i="16"/>
  <c r="L1361" i="16"/>
  <c r="L1362" i="16"/>
  <c r="L1363" i="16"/>
  <c r="L1364" i="16"/>
  <c r="L1365" i="16"/>
  <c r="L1366" i="16"/>
  <c r="L1367" i="16"/>
  <c r="L1368" i="16"/>
  <c r="L1369" i="16"/>
  <c r="L1370" i="16"/>
  <c r="L1371" i="16"/>
  <c r="L1372" i="16"/>
  <c r="L1373" i="16"/>
  <c r="L1374" i="16"/>
  <c r="L1375" i="16"/>
  <c r="L1376" i="16"/>
  <c r="L1377" i="16"/>
  <c r="L1378" i="16"/>
  <c r="L1379" i="16"/>
  <c r="L1380" i="16"/>
  <c r="L1381" i="16"/>
  <c r="L1382" i="16"/>
  <c r="L1383" i="16"/>
  <c r="L1384" i="16"/>
  <c r="L1385" i="16"/>
  <c r="L1386" i="16"/>
  <c r="L1387" i="16"/>
  <c r="L1388" i="16"/>
  <c r="L1389" i="16"/>
  <c r="L1390" i="16"/>
  <c r="L1391" i="16"/>
  <c r="L1392" i="16"/>
  <c r="L1393" i="16"/>
  <c r="L1394" i="16"/>
  <c r="L1395" i="16"/>
  <c r="L1396" i="16"/>
  <c r="L1397" i="16"/>
  <c r="L1398" i="16"/>
  <c r="L1399" i="16"/>
  <c r="L1400" i="16"/>
  <c r="L1401" i="16"/>
  <c r="L1402" i="16"/>
  <c r="L1403" i="16"/>
  <c r="L1404" i="16"/>
  <c r="L1405" i="16"/>
  <c r="L1406" i="16"/>
  <c r="L1407" i="16"/>
  <c r="L1408" i="16"/>
  <c r="L1410" i="16"/>
  <c r="L1411" i="16"/>
  <c r="L1412" i="16"/>
  <c r="L1413" i="16"/>
  <c r="L1414" i="16"/>
  <c r="L1415" i="16"/>
  <c r="L1416" i="16"/>
  <c r="L1417" i="16"/>
  <c r="L1418" i="16"/>
  <c r="L1419" i="16"/>
  <c r="L1420" i="16"/>
  <c r="L1421" i="16"/>
  <c r="L1422" i="16"/>
  <c r="L1423" i="16"/>
  <c r="L1424" i="16"/>
  <c r="L1425" i="16"/>
  <c r="L1426" i="16"/>
  <c r="L1428" i="16"/>
  <c r="L1429" i="16"/>
  <c r="L1430" i="16"/>
  <c r="L1431" i="16"/>
  <c r="L1432" i="16"/>
  <c r="L1433" i="16"/>
  <c r="L1434" i="16"/>
  <c r="L1436" i="16"/>
  <c r="L1437" i="16"/>
  <c r="L1438" i="16"/>
  <c r="L1439" i="16"/>
  <c r="L1440" i="16"/>
  <c r="L1441" i="16"/>
  <c r="L1445" i="16"/>
  <c r="L1447" i="16"/>
  <c r="L1448" i="16"/>
  <c r="L1450" i="16"/>
  <c r="L1451" i="16"/>
  <c r="L1452" i="16"/>
  <c r="L1453" i="16"/>
  <c r="L1454" i="16"/>
  <c r="L1455" i="16"/>
  <c r="L1456" i="16"/>
  <c r="L1457" i="16"/>
  <c r="L1458" i="16"/>
  <c r="L1459" i="16"/>
  <c r="L1460" i="16"/>
  <c r="L1461" i="16"/>
  <c r="L1462" i="16"/>
  <c r="L1463" i="16"/>
  <c r="L1464" i="16"/>
  <c r="L1465" i="16"/>
  <c r="L1466" i="16"/>
  <c r="L1467" i="16"/>
  <c r="L1468" i="16"/>
  <c r="L1469" i="16"/>
  <c r="L1470" i="16"/>
  <c r="L1471" i="16"/>
  <c r="L1472" i="16"/>
  <c r="L1473" i="16"/>
  <c r="L1474" i="16"/>
  <c r="L1475" i="16"/>
  <c r="L1476" i="16"/>
  <c r="L1477" i="16"/>
  <c r="L1478" i="16"/>
  <c r="L1479" i="16"/>
  <c r="L1480" i="16"/>
  <c r="L1481" i="16"/>
  <c r="L1482" i="16"/>
  <c r="L1483" i="16"/>
  <c r="L1484" i="16"/>
  <c r="L1485" i="16"/>
  <c r="L1486" i="16"/>
  <c r="L1487" i="16"/>
  <c r="L1488" i="16"/>
  <c r="L1489" i="16"/>
  <c r="L1490" i="16"/>
  <c r="L1491" i="16"/>
  <c r="L1492" i="16"/>
  <c r="L1493" i="16"/>
  <c r="L1494" i="16"/>
  <c r="L1495" i="16"/>
  <c r="L1496" i="16"/>
  <c r="L1497" i="16"/>
  <c r="L1498" i="16"/>
  <c r="L1499" i="16"/>
  <c r="L1500" i="16"/>
  <c r="L1501" i="16"/>
  <c r="L1502" i="16"/>
  <c r="L1503" i="16"/>
  <c r="L1504" i="16"/>
  <c r="L1505" i="16"/>
  <c r="L1506" i="16"/>
  <c r="L1507" i="16"/>
  <c r="L1508" i="16"/>
  <c r="L1509" i="16"/>
  <c r="L1510" i="16"/>
  <c r="L1511" i="16"/>
  <c r="L1512" i="16"/>
  <c r="L1513" i="16"/>
  <c r="L1514" i="16"/>
  <c r="L1515" i="16"/>
  <c r="L1516" i="16"/>
  <c r="L1517" i="16"/>
  <c r="L1518" i="16"/>
  <c r="L1519" i="16"/>
  <c r="L1520" i="16"/>
  <c r="L1521" i="16"/>
  <c r="L1522" i="16"/>
  <c r="L1523" i="16"/>
  <c r="L1524" i="16"/>
  <c r="L1525" i="16"/>
  <c r="L1526" i="16"/>
  <c r="L1527" i="16"/>
  <c r="L1528" i="16"/>
  <c r="L1529" i="16"/>
  <c r="L1530" i="16"/>
  <c r="L1531" i="16"/>
  <c r="L1532" i="16"/>
  <c r="L1533" i="16"/>
  <c r="L1534" i="16"/>
  <c r="L1535" i="16"/>
  <c r="L1536" i="16"/>
  <c r="L1537" i="16"/>
  <c r="L1538" i="16"/>
  <c r="L1539" i="16"/>
  <c r="L1540" i="16"/>
  <c r="L1541" i="16"/>
  <c r="L1542" i="16"/>
  <c r="L1543" i="16"/>
  <c r="L1544" i="16"/>
  <c r="L1545" i="16"/>
  <c r="L1546" i="16"/>
  <c r="L1547" i="16"/>
  <c r="L1548" i="16"/>
  <c r="L1549" i="16"/>
  <c r="L1550" i="16"/>
  <c r="L1551" i="16"/>
  <c r="L1552" i="16"/>
  <c r="L1553" i="16"/>
  <c r="L1554" i="16"/>
  <c r="L1555" i="16"/>
  <c r="L1556" i="16"/>
  <c r="L1557" i="16"/>
  <c r="L1558" i="16"/>
  <c r="L1559" i="16"/>
  <c r="L1560" i="16"/>
  <c r="L1561" i="16"/>
  <c r="L1562" i="16"/>
  <c r="L1563" i="16"/>
  <c r="L1564" i="16"/>
  <c r="L1565" i="16"/>
  <c r="L1566" i="16"/>
  <c r="L1567" i="16"/>
  <c r="L1568" i="16"/>
  <c r="L1569" i="16"/>
  <c r="L1570" i="16"/>
  <c r="L1571" i="16"/>
  <c r="L1572" i="16"/>
  <c r="L1573" i="16"/>
  <c r="L1574" i="16"/>
  <c r="L1575" i="16"/>
  <c r="L1576" i="16"/>
  <c r="L1577" i="16"/>
  <c r="L1578" i="16"/>
  <c r="L1579" i="16"/>
  <c r="L1580" i="16"/>
  <c r="L1581" i="16"/>
  <c r="L1582" i="16"/>
  <c r="L1583" i="16"/>
  <c r="L1584" i="16"/>
  <c r="L1585" i="16"/>
  <c r="L1586" i="16"/>
  <c r="L1587" i="16"/>
  <c r="L1588" i="16"/>
  <c r="L1589" i="16"/>
  <c r="L1590" i="16"/>
  <c r="L1591" i="16"/>
  <c r="L1592" i="16"/>
  <c r="L1593" i="16"/>
  <c r="L1594" i="16"/>
  <c r="L1595" i="16"/>
  <c r="L1596" i="16"/>
  <c r="L1597" i="16"/>
  <c r="L1598" i="16"/>
  <c r="L1599" i="16"/>
  <c r="L1600" i="16"/>
  <c r="L1601" i="16"/>
  <c r="L1602" i="16"/>
  <c r="L1603" i="16"/>
  <c r="L1604" i="16"/>
  <c r="L1605" i="16"/>
  <c r="L1606" i="16"/>
  <c r="L1607" i="16"/>
  <c r="L1608" i="16"/>
  <c r="L1609" i="16"/>
  <c r="L1610" i="16"/>
  <c r="L1611" i="16"/>
  <c r="L1612" i="16"/>
  <c r="L1613" i="16"/>
  <c r="L1614" i="16"/>
  <c r="L1615" i="16"/>
  <c r="L1616" i="16"/>
  <c r="L1617" i="16"/>
  <c r="L1618" i="16"/>
  <c r="L1619" i="16"/>
  <c r="L1620" i="16"/>
  <c r="L1621" i="16"/>
  <c r="L1622" i="16"/>
  <c r="L1623" i="16"/>
  <c r="L1624" i="16"/>
  <c r="L1625" i="16"/>
  <c r="L1626" i="16"/>
  <c r="L1627" i="16"/>
  <c r="L1628" i="16"/>
  <c r="L1629" i="16"/>
  <c r="L1630" i="16"/>
  <c r="L1631" i="16"/>
  <c r="L1632" i="16"/>
  <c r="L1633" i="16"/>
  <c r="L1634" i="16"/>
  <c r="L1635" i="16"/>
  <c r="L1636" i="16"/>
  <c r="L1637" i="16"/>
  <c r="L1638" i="16"/>
  <c r="L1639" i="16"/>
  <c r="L1640" i="16"/>
  <c r="L1641" i="16"/>
  <c r="L1642" i="16"/>
  <c r="L1643" i="16"/>
  <c r="L1644" i="16"/>
  <c r="L1645" i="16"/>
  <c r="L1646" i="16"/>
  <c r="L1647" i="16"/>
  <c r="L1648" i="16"/>
  <c r="L1649" i="16"/>
  <c r="L1650" i="16"/>
  <c r="L1651" i="16"/>
  <c r="L1652" i="16"/>
  <c r="L1653" i="16"/>
  <c r="L1654" i="16"/>
  <c r="L1655" i="16"/>
  <c r="L1656" i="16"/>
  <c r="L1657" i="16"/>
  <c r="L1658" i="16"/>
  <c r="L1659" i="16"/>
  <c r="L1660" i="16"/>
  <c r="L1661" i="16"/>
  <c r="L1662" i="16"/>
  <c r="L1663" i="16"/>
  <c r="L1664" i="16"/>
  <c r="L1665" i="16"/>
  <c r="L1666" i="16"/>
  <c r="L1667" i="16"/>
  <c r="L1668" i="16"/>
  <c r="L1669" i="16"/>
  <c r="L1670" i="16"/>
  <c r="L1671" i="16"/>
  <c r="L1672" i="16"/>
  <c r="L1673" i="16"/>
  <c r="L1674" i="16"/>
  <c r="L1675" i="16"/>
  <c r="L1676" i="16"/>
  <c r="L1677" i="16"/>
  <c r="L1678" i="16"/>
  <c r="L1679" i="16"/>
  <c r="L1680" i="16"/>
  <c r="L1681" i="16"/>
  <c r="L1682" i="16"/>
  <c r="L1683" i="16"/>
  <c r="L1684" i="16"/>
  <c r="L1685" i="16"/>
  <c r="L1686" i="16"/>
  <c r="L1687" i="16"/>
  <c r="L1688" i="16"/>
  <c r="L1689" i="16"/>
  <c r="L1690" i="16"/>
  <c r="L1691" i="16"/>
  <c r="L1692" i="16"/>
  <c r="L1693" i="16"/>
  <c r="L1694" i="16"/>
  <c r="L1695" i="16"/>
  <c r="L1696" i="16"/>
  <c r="L1697" i="16"/>
  <c r="L1698" i="16"/>
  <c r="L1699" i="16"/>
  <c r="L1700" i="16"/>
  <c r="L1701" i="16"/>
  <c r="L1702" i="16"/>
  <c r="L1703" i="16"/>
  <c r="L1704" i="16"/>
  <c r="L1705" i="16"/>
  <c r="L1706" i="16"/>
  <c r="L1707" i="16"/>
  <c r="L1708" i="16"/>
  <c r="L1709" i="16"/>
  <c r="L1710" i="16"/>
  <c r="L1711" i="16"/>
  <c r="L1712" i="16"/>
  <c r="L1713" i="16"/>
  <c r="L1714" i="16"/>
  <c r="L1715" i="16"/>
  <c r="L1716" i="16"/>
  <c r="L1717" i="16"/>
  <c r="L1718" i="16"/>
  <c r="L1719" i="16"/>
  <c r="L1720" i="16"/>
  <c r="L1721" i="16"/>
  <c r="L1722" i="16"/>
  <c r="L1723" i="16"/>
  <c r="L1724" i="16"/>
  <c r="L1725" i="16"/>
  <c r="L1726" i="16"/>
  <c r="L1727" i="16"/>
  <c r="L1728" i="16"/>
  <c r="L1729" i="16"/>
  <c r="L1730" i="16"/>
  <c r="L1731" i="16"/>
  <c r="L1732" i="16"/>
  <c r="L1733" i="16"/>
  <c r="L1734" i="16"/>
  <c r="L1735" i="16"/>
  <c r="L1736" i="16"/>
  <c r="L1737" i="16"/>
  <c r="L1738" i="16"/>
  <c r="L1739" i="16"/>
  <c r="L1740" i="16"/>
  <c r="L1741" i="16"/>
  <c r="L1742" i="16"/>
  <c r="L1743" i="16"/>
  <c r="L1744" i="16"/>
  <c r="L1745" i="16"/>
  <c r="L1746" i="16"/>
  <c r="L1749" i="16"/>
  <c r="L1750" i="16"/>
  <c r="L1751" i="16"/>
  <c r="L1752" i="16"/>
  <c r="L1753" i="16"/>
  <c r="L1754" i="16"/>
  <c r="L1755" i="16"/>
  <c r="L1756" i="16"/>
  <c r="L1757" i="16"/>
  <c r="L1758" i="16"/>
  <c r="L1759" i="16"/>
  <c r="L1760" i="16"/>
  <c r="L1761" i="16"/>
  <c r="L1762" i="16"/>
  <c r="L1763" i="16"/>
  <c r="L1764" i="16"/>
  <c r="L1765" i="16"/>
  <c r="L1766" i="16"/>
  <c r="L1767" i="16"/>
  <c r="L1768" i="16"/>
  <c r="L1769" i="16"/>
  <c r="L1770" i="16"/>
  <c r="L1771" i="16"/>
  <c r="L1772" i="16"/>
  <c r="L1773" i="16"/>
  <c r="L1774" i="16"/>
  <c r="L1775" i="16"/>
  <c r="L1776" i="16"/>
  <c r="L1777" i="16"/>
  <c r="L1778" i="16"/>
  <c r="L1779" i="16"/>
  <c r="L1780" i="16"/>
  <c r="L1781" i="16"/>
  <c r="L1782" i="16"/>
  <c r="L1783" i="16"/>
  <c r="L1784" i="16"/>
  <c r="L1785" i="16"/>
  <c r="L1786" i="16"/>
  <c r="L1787" i="16"/>
  <c r="L1788" i="16"/>
  <c r="L1789" i="16"/>
  <c r="L1791" i="16"/>
  <c r="L1792" i="16"/>
  <c r="L1793" i="16"/>
  <c r="L1794" i="16"/>
  <c r="L1795" i="16"/>
  <c r="L1796" i="16"/>
  <c r="L1797" i="16"/>
  <c r="L1798" i="16"/>
  <c r="L1799" i="16"/>
  <c r="L1800" i="16"/>
  <c r="L1801" i="16"/>
  <c r="L1802" i="16"/>
  <c r="L1803" i="16"/>
  <c r="L1804" i="16"/>
  <c r="L1805" i="16"/>
  <c r="L1806" i="16"/>
  <c r="L1810" i="16"/>
  <c r="L1811" i="16"/>
  <c r="L1812" i="16"/>
  <c r="L1813" i="16"/>
  <c r="L1814" i="16"/>
  <c r="L1815" i="16"/>
  <c r="L1816" i="16"/>
  <c r="L1821" i="16"/>
  <c r="L1822" i="16"/>
  <c r="L1823" i="16"/>
  <c r="L1824" i="16"/>
  <c r="L1825" i="16"/>
  <c r="L1826" i="16"/>
  <c r="L1827" i="16"/>
  <c r="L1828" i="16"/>
  <c r="L1829" i="16"/>
  <c r="L1830" i="16"/>
  <c r="L1831" i="16"/>
  <c r="L1832" i="16"/>
  <c r="L1833" i="16"/>
  <c r="L1834" i="16"/>
  <c r="L1835" i="16"/>
  <c r="L1836" i="16"/>
  <c r="L1839" i="16"/>
  <c r="L1840" i="16"/>
  <c r="L1841" i="16"/>
  <c r="L1842" i="16"/>
  <c r="L1843" i="16"/>
  <c r="L1844" i="16"/>
  <c r="L1845" i="16"/>
  <c r="L1846" i="16"/>
  <c r="L1847" i="16"/>
  <c r="L1848" i="16"/>
  <c r="L1849" i="16"/>
  <c r="L1850" i="16"/>
  <c r="L1851" i="16"/>
  <c r="L1852" i="16"/>
  <c r="L1853" i="16"/>
  <c r="L1854" i="16"/>
  <c r="L1855" i="16"/>
  <c r="L1856" i="16"/>
  <c r="L1857" i="16"/>
  <c r="L1858" i="16"/>
  <c r="L1859" i="16"/>
  <c r="L1860" i="16"/>
  <c r="L1861" i="16"/>
  <c r="L1862" i="16"/>
  <c r="L1863" i="16"/>
  <c r="L1864" i="16"/>
  <c r="L1865" i="16"/>
  <c r="L1866" i="16"/>
  <c r="L1867" i="16"/>
  <c r="L1868" i="16"/>
  <c r="L1869" i="16"/>
  <c r="L1870" i="16"/>
  <c r="L1871" i="16"/>
  <c r="L1872" i="16"/>
  <c r="L1873" i="16"/>
  <c r="L1874" i="16"/>
  <c r="L1875" i="16"/>
  <c r="L1876" i="16"/>
  <c r="L1877" i="16"/>
  <c r="L1878" i="16"/>
  <c r="L1879" i="16"/>
  <c r="L1880" i="16"/>
  <c r="L1881" i="16"/>
  <c r="L1882" i="16"/>
  <c r="L1883" i="16"/>
  <c r="L1884" i="16"/>
  <c r="L1885" i="16"/>
  <c r="L1886" i="16"/>
  <c r="L1887" i="16"/>
  <c r="L1888" i="16"/>
  <c r="L1889" i="16"/>
  <c r="L1890" i="16"/>
  <c r="L1891" i="16"/>
  <c r="L1892" i="16"/>
  <c r="L1893" i="16"/>
  <c r="L1945" i="16"/>
  <c r="L1946" i="16"/>
  <c r="L1947" i="16"/>
  <c r="L1948" i="16"/>
  <c r="L1949" i="16"/>
  <c r="L1950" i="16"/>
  <c r="L1951" i="16"/>
  <c r="L1952" i="16"/>
  <c r="L1953" i="16"/>
  <c r="L1954" i="16"/>
  <c r="L1955" i="16"/>
  <c r="L1956" i="16"/>
  <c r="L1957" i="16"/>
  <c r="L1958" i="16"/>
  <c r="L1959" i="16"/>
  <c r="L1960" i="16"/>
  <c r="L1961" i="16"/>
  <c r="L1962" i="16"/>
  <c r="L1963" i="16"/>
  <c r="L1964" i="16"/>
  <c r="L1965" i="16"/>
  <c r="L1966" i="16"/>
  <c r="L1967" i="16"/>
  <c r="L1968" i="16"/>
  <c r="L1969" i="16"/>
  <c r="L1970" i="16"/>
  <c r="L1971" i="16"/>
  <c r="L1972" i="16"/>
  <c r="L1973" i="16"/>
  <c r="L1974" i="16"/>
  <c r="L1975" i="16"/>
  <c r="L1976" i="16"/>
  <c r="L1977" i="16"/>
  <c r="L1978" i="16"/>
  <c r="L1979" i="16"/>
  <c r="L1980" i="16"/>
  <c r="L1981" i="16"/>
  <c r="L1982" i="16"/>
  <c r="L1983" i="16"/>
  <c r="L1984" i="16"/>
  <c r="L1985" i="16"/>
  <c r="L1986" i="16"/>
  <c r="L1987" i="16"/>
  <c r="L1988" i="16"/>
  <c r="L1989" i="16"/>
  <c r="L1990" i="16"/>
  <c r="L1991" i="16"/>
  <c r="L1992" i="16"/>
  <c r="L1993" i="16"/>
  <c r="L1994" i="16"/>
  <c r="L1995" i="16"/>
  <c r="L1996" i="16"/>
  <c r="L1997" i="16"/>
  <c r="L1999" i="16"/>
  <c r="L2000" i="16"/>
  <c r="L2001" i="16"/>
  <c r="L2002" i="16"/>
  <c r="L2003" i="16"/>
  <c r="L2004" i="16"/>
  <c r="L2005" i="16"/>
  <c r="L2006" i="16"/>
  <c r="L2007" i="16"/>
  <c r="L2008" i="16"/>
  <c r="L2009" i="16"/>
  <c r="L2010" i="16"/>
  <c r="L2011" i="16"/>
  <c r="L2012" i="16"/>
  <c r="L2013" i="16"/>
  <c r="L2014" i="16"/>
  <c r="L2015" i="16"/>
  <c r="L2016" i="16"/>
  <c r="L2017" i="16"/>
  <c r="L2018" i="16"/>
  <c r="L2019" i="16"/>
  <c r="L2020" i="16"/>
  <c r="L2021" i="16"/>
  <c r="L2022" i="16"/>
  <c r="L2023" i="16"/>
  <c r="L2024" i="16"/>
  <c r="L2025" i="16"/>
  <c r="L2026" i="16"/>
  <c r="L2027" i="16"/>
  <c r="L2028" i="16"/>
  <c r="L2029" i="16"/>
  <c r="L2030" i="16"/>
  <c r="L2031" i="16"/>
  <c r="L2032" i="16"/>
  <c r="L2033" i="16"/>
  <c r="L2034" i="16"/>
  <c r="L2035" i="16"/>
  <c r="L2036" i="16"/>
  <c r="L2037" i="16"/>
  <c r="L2038" i="16"/>
  <c r="L2039" i="16"/>
  <c r="L2040" i="16"/>
  <c r="L2041" i="16"/>
  <c r="L2042" i="16"/>
  <c r="L2043" i="16"/>
  <c r="L2044" i="16"/>
  <c r="L2045" i="16"/>
  <c r="L2046" i="16"/>
  <c r="L2047" i="16"/>
  <c r="L2048" i="16"/>
  <c r="L2049" i="16"/>
  <c r="L2050" i="16"/>
  <c r="L2051" i="16"/>
  <c r="L2052" i="16"/>
  <c r="L2053" i="16"/>
  <c r="L2054" i="16"/>
  <c r="L2055" i="16"/>
  <c r="L2056" i="16"/>
  <c r="L2057" i="16"/>
  <c r="L2059" i="16"/>
  <c r="L2060" i="16"/>
  <c r="P2060" i="16" s="1"/>
  <c r="L2061" i="16"/>
  <c r="L2062" i="16"/>
  <c r="L2063" i="16"/>
  <c r="P1946" i="16" l="1"/>
  <c r="N1946" i="16"/>
  <c r="Q1946" i="16" s="1"/>
  <c r="P1948" i="16"/>
  <c r="N1948" i="16"/>
  <c r="Q1948" i="16" s="1"/>
  <c r="N1945" i="16"/>
  <c r="Q1945" i="16" s="1"/>
  <c r="P1945" i="16"/>
  <c r="P1949" i="16"/>
  <c r="N1949" i="16"/>
  <c r="Q1949" i="16" s="1"/>
  <c r="N1947" i="16"/>
  <c r="Q1947" i="16" s="1"/>
  <c r="P1947" i="16"/>
  <c r="P1093" i="16"/>
  <c r="N1093" i="16"/>
  <c r="Q1093" i="16" s="1"/>
  <c r="N1092" i="16"/>
  <c r="Q1092" i="16" s="1"/>
  <c r="P1092" i="16"/>
  <c r="N1077" i="16"/>
  <c r="Q1077" i="16" s="1"/>
  <c r="P1077" i="16"/>
  <c r="N1090" i="16"/>
  <c r="Q1090" i="16" s="1"/>
  <c r="P1090" i="16"/>
  <c r="N1089" i="16"/>
  <c r="Q1089" i="16" s="1"/>
  <c r="P1089" i="16"/>
  <c r="N1074" i="16"/>
  <c r="Q1074" i="16" s="1"/>
  <c r="P1074" i="16"/>
  <c r="N1087" i="16"/>
  <c r="Q1087" i="16" s="1"/>
  <c r="P1087" i="16"/>
  <c r="P1072" i="16"/>
  <c r="N1072" i="16"/>
  <c r="Q1072" i="16" s="1"/>
  <c r="N1091" i="16"/>
  <c r="Q1091" i="16" s="1"/>
  <c r="P1091" i="16"/>
  <c r="N1076" i="16"/>
  <c r="Q1076" i="16" s="1"/>
  <c r="P1076" i="16"/>
  <c r="N1084" i="16"/>
  <c r="Q1084" i="16" s="1"/>
  <c r="P1084" i="16"/>
  <c r="N1097" i="16"/>
  <c r="Q1097" i="16" s="1"/>
  <c r="P1097" i="16"/>
  <c r="N1096" i="16"/>
  <c r="Q1096" i="16" s="1"/>
  <c r="P1096" i="16"/>
  <c r="N1081" i="16"/>
  <c r="Q1081" i="16" s="1"/>
  <c r="P1081" i="16"/>
  <c r="N1079" i="16"/>
  <c r="Q1079" i="16" s="1"/>
  <c r="P1079" i="16"/>
  <c r="N1078" i="16"/>
  <c r="Q1078" i="16" s="1"/>
  <c r="P1078" i="16"/>
  <c r="N1075" i="16"/>
  <c r="Q1075" i="16" s="1"/>
  <c r="P1075" i="16"/>
  <c r="N1101" i="16"/>
  <c r="Q1101" i="16" s="1"/>
  <c r="P1101" i="16"/>
  <c r="N1088" i="16"/>
  <c r="Q1088" i="16" s="1"/>
  <c r="P1088" i="16"/>
  <c r="P1100" i="16"/>
  <c r="N1100" i="16"/>
  <c r="Q1100" i="16" s="1"/>
  <c r="N1073" i="16"/>
  <c r="Q1073" i="16" s="1"/>
  <c r="P1073" i="16"/>
  <c r="N1099" i="16"/>
  <c r="Q1099" i="16" s="1"/>
  <c r="P1099" i="16"/>
  <c r="N1086" i="16"/>
  <c r="Q1086" i="16" s="1"/>
  <c r="P1086" i="16"/>
  <c r="P1098" i="16"/>
  <c r="N1098" i="16"/>
  <c r="Q1098" i="16" s="1"/>
  <c r="N1082" i="16"/>
  <c r="Q1082" i="16" s="1"/>
  <c r="P1082" i="16"/>
  <c r="N1094" i="16"/>
  <c r="Q1094" i="16" s="1"/>
  <c r="P1094" i="16"/>
  <c r="N1080" i="16"/>
  <c r="Q1080" i="16" s="1"/>
  <c r="P1080" i="16"/>
  <c r="N673" i="16"/>
  <c r="Q673" i="16" s="1"/>
  <c r="P673" i="16"/>
  <c r="P672" i="16"/>
  <c r="N672" i="16"/>
  <c r="Q672" i="16" s="1"/>
  <c r="N666" i="16"/>
  <c r="Q666" i="16" s="1"/>
  <c r="P666" i="16"/>
  <c r="L1129" i="16"/>
  <c r="L544" i="16"/>
  <c r="L1010" i="16"/>
  <c r="AD133" i="16" l="1"/>
  <c r="AE133" i="16" s="1"/>
  <c r="S133" i="16"/>
  <c r="T133" i="16" s="1"/>
  <c r="O133" i="16"/>
  <c r="P133" i="16"/>
  <c r="N133" i="16" l="1"/>
  <c r="Q133" i="16" s="1"/>
  <c r="L233" i="16"/>
  <c r="L234" i="16"/>
  <c r="L598" i="16"/>
  <c r="L362" i="16"/>
  <c r="L1085" i="16"/>
  <c r="L2058" i="16"/>
  <c r="P1085" i="16" l="1"/>
  <c r="N1085" i="16"/>
  <c r="Q1085" i="16" s="1"/>
  <c r="L601" i="16"/>
  <c r="L331" i="16"/>
  <c r="O1840" i="16"/>
  <c r="P1840" i="16"/>
  <c r="O1839" i="16"/>
  <c r="N1839" i="16"/>
  <c r="O1836" i="16"/>
  <c r="N1836" i="16"/>
  <c r="N1833" i="16"/>
  <c r="O1833" i="16"/>
  <c r="P1834" i="16"/>
  <c r="O1834" i="16"/>
  <c r="P1835" i="16"/>
  <c r="O1835" i="16"/>
  <c r="N1841" i="16"/>
  <c r="O1841" i="16"/>
  <c r="N1842" i="16"/>
  <c r="O1842" i="16"/>
  <c r="P1843" i="16"/>
  <c r="O1843" i="16"/>
  <c r="P1844" i="16"/>
  <c r="O1844" i="16"/>
  <c r="N1845" i="16"/>
  <c r="O1845" i="16"/>
  <c r="S394" i="16"/>
  <c r="T394" i="16" s="1"/>
  <c r="O394" i="16"/>
  <c r="N394" i="16"/>
  <c r="S393" i="16"/>
  <c r="T393" i="16" s="1"/>
  <c r="O393" i="16"/>
  <c r="P393" i="16"/>
  <c r="S419" i="16"/>
  <c r="T419" i="16" s="1"/>
  <c r="O419" i="16"/>
  <c r="N419" i="16"/>
  <c r="Q1842" i="16" l="1"/>
  <c r="Q1836" i="16"/>
  <c r="N1835" i="16"/>
  <c r="Q1835" i="16" s="1"/>
  <c r="P1836" i="16"/>
  <c r="N1840" i="16"/>
  <c r="Q1840" i="16" s="1"/>
  <c r="Q1839" i="16"/>
  <c r="N1844" i="16"/>
  <c r="Q1844" i="16" s="1"/>
  <c r="P1839" i="16"/>
  <c r="P1842" i="16"/>
  <c r="Q1845" i="16"/>
  <c r="Q1841" i="16"/>
  <c r="Q1833" i="16"/>
  <c r="N1843" i="16"/>
  <c r="Q1843" i="16" s="1"/>
  <c r="N1834" i="16"/>
  <c r="Q1834" i="16" s="1"/>
  <c r="P1833" i="16"/>
  <c r="P1845" i="16"/>
  <c r="P1841" i="16"/>
  <c r="Q394" i="16"/>
  <c r="P394" i="16"/>
  <c r="N393" i="16"/>
  <c r="Q393" i="16" s="1"/>
  <c r="Q419" i="16"/>
  <c r="P419" i="16"/>
  <c r="S247" i="16"/>
  <c r="T247" i="16" s="1"/>
  <c r="O247" i="16"/>
  <c r="N247" i="16"/>
  <c r="S374" i="16"/>
  <c r="T374" i="16" s="1"/>
  <c r="O374" i="16"/>
  <c r="N374" i="16"/>
  <c r="S1201" i="16"/>
  <c r="T1201" i="16" s="1"/>
  <c r="O1201" i="16"/>
  <c r="N1201" i="16"/>
  <c r="S1200" i="16"/>
  <c r="T1200" i="16" s="1"/>
  <c r="O1200" i="16"/>
  <c r="N1200" i="16"/>
  <c r="S1093" i="16"/>
  <c r="T1093" i="16" s="1"/>
  <c r="S1094" i="16"/>
  <c r="T1094" i="16" s="1"/>
  <c r="S1097" i="16"/>
  <c r="T1097" i="16" s="1"/>
  <c r="S1079" i="16"/>
  <c r="T1079" i="16" s="1"/>
  <c r="Q374" i="16" l="1"/>
  <c r="Q247" i="16"/>
  <c r="Q1201" i="16"/>
  <c r="P247" i="16"/>
  <c r="P374" i="16"/>
  <c r="Q1200" i="16"/>
  <c r="P1201" i="16"/>
  <c r="P1200" i="16"/>
  <c r="S1078" i="16"/>
  <c r="T1078" i="16" s="1"/>
  <c r="S1077" i="16"/>
  <c r="T1077" i="16" s="1"/>
  <c r="S1082" i="16"/>
  <c r="T1082" i="16" s="1"/>
  <c r="S1076" i="16"/>
  <c r="T1076" i="16" s="1"/>
  <c r="S1075" i="16"/>
  <c r="T1075" i="16" s="1"/>
  <c r="S420" i="16"/>
  <c r="T420" i="16" s="1"/>
  <c r="O420" i="16"/>
  <c r="N420" i="16"/>
  <c r="S175" i="16"/>
  <c r="T175" i="16" s="1"/>
  <c r="O175" i="16"/>
  <c r="N175" i="16"/>
  <c r="S173" i="16"/>
  <c r="T173" i="16" s="1"/>
  <c r="O173" i="16"/>
  <c r="N173" i="16"/>
  <c r="S1657" i="16"/>
  <c r="T1657" i="16" s="1"/>
  <c r="O1657" i="16"/>
  <c r="P1657" i="16"/>
  <c r="S1685" i="16"/>
  <c r="T1685" i="16" s="1"/>
  <c r="O1685" i="16"/>
  <c r="N1685" i="16"/>
  <c r="S1684" i="16"/>
  <c r="T1684" i="16" s="1"/>
  <c r="O1684" i="16"/>
  <c r="N1684" i="16"/>
  <c r="S1663" i="16"/>
  <c r="T1663" i="16" s="1"/>
  <c r="O1663" i="16"/>
  <c r="N1663" i="16"/>
  <c r="S1662" i="16"/>
  <c r="T1662" i="16" s="1"/>
  <c r="O1662" i="16"/>
  <c r="N1662" i="16"/>
  <c r="S994" i="16"/>
  <c r="T994" i="16" s="1"/>
  <c r="O994" i="16"/>
  <c r="N994" i="16"/>
  <c r="S460" i="16"/>
  <c r="T460" i="16" s="1"/>
  <c r="O460" i="16"/>
  <c r="N460" i="16"/>
  <c r="Q420" i="16" l="1"/>
  <c r="P420" i="16"/>
  <c r="Q173" i="16"/>
  <c r="Q175" i="16"/>
  <c r="P175" i="16"/>
  <c r="P173" i="16"/>
  <c r="Q1684" i="16"/>
  <c r="N1657" i="16"/>
  <c r="Q1657" i="16" s="1"/>
  <c r="Q1685" i="16"/>
  <c r="Q1663" i="16"/>
  <c r="P1685" i="16"/>
  <c r="P1684" i="16"/>
  <c r="Q994" i="16"/>
  <c r="P1663" i="16"/>
  <c r="Q1662" i="16"/>
  <c r="P1662" i="16"/>
  <c r="P994" i="16"/>
  <c r="Q460" i="16"/>
  <c r="P460" i="16"/>
  <c r="O8" i="16" l="1"/>
  <c r="O9" i="16"/>
  <c r="O10" i="16"/>
  <c r="O11" i="16"/>
  <c r="O12" i="16"/>
  <c r="O14" i="16"/>
  <c r="O16" i="16"/>
  <c r="O17" i="16"/>
  <c r="O18" i="16"/>
  <c r="O19" i="16"/>
  <c r="O21" i="16"/>
  <c r="O23" i="16"/>
  <c r="O24" i="16"/>
  <c r="O26" i="16"/>
  <c r="O27" i="16"/>
  <c r="O28" i="16"/>
  <c r="O29" i="16"/>
  <c r="O30" i="16"/>
  <c r="O31" i="16"/>
  <c r="O33" i="16"/>
  <c r="O35" i="16"/>
  <c r="O37" i="16"/>
  <c r="O38" i="16"/>
  <c r="O39" i="16"/>
  <c r="O40" i="16"/>
  <c r="O41" i="16"/>
  <c r="O42" i="16"/>
  <c r="O43" i="16"/>
  <c r="O44" i="16"/>
  <c r="O45" i="16"/>
  <c r="O46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4" i="16"/>
  <c r="O116" i="16"/>
  <c r="O117" i="16"/>
  <c r="O118" i="16"/>
  <c r="O119" i="16"/>
  <c r="O120" i="16"/>
  <c r="O122" i="16"/>
  <c r="O124" i="16"/>
  <c r="O125" i="16"/>
  <c r="O126" i="16"/>
  <c r="O127" i="16"/>
  <c r="O128" i="16"/>
  <c r="O129" i="16"/>
  <c r="O130" i="16"/>
  <c r="O131" i="16"/>
  <c r="O132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70" i="16"/>
  <c r="O171" i="16"/>
  <c r="O172" i="16"/>
  <c r="O174" i="16"/>
  <c r="O176" i="16"/>
  <c r="O177" i="16"/>
  <c r="O178" i="16"/>
  <c r="O179" i="16"/>
  <c r="O180" i="16"/>
  <c r="O181" i="16"/>
  <c r="O182" i="16"/>
  <c r="O183" i="16"/>
  <c r="O184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9" i="16"/>
  <c r="O240" i="16"/>
  <c r="O241" i="16"/>
  <c r="O242" i="16"/>
  <c r="O243" i="16"/>
  <c r="O244" i="16"/>
  <c r="O245" i="16"/>
  <c r="O246" i="16"/>
  <c r="O249" i="16"/>
  <c r="O250" i="16"/>
  <c r="O251" i="16"/>
  <c r="O252" i="16"/>
  <c r="O253" i="16"/>
  <c r="O254" i="16"/>
  <c r="O255" i="16"/>
  <c r="O257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8" i="16"/>
  <c r="O421" i="16"/>
  <c r="O423" i="16"/>
  <c r="O424" i="16"/>
  <c r="O425" i="16"/>
  <c r="O426" i="16"/>
  <c r="O427" i="16"/>
  <c r="O428" i="16"/>
  <c r="O429" i="16"/>
  <c r="O430" i="16"/>
  <c r="O431" i="16"/>
  <c r="O432" i="16"/>
  <c r="O433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70" i="16"/>
  <c r="O571" i="16"/>
  <c r="O572" i="16"/>
  <c r="O573" i="16"/>
  <c r="O574" i="16"/>
  <c r="O575" i="16"/>
  <c r="O576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8" i="16"/>
  <c r="O769" i="16"/>
  <c r="O770" i="16"/>
  <c r="O771" i="16"/>
  <c r="O772" i="16"/>
  <c r="O773" i="16"/>
  <c r="O774" i="16"/>
  <c r="O775" i="16"/>
  <c r="O776" i="16"/>
  <c r="O777" i="16"/>
  <c r="O778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9" i="16"/>
  <c r="O810" i="16"/>
  <c r="O812" i="16"/>
  <c r="O813" i="16"/>
  <c r="O815" i="16"/>
  <c r="O816" i="16"/>
  <c r="O817" i="16"/>
  <c r="O818" i="16"/>
  <c r="O819" i="16"/>
  <c r="O820" i="16"/>
  <c r="O821" i="16"/>
  <c r="O822" i="16"/>
  <c r="O823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967" i="16"/>
  <c r="O968" i="16"/>
  <c r="O969" i="16"/>
  <c r="O970" i="16"/>
  <c r="O971" i="16"/>
  <c r="O972" i="16"/>
  <c r="O973" i="16"/>
  <c r="O974" i="16"/>
  <c r="O975" i="16"/>
  <c r="O976" i="16"/>
  <c r="O977" i="16"/>
  <c r="O978" i="16"/>
  <c r="O979" i="16"/>
  <c r="O980" i="16"/>
  <c r="O981" i="16"/>
  <c r="O982" i="16"/>
  <c r="O983" i="16"/>
  <c r="O984" i="16"/>
  <c r="O985" i="16"/>
  <c r="O986" i="16"/>
  <c r="O987" i="16"/>
  <c r="O988" i="16"/>
  <c r="O989" i="16"/>
  <c r="O990" i="16"/>
  <c r="O991" i="16"/>
  <c r="O992" i="16"/>
  <c r="O993" i="16"/>
  <c r="O995" i="16"/>
  <c r="O996" i="16"/>
  <c r="O998" i="16"/>
  <c r="O999" i="16"/>
  <c r="O1000" i="16"/>
  <c r="O1001" i="16"/>
  <c r="O1002" i="16"/>
  <c r="O1003" i="16"/>
  <c r="O1004" i="16"/>
  <c r="O1005" i="16"/>
  <c r="O1008" i="16"/>
  <c r="O1009" i="16"/>
  <c r="O1010" i="16"/>
  <c r="O1011" i="16"/>
  <c r="O1012" i="16"/>
  <c r="O1013" i="16"/>
  <c r="O1014" i="16"/>
  <c r="O1015" i="16"/>
  <c r="O1016" i="16"/>
  <c r="O1017" i="16"/>
  <c r="O1018" i="16"/>
  <c r="O1019" i="16"/>
  <c r="O1020" i="16"/>
  <c r="O1021" i="16"/>
  <c r="O1022" i="16"/>
  <c r="O1023" i="16"/>
  <c r="O1024" i="16"/>
  <c r="O1025" i="16"/>
  <c r="O1026" i="16"/>
  <c r="O1027" i="16"/>
  <c r="O1028" i="16"/>
  <c r="O1029" i="16"/>
  <c r="O1030" i="16"/>
  <c r="O1031" i="16"/>
  <c r="O1032" i="16"/>
  <c r="O1033" i="16"/>
  <c r="O1034" i="16"/>
  <c r="O1035" i="16"/>
  <c r="O1036" i="16"/>
  <c r="O1037" i="16"/>
  <c r="O1038" i="16"/>
  <c r="O1039" i="16"/>
  <c r="O1040" i="16"/>
  <c r="O1041" i="16"/>
  <c r="O1042" i="16"/>
  <c r="O1043" i="16"/>
  <c r="O1044" i="16"/>
  <c r="O1045" i="16"/>
  <c r="O1046" i="16"/>
  <c r="O1047" i="16"/>
  <c r="O1048" i="16"/>
  <c r="O1049" i="16"/>
  <c r="O1050" i="16"/>
  <c r="O1051" i="16"/>
  <c r="O1102" i="16"/>
  <c r="O1103" i="16"/>
  <c r="O1104" i="16"/>
  <c r="O1105" i="16"/>
  <c r="O1106" i="16"/>
  <c r="O1107" i="16"/>
  <c r="O1108" i="16"/>
  <c r="O1109" i="16"/>
  <c r="O1110" i="16"/>
  <c r="O1111" i="16"/>
  <c r="O1112" i="16"/>
  <c r="O1113" i="16"/>
  <c r="O1114" i="16"/>
  <c r="O1115" i="16"/>
  <c r="O1116" i="16"/>
  <c r="O1117" i="16"/>
  <c r="O1118" i="16"/>
  <c r="O1119" i="16"/>
  <c r="O1120" i="16"/>
  <c r="O1121" i="16"/>
  <c r="O1122" i="16"/>
  <c r="O1123" i="16"/>
  <c r="O1124" i="16"/>
  <c r="O1125" i="16"/>
  <c r="O1126" i="16"/>
  <c r="O1127" i="16"/>
  <c r="O1128" i="16"/>
  <c r="O1129" i="16"/>
  <c r="O1130" i="16"/>
  <c r="O1131" i="16"/>
  <c r="O1132" i="16"/>
  <c r="O1133" i="16"/>
  <c r="O1134" i="16"/>
  <c r="O1135" i="16"/>
  <c r="O1137" i="16"/>
  <c r="O1138" i="16"/>
  <c r="O1139" i="16"/>
  <c r="O1140" i="16"/>
  <c r="O1141" i="16"/>
  <c r="O1142" i="16"/>
  <c r="O1143" i="16"/>
  <c r="O1144" i="16"/>
  <c r="O1145" i="16"/>
  <c r="O1146" i="16"/>
  <c r="O1147" i="16"/>
  <c r="O1148" i="16"/>
  <c r="O1149" i="16"/>
  <c r="O1150" i="16"/>
  <c r="O1151" i="16"/>
  <c r="O1152" i="16"/>
  <c r="O1153" i="16"/>
  <c r="O1154" i="16"/>
  <c r="O1155" i="16"/>
  <c r="O1156" i="16"/>
  <c r="O1157" i="16"/>
  <c r="O1159" i="16"/>
  <c r="O1160" i="16"/>
  <c r="O1161" i="16"/>
  <c r="O1162" i="16"/>
  <c r="O1163" i="16"/>
  <c r="O1164" i="16"/>
  <c r="O1165" i="16"/>
  <c r="O1166" i="16"/>
  <c r="O1167" i="16"/>
  <c r="O1168" i="16"/>
  <c r="O1169" i="16"/>
  <c r="O1170" i="16"/>
  <c r="O1171" i="16"/>
  <c r="O1172" i="16"/>
  <c r="O1173" i="16"/>
  <c r="O1174" i="16"/>
  <c r="O1175" i="16"/>
  <c r="O1176" i="16"/>
  <c r="O1177" i="16"/>
  <c r="O1178" i="16"/>
  <c r="O1179" i="16"/>
  <c r="O1180" i="16"/>
  <c r="O1181" i="16"/>
  <c r="O1182" i="16"/>
  <c r="O1183" i="16"/>
  <c r="O1184" i="16"/>
  <c r="O1185" i="16"/>
  <c r="O1186" i="16"/>
  <c r="O1187" i="16"/>
  <c r="O1188" i="16"/>
  <c r="O1189" i="16"/>
  <c r="O1190" i="16"/>
  <c r="O1191" i="16"/>
  <c r="O1192" i="16"/>
  <c r="O1193" i="16"/>
  <c r="O1194" i="16"/>
  <c r="O1195" i="16"/>
  <c r="O1196" i="16"/>
  <c r="O1197" i="16"/>
  <c r="O1198" i="16"/>
  <c r="O1199" i="16"/>
  <c r="O1202" i="16"/>
  <c r="O1203" i="16"/>
  <c r="O1204" i="16"/>
  <c r="O1205" i="16"/>
  <c r="O1206" i="16"/>
  <c r="O1207" i="16"/>
  <c r="O1208" i="16"/>
  <c r="O1209" i="16"/>
  <c r="O1210" i="16"/>
  <c r="O1211" i="16"/>
  <c r="O1212" i="16"/>
  <c r="O1213" i="16"/>
  <c r="O1214" i="16"/>
  <c r="O1215" i="16"/>
  <c r="O1216" i="16"/>
  <c r="O1217" i="16"/>
  <c r="O1218" i="16"/>
  <c r="O1219" i="16"/>
  <c r="O1220" i="16"/>
  <c r="O1221" i="16"/>
  <c r="O1222" i="16"/>
  <c r="O1223" i="16"/>
  <c r="O1224" i="16"/>
  <c r="O1225" i="16"/>
  <c r="O1226" i="16"/>
  <c r="O1227" i="16"/>
  <c r="O1228" i="16"/>
  <c r="O1229" i="16"/>
  <c r="O1230" i="16"/>
  <c r="O1231" i="16"/>
  <c r="O1232" i="16"/>
  <c r="O1233" i="16"/>
  <c r="O1234" i="16"/>
  <c r="O1235" i="16"/>
  <c r="O1236" i="16"/>
  <c r="O1237" i="16"/>
  <c r="O1238" i="16"/>
  <c r="O1239" i="16"/>
  <c r="O1240" i="16"/>
  <c r="O1241" i="16"/>
  <c r="O1242" i="16"/>
  <c r="O1243" i="16"/>
  <c r="O1244" i="16"/>
  <c r="O1245" i="16"/>
  <c r="O1246" i="16"/>
  <c r="O1247" i="16"/>
  <c r="O1248" i="16"/>
  <c r="O1249" i="16"/>
  <c r="O1250" i="16"/>
  <c r="O1252" i="16"/>
  <c r="O1253" i="16"/>
  <c r="O1254" i="16"/>
  <c r="O1255" i="16"/>
  <c r="O1256" i="16"/>
  <c r="O1257" i="16"/>
  <c r="O1258" i="16"/>
  <c r="O1259" i="16"/>
  <c r="O1260" i="16"/>
  <c r="O1261" i="16"/>
  <c r="O1262" i="16"/>
  <c r="O1264" i="16"/>
  <c r="O1265" i="16"/>
  <c r="O1266" i="16"/>
  <c r="O1268" i="16"/>
  <c r="O1269" i="16"/>
  <c r="O1270" i="16"/>
  <c r="O1271" i="16"/>
  <c r="O1272" i="16"/>
  <c r="O1273" i="16"/>
  <c r="O1274" i="16"/>
  <c r="O1275" i="16"/>
  <c r="O1276" i="16"/>
  <c r="O1277" i="16"/>
  <c r="O1278" i="16"/>
  <c r="O1279" i="16"/>
  <c r="O1280" i="16"/>
  <c r="O1281" i="16"/>
  <c r="O1282" i="16"/>
  <c r="O1283" i="16"/>
  <c r="O1284" i="16"/>
  <c r="O1285" i="16"/>
  <c r="O1286" i="16"/>
  <c r="O1287" i="16"/>
  <c r="O1288" i="16"/>
  <c r="O1289" i="16"/>
  <c r="O1290" i="16"/>
  <c r="O1291" i="16"/>
  <c r="O1292" i="16"/>
  <c r="O1293" i="16"/>
  <c r="O1294" i="16"/>
  <c r="O1295" i="16"/>
  <c r="O1296" i="16"/>
  <c r="O1297" i="16"/>
  <c r="O1298" i="16"/>
  <c r="O1299" i="16"/>
  <c r="O1300" i="16"/>
  <c r="O1301" i="16"/>
  <c r="O1302" i="16"/>
  <c r="O1303" i="16"/>
  <c r="O1304" i="16"/>
  <c r="O1305" i="16"/>
  <c r="O1306" i="16"/>
  <c r="O1307" i="16"/>
  <c r="O1309" i="16"/>
  <c r="O1310" i="16"/>
  <c r="O1311" i="16"/>
  <c r="O1312" i="16"/>
  <c r="O1313" i="16"/>
  <c r="O1314" i="16"/>
  <c r="O1315" i="16"/>
  <c r="O1316" i="16"/>
  <c r="O1317" i="16"/>
  <c r="O1318" i="16"/>
  <c r="O1320" i="16"/>
  <c r="O1321" i="16"/>
  <c r="O1322" i="16"/>
  <c r="O1323" i="16"/>
  <c r="O1325" i="16"/>
  <c r="O1326" i="16"/>
  <c r="O1327" i="16"/>
  <c r="O1328" i="16"/>
  <c r="O1329" i="16"/>
  <c r="O1330" i="16"/>
  <c r="O1331" i="16"/>
  <c r="O1332" i="16"/>
  <c r="O1333" i="16"/>
  <c r="O1334" i="16"/>
  <c r="O1336" i="16"/>
  <c r="O1337" i="16"/>
  <c r="O1338" i="16"/>
  <c r="O1339" i="16"/>
  <c r="O1340" i="16"/>
  <c r="O1341" i="16"/>
  <c r="O1342" i="16"/>
  <c r="O1343" i="16"/>
  <c r="O1344" i="16"/>
  <c r="O1345" i="16"/>
  <c r="O1346" i="16"/>
  <c r="O1347" i="16"/>
  <c r="O1348" i="16"/>
  <c r="O1349" i="16"/>
  <c r="O1350" i="16"/>
  <c r="O1351" i="16"/>
  <c r="O1352" i="16"/>
  <c r="O1353" i="16"/>
  <c r="O1354" i="16"/>
  <c r="O1355" i="16"/>
  <c r="O1356" i="16"/>
  <c r="O1357" i="16"/>
  <c r="O1358" i="16"/>
  <c r="O1359" i="16"/>
  <c r="O1360" i="16"/>
  <c r="O1361" i="16"/>
  <c r="O1362" i="16"/>
  <c r="O1363" i="16"/>
  <c r="O1364" i="16"/>
  <c r="O1365" i="16"/>
  <c r="O1366" i="16"/>
  <c r="O1367" i="16"/>
  <c r="O1368" i="16"/>
  <c r="O1369" i="16"/>
  <c r="O1370" i="16"/>
  <c r="O1371" i="16"/>
  <c r="O1372" i="16"/>
  <c r="O1373" i="16"/>
  <c r="O1374" i="16"/>
  <c r="O1375" i="16"/>
  <c r="O1376" i="16"/>
  <c r="O1377" i="16"/>
  <c r="O1378" i="16"/>
  <c r="O1379" i="16"/>
  <c r="O1380" i="16"/>
  <c r="O1381" i="16"/>
  <c r="O1382" i="16"/>
  <c r="O1383" i="16"/>
  <c r="O1384" i="16"/>
  <c r="O1385" i="16"/>
  <c r="O1386" i="16"/>
  <c r="O1387" i="16"/>
  <c r="O1388" i="16"/>
  <c r="O1389" i="16"/>
  <c r="O1390" i="16"/>
  <c r="O1391" i="16"/>
  <c r="O1392" i="16"/>
  <c r="O1393" i="16"/>
  <c r="O1394" i="16"/>
  <c r="O1395" i="16"/>
  <c r="O1396" i="16"/>
  <c r="O1397" i="16"/>
  <c r="O1398" i="16"/>
  <c r="O1399" i="16"/>
  <c r="O1400" i="16"/>
  <c r="O1401" i="16"/>
  <c r="O1402" i="16"/>
  <c r="O1403" i="16"/>
  <c r="O1404" i="16"/>
  <c r="O1405" i="16"/>
  <c r="O1406" i="16"/>
  <c r="O1407" i="16"/>
  <c r="O1408" i="16"/>
  <c r="O1410" i="16"/>
  <c r="O1411" i="16"/>
  <c r="O1412" i="16"/>
  <c r="O1413" i="16"/>
  <c r="O1414" i="16"/>
  <c r="O1415" i="16"/>
  <c r="O1416" i="16"/>
  <c r="O1417" i="16"/>
  <c r="O1418" i="16"/>
  <c r="O1419" i="16"/>
  <c r="O1420" i="16"/>
  <c r="O1421" i="16"/>
  <c r="O1422" i="16"/>
  <c r="O1423" i="16"/>
  <c r="O1424" i="16"/>
  <c r="O1425" i="16"/>
  <c r="O1426" i="16"/>
  <c r="O1428" i="16"/>
  <c r="O1429" i="16"/>
  <c r="O1430" i="16"/>
  <c r="O1431" i="16"/>
  <c r="O1432" i="16"/>
  <c r="O1433" i="16"/>
  <c r="O1434" i="16"/>
  <c r="O1436" i="16"/>
  <c r="O1437" i="16"/>
  <c r="O1438" i="16"/>
  <c r="O1439" i="16"/>
  <c r="O1440" i="16"/>
  <c r="O1441" i="16"/>
  <c r="O1443" i="16"/>
  <c r="O1445" i="16"/>
  <c r="O1447" i="16"/>
  <c r="O1448" i="16"/>
  <c r="O1450" i="16"/>
  <c r="O1451" i="16"/>
  <c r="O1452" i="16"/>
  <c r="O1453" i="16"/>
  <c r="O1454" i="16"/>
  <c r="O1455" i="16"/>
  <c r="O1456" i="16"/>
  <c r="O1457" i="16"/>
  <c r="O1458" i="16"/>
  <c r="O1459" i="16"/>
  <c r="O1460" i="16"/>
  <c r="O1461" i="16"/>
  <c r="O1462" i="16"/>
  <c r="O1463" i="16"/>
  <c r="O1464" i="16"/>
  <c r="O1465" i="16"/>
  <c r="O1466" i="16"/>
  <c r="O1467" i="16"/>
  <c r="O1468" i="16"/>
  <c r="O1469" i="16"/>
  <c r="O1470" i="16"/>
  <c r="O1471" i="16"/>
  <c r="O1472" i="16"/>
  <c r="O1473" i="16"/>
  <c r="O1474" i="16"/>
  <c r="O1475" i="16"/>
  <c r="O1476" i="16"/>
  <c r="O1477" i="16"/>
  <c r="O1478" i="16"/>
  <c r="O1479" i="16"/>
  <c r="O1480" i="16"/>
  <c r="O1481" i="16"/>
  <c r="O1482" i="16"/>
  <c r="O1483" i="16"/>
  <c r="O1484" i="16"/>
  <c r="O1485" i="16"/>
  <c r="O1486" i="16"/>
  <c r="O1487" i="16"/>
  <c r="O1488" i="16"/>
  <c r="O1489" i="16"/>
  <c r="O1490" i="16"/>
  <c r="O1491" i="16"/>
  <c r="O1492" i="16"/>
  <c r="O1493" i="16"/>
  <c r="O1494" i="16"/>
  <c r="O1495" i="16"/>
  <c r="O1496" i="16"/>
  <c r="O1497" i="16"/>
  <c r="O1498" i="16"/>
  <c r="O1499" i="16"/>
  <c r="O1500" i="16"/>
  <c r="O1501" i="16"/>
  <c r="O1502" i="16"/>
  <c r="O1503" i="16"/>
  <c r="O1504" i="16"/>
  <c r="O1505" i="16"/>
  <c r="O1506" i="16"/>
  <c r="O1507" i="16"/>
  <c r="O1508" i="16"/>
  <c r="O1509" i="16"/>
  <c r="O1510" i="16"/>
  <c r="O1511" i="16"/>
  <c r="O1512" i="16"/>
  <c r="O1513" i="16"/>
  <c r="O1514" i="16"/>
  <c r="O1515" i="16"/>
  <c r="O1516" i="16"/>
  <c r="O1517" i="16"/>
  <c r="O1518" i="16"/>
  <c r="O1519" i="16"/>
  <c r="O1520" i="16"/>
  <c r="O1521" i="16"/>
  <c r="O1522" i="16"/>
  <c r="O1523" i="16"/>
  <c r="O1524" i="16"/>
  <c r="O1525" i="16"/>
  <c r="O1526" i="16"/>
  <c r="O1527" i="16"/>
  <c r="O1528" i="16"/>
  <c r="O1529" i="16"/>
  <c r="O1530" i="16"/>
  <c r="O1531" i="16"/>
  <c r="O1532" i="16"/>
  <c r="O1533" i="16"/>
  <c r="O1534" i="16"/>
  <c r="O1535" i="16"/>
  <c r="O1536" i="16"/>
  <c r="O1537" i="16"/>
  <c r="O1538" i="16"/>
  <c r="O1539" i="16"/>
  <c r="O1540" i="16"/>
  <c r="O1541" i="16"/>
  <c r="O1542" i="16"/>
  <c r="O1543" i="16"/>
  <c r="O1544" i="16"/>
  <c r="O1545" i="16"/>
  <c r="O1546" i="16"/>
  <c r="O1547" i="16"/>
  <c r="O1548" i="16"/>
  <c r="O1549" i="16"/>
  <c r="O1550" i="16"/>
  <c r="O1551" i="16"/>
  <c r="O1552" i="16"/>
  <c r="O1553" i="16"/>
  <c r="O1554" i="16"/>
  <c r="O1555" i="16"/>
  <c r="O1556" i="16"/>
  <c r="O1557" i="16"/>
  <c r="O1558" i="16"/>
  <c r="O1559" i="16"/>
  <c r="O1560" i="16"/>
  <c r="O1561" i="16"/>
  <c r="O1562" i="16"/>
  <c r="O1563" i="16"/>
  <c r="O1564" i="16"/>
  <c r="O1565" i="16"/>
  <c r="O1566" i="16"/>
  <c r="O1567" i="16"/>
  <c r="O1568" i="16"/>
  <c r="O1569" i="16"/>
  <c r="O1570" i="16"/>
  <c r="O1571" i="16"/>
  <c r="O1572" i="16"/>
  <c r="O1573" i="16"/>
  <c r="O1574" i="16"/>
  <c r="O1575" i="16"/>
  <c r="O1576" i="16"/>
  <c r="O1577" i="16"/>
  <c r="O1578" i="16"/>
  <c r="O1579" i="16"/>
  <c r="O1580" i="16"/>
  <c r="O1581" i="16"/>
  <c r="O1582" i="16"/>
  <c r="O1583" i="16"/>
  <c r="O1584" i="16"/>
  <c r="O1585" i="16"/>
  <c r="O1586" i="16"/>
  <c r="O1587" i="16"/>
  <c r="O1588" i="16"/>
  <c r="O1589" i="16"/>
  <c r="O1590" i="16"/>
  <c r="O1591" i="16"/>
  <c r="O1592" i="16"/>
  <c r="O1593" i="16"/>
  <c r="O1594" i="16"/>
  <c r="O1595" i="16"/>
  <c r="O1596" i="16"/>
  <c r="O1597" i="16"/>
  <c r="O1598" i="16"/>
  <c r="O1599" i="16"/>
  <c r="O1600" i="16"/>
  <c r="O1601" i="16"/>
  <c r="O1602" i="16"/>
  <c r="O1603" i="16"/>
  <c r="O1604" i="16"/>
  <c r="O1605" i="16"/>
  <c r="O1606" i="16"/>
  <c r="O1607" i="16"/>
  <c r="O1608" i="16"/>
  <c r="O1609" i="16"/>
  <c r="O1610" i="16"/>
  <c r="O1611" i="16"/>
  <c r="O1612" i="16"/>
  <c r="O1613" i="16"/>
  <c r="O1614" i="16"/>
  <c r="O1615" i="16"/>
  <c r="O1616" i="16"/>
  <c r="O1617" i="16"/>
  <c r="O1618" i="16"/>
  <c r="O1619" i="16"/>
  <c r="O1620" i="16"/>
  <c r="O1621" i="16"/>
  <c r="O1622" i="16"/>
  <c r="O1623" i="16"/>
  <c r="O1624" i="16"/>
  <c r="O1625" i="16"/>
  <c r="O1626" i="16"/>
  <c r="O1627" i="16"/>
  <c r="O1628" i="16"/>
  <c r="O1629" i="16"/>
  <c r="O1630" i="16"/>
  <c r="O1631" i="16"/>
  <c r="O1632" i="16"/>
  <c r="O1633" i="16"/>
  <c r="O1634" i="16"/>
  <c r="O1635" i="16"/>
  <c r="O1636" i="16"/>
  <c r="O1637" i="16"/>
  <c r="O1638" i="16"/>
  <c r="O1639" i="16"/>
  <c r="O1640" i="16"/>
  <c r="O1641" i="16"/>
  <c r="O1642" i="16"/>
  <c r="O1643" i="16"/>
  <c r="O1644" i="16"/>
  <c r="O1645" i="16"/>
  <c r="O1646" i="16"/>
  <c r="O1647" i="16"/>
  <c r="O1648" i="16"/>
  <c r="O1649" i="16"/>
  <c r="O1650" i="16"/>
  <c r="O1651" i="16"/>
  <c r="O1652" i="16"/>
  <c r="O1653" i="16"/>
  <c r="O1654" i="16"/>
  <c r="O1655" i="16"/>
  <c r="O1656" i="16"/>
  <c r="O1658" i="16"/>
  <c r="O1659" i="16"/>
  <c r="O1660" i="16"/>
  <c r="O1661" i="16"/>
  <c r="O1664" i="16"/>
  <c r="O1665" i="16"/>
  <c r="O1666" i="16"/>
  <c r="O1667" i="16"/>
  <c r="O1668" i="16"/>
  <c r="O1669" i="16"/>
  <c r="O1670" i="16"/>
  <c r="O1671" i="16"/>
  <c r="O1672" i="16"/>
  <c r="O1673" i="16"/>
  <c r="O1674" i="16"/>
  <c r="O1675" i="16"/>
  <c r="O1676" i="16"/>
  <c r="O1677" i="16"/>
  <c r="O1678" i="16"/>
  <c r="O1679" i="16"/>
  <c r="O1680" i="16"/>
  <c r="O1681" i="16"/>
  <c r="O1682" i="16"/>
  <c r="O1683" i="16"/>
  <c r="O1686" i="16"/>
  <c r="O1687" i="16"/>
  <c r="O1688" i="16"/>
  <c r="O1689" i="16"/>
  <c r="O1690" i="16"/>
  <c r="O1691" i="16"/>
  <c r="O1692" i="16"/>
  <c r="O1693" i="16"/>
  <c r="O1694" i="16"/>
  <c r="O1695" i="16"/>
  <c r="O1696" i="16"/>
  <c r="O1697" i="16"/>
  <c r="O1698" i="16"/>
  <c r="O1699" i="16"/>
  <c r="O1700" i="16"/>
  <c r="O1701" i="16"/>
  <c r="O1702" i="16"/>
  <c r="O1703" i="16"/>
  <c r="O1704" i="16"/>
  <c r="O1705" i="16"/>
  <c r="O1706" i="16"/>
  <c r="O1707" i="16"/>
  <c r="O1708" i="16"/>
  <c r="O1709" i="16"/>
  <c r="O1710" i="16"/>
  <c r="O1711" i="16"/>
  <c r="O1712" i="16"/>
  <c r="O1713" i="16"/>
  <c r="O1714" i="16"/>
  <c r="O1715" i="16"/>
  <c r="O1716" i="16"/>
  <c r="O1717" i="16"/>
  <c r="O1718" i="16"/>
  <c r="O1719" i="16"/>
  <c r="O1720" i="16"/>
  <c r="O1721" i="16"/>
  <c r="O1722" i="16"/>
  <c r="O1723" i="16"/>
  <c r="O1724" i="16"/>
  <c r="O1725" i="16"/>
  <c r="O1726" i="16"/>
  <c r="O1727" i="16"/>
  <c r="O1728" i="16"/>
  <c r="O1729" i="16"/>
  <c r="O1730" i="16"/>
  <c r="O1731" i="16"/>
  <c r="O1732" i="16"/>
  <c r="O1733" i="16"/>
  <c r="O1734" i="16"/>
  <c r="O1735" i="16"/>
  <c r="O1736" i="16"/>
  <c r="O1737" i="16"/>
  <c r="O1738" i="16"/>
  <c r="O1739" i="16"/>
  <c r="O1740" i="16"/>
  <c r="O1741" i="16"/>
  <c r="O1742" i="16"/>
  <c r="O1743" i="16"/>
  <c r="O1744" i="16"/>
  <c r="O1745" i="16"/>
  <c r="O1746" i="16"/>
  <c r="O1749" i="16"/>
  <c r="O1750" i="16"/>
  <c r="O1751" i="16"/>
  <c r="O1752" i="16"/>
  <c r="O1753" i="16"/>
  <c r="O1754" i="16"/>
  <c r="O1755" i="16"/>
  <c r="O1756" i="16"/>
  <c r="O1757" i="16"/>
  <c r="O1758" i="16"/>
  <c r="O1759" i="16"/>
  <c r="O1760" i="16"/>
  <c r="O1761" i="16"/>
  <c r="O1762" i="16"/>
  <c r="O1763" i="16"/>
  <c r="O1764" i="16"/>
  <c r="O1765" i="16"/>
  <c r="O1766" i="16"/>
  <c r="O1767" i="16"/>
  <c r="O1768" i="16"/>
  <c r="O1769" i="16"/>
  <c r="O1770" i="16"/>
  <c r="O1771" i="16"/>
  <c r="O1772" i="16"/>
  <c r="O1773" i="16"/>
  <c r="O1774" i="16"/>
  <c r="O1775" i="16"/>
  <c r="O1776" i="16"/>
  <c r="O1777" i="16"/>
  <c r="O1778" i="16"/>
  <c r="O1779" i="16"/>
  <c r="O1780" i="16"/>
  <c r="O1781" i="16"/>
  <c r="O1782" i="16"/>
  <c r="O1783" i="16"/>
  <c r="O1784" i="16"/>
  <c r="O1785" i="16"/>
  <c r="O1786" i="16"/>
  <c r="O1787" i="16"/>
  <c r="O1788" i="16"/>
  <c r="O1789" i="16"/>
  <c r="O1791" i="16"/>
  <c r="O1792" i="16"/>
  <c r="O1793" i="16"/>
  <c r="O1794" i="16"/>
  <c r="O1795" i="16"/>
  <c r="O1796" i="16"/>
  <c r="O1797" i="16"/>
  <c r="O1798" i="16"/>
  <c r="O1799" i="16"/>
  <c r="O1800" i="16"/>
  <c r="O1801" i="16"/>
  <c r="O1802" i="16"/>
  <c r="O1803" i="16"/>
  <c r="O1804" i="16"/>
  <c r="O1805" i="16"/>
  <c r="O1806" i="16"/>
  <c r="O1810" i="16"/>
  <c r="O1811" i="16"/>
  <c r="O1812" i="16"/>
  <c r="O1813" i="16"/>
  <c r="O1814" i="16"/>
  <c r="O1815" i="16"/>
  <c r="O1816" i="16"/>
  <c r="O1821" i="16"/>
  <c r="O1822" i="16"/>
  <c r="O1823" i="16"/>
  <c r="O1824" i="16"/>
  <c r="O1825" i="16"/>
  <c r="O1826" i="16"/>
  <c r="O1827" i="16"/>
  <c r="O1828" i="16"/>
  <c r="O1829" i="16"/>
  <c r="O1830" i="16"/>
  <c r="O1831" i="16"/>
  <c r="O1832" i="16"/>
  <c r="O1846" i="16"/>
  <c r="O1847" i="16"/>
  <c r="O1848" i="16"/>
  <c r="O1849" i="16"/>
  <c r="O1850" i="16"/>
  <c r="O1851" i="16"/>
  <c r="O1852" i="16"/>
  <c r="O1853" i="16"/>
  <c r="O1854" i="16"/>
  <c r="O1855" i="16"/>
  <c r="O1856" i="16"/>
  <c r="O1857" i="16"/>
  <c r="O1858" i="16"/>
  <c r="O1859" i="16"/>
  <c r="O1860" i="16"/>
  <c r="O1861" i="16"/>
  <c r="O1862" i="16"/>
  <c r="O1863" i="16"/>
  <c r="O1864" i="16"/>
  <c r="O1865" i="16"/>
  <c r="O1866" i="16"/>
  <c r="O1867" i="16"/>
  <c r="O1868" i="16"/>
  <c r="O1869" i="16"/>
  <c r="O1870" i="16"/>
  <c r="O1871" i="16"/>
  <c r="O1872" i="16"/>
  <c r="O1873" i="16"/>
  <c r="O1874" i="16"/>
  <c r="O1875" i="16"/>
  <c r="O1876" i="16"/>
  <c r="O1877" i="16"/>
  <c r="O1878" i="16"/>
  <c r="O1879" i="16"/>
  <c r="O1880" i="16"/>
  <c r="O1881" i="16"/>
  <c r="O1882" i="16"/>
  <c r="O1883" i="16"/>
  <c r="O1884" i="16"/>
  <c r="O1885" i="16"/>
  <c r="O1886" i="16"/>
  <c r="O1887" i="16"/>
  <c r="O1888" i="16"/>
  <c r="O1889" i="16"/>
  <c r="O1890" i="16"/>
  <c r="O1891" i="16"/>
  <c r="O1892" i="16"/>
  <c r="O1893" i="16"/>
  <c r="O1894" i="16"/>
  <c r="O1950" i="16"/>
  <c r="O1951" i="16"/>
  <c r="O1952" i="16"/>
  <c r="O1953" i="16"/>
  <c r="O1954" i="16"/>
  <c r="O1955" i="16"/>
  <c r="O1956" i="16"/>
  <c r="O1957" i="16"/>
  <c r="O1958" i="16"/>
  <c r="O1959" i="16"/>
  <c r="O1960" i="16"/>
  <c r="O1961" i="16"/>
  <c r="O1962" i="16"/>
  <c r="O1963" i="16"/>
  <c r="O1964" i="16"/>
  <c r="O1965" i="16"/>
  <c r="O1966" i="16"/>
  <c r="O1967" i="16"/>
  <c r="O1968" i="16"/>
  <c r="O1969" i="16"/>
  <c r="O1970" i="16"/>
  <c r="O1971" i="16"/>
  <c r="O1972" i="16"/>
  <c r="O1973" i="16"/>
  <c r="O1974" i="16"/>
  <c r="O1975" i="16"/>
  <c r="O1976" i="16"/>
  <c r="O1977" i="16"/>
  <c r="O1978" i="16"/>
  <c r="O1979" i="16"/>
  <c r="O1980" i="16"/>
  <c r="O1981" i="16"/>
  <c r="O1982" i="16"/>
  <c r="O1983" i="16"/>
  <c r="O1984" i="16"/>
  <c r="O1985" i="16"/>
  <c r="O1986" i="16"/>
  <c r="O1987" i="16"/>
  <c r="O1988" i="16"/>
  <c r="O1989" i="16"/>
  <c r="O1990" i="16"/>
  <c r="O1991" i="16"/>
  <c r="O1992" i="16"/>
  <c r="O1993" i="16"/>
  <c r="O1994" i="16"/>
  <c r="O1995" i="16"/>
  <c r="O1996" i="16"/>
  <c r="O1997" i="16"/>
  <c r="O1998" i="16"/>
  <c r="O1999" i="16"/>
  <c r="O2000" i="16"/>
  <c r="O2001" i="16"/>
  <c r="O2002" i="16"/>
  <c r="O2003" i="16"/>
  <c r="O2004" i="16"/>
  <c r="O2005" i="16"/>
  <c r="O2006" i="16"/>
  <c r="O2007" i="16"/>
  <c r="O2008" i="16"/>
  <c r="O2009" i="16"/>
  <c r="O2010" i="16"/>
  <c r="O2011" i="16"/>
  <c r="O2012" i="16"/>
  <c r="O2013" i="16"/>
  <c r="O2014" i="16"/>
  <c r="O2015" i="16"/>
  <c r="O2016" i="16"/>
  <c r="O2017" i="16"/>
  <c r="O2018" i="16"/>
  <c r="O2019" i="16"/>
  <c r="O2020" i="16"/>
  <c r="O2021" i="16"/>
  <c r="O2022" i="16"/>
  <c r="O2023" i="16"/>
  <c r="O2024" i="16"/>
  <c r="O2025" i="16"/>
  <c r="O2026" i="16"/>
  <c r="O2027" i="16"/>
  <c r="O2028" i="16"/>
  <c r="O2029" i="16"/>
  <c r="O2030" i="16"/>
  <c r="O2031" i="16"/>
  <c r="O2032" i="16"/>
  <c r="O2033" i="16"/>
  <c r="O2034" i="16"/>
  <c r="O2035" i="16"/>
  <c r="O2036" i="16"/>
  <c r="O2037" i="16"/>
  <c r="O2038" i="16"/>
  <c r="O2039" i="16"/>
  <c r="O2040" i="16"/>
  <c r="O2041" i="16"/>
  <c r="O2042" i="16"/>
  <c r="O2043" i="16"/>
  <c r="O2044" i="16"/>
  <c r="O2045" i="16"/>
  <c r="O2046" i="16"/>
  <c r="O2047" i="16"/>
  <c r="O2048" i="16"/>
  <c r="O2049" i="16"/>
  <c r="O2050" i="16"/>
  <c r="O2051" i="16"/>
  <c r="O2052" i="16"/>
  <c r="O2053" i="16"/>
  <c r="O2054" i="16"/>
  <c r="O2055" i="16"/>
  <c r="O2056" i="16"/>
  <c r="O2057" i="16"/>
  <c r="O2058" i="16"/>
  <c r="O2059" i="16"/>
  <c r="O2060" i="16"/>
  <c r="O2061" i="16"/>
  <c r="O2062" i="16"/>
  <c r="O2063" i="16"/>
  <c r="O7" i="16"/>
  <c r="I6" i="5"/>
  <c r="N7" i="16"/>
  <c r="O2064" i="16" l="1"/>
  <c r="J1332" i="22" l="1"/>
  <c r="G1332" i="22"/>
  <c r="F1332" i="22"/>
  <c r="E1332" i="22"/>
  <c r="I1332" i="22" l="1"/>
  <c r="L1332" i="22"/>
  <c r="K1332" i="22"/>
  <c r="H1332" i="22"/>
  <c r="A2" i="22" l="1"/>
  <c r="A2" i="21"/>
  <c r="A2" i="19"/>
  <c r="A2" i="18"/>
  <c r="A2" i="17"/>
  <c r="B2" i="16"/>
  <c r="G2064" i="16"/>
  <c r="E2067" i="16" s="1"/>
  <c r="K2065" i="16"/>
  <c r="M2064" i="16"/>
  <c r="N984" i="16" l="1"/>
  <c r="N963" i="16"/>
  <c r="N1181" i="16"/>
  <c r="S2063" i="16"/>
  <c r="T2063" i="16" s="1"/>
  <c r="N2063" i="16"/>
  <c r="S2062" i="16"/>
  <c r="T2062" i="16" s="1"/>
  <c r="N2062" i="16"/>
  <c r="N2061" i="16"/>
  <c r="N2060" i="16"/>
  <c r="N2058" i="16"/>
  <c r="N2056" i="16"/>
  <c r="N2055" i="16"/>
  <c r="N2052" i="16"/>
  <c r="N2051" i="16"/>
  <c r="N2049" i="16"/>
  <c r="N2048" i="16"/>
  <c r="N2045" i="16"/>
  <c r="N2044" i="16"/>
  <c r="N2042" i="16"/>
  <c r="N2041" i="16"/>
  <c r="N2040" i="16"/>
  <c r="N2038" i="16"/>
  <c r="N2037" i="16"/>
  <c r="N2036" i="16"/>
  <c r="N2033" i="16"/>
  <c r="N2032" i="16"/>
  <c r="N2031" i="16"/>
  <c r="N2030" i="16"/>
  <c r="N2029" i="16"/>
  <c r="N2028" i="16"/>
  <c r="N2025" i="16"/>
  <c r="AD2024" i="16"/>
  <c r="AE2024" i="16" s="1"/>
  <c r="S2024" i="16"/>
  <c r="T2024" i="16" s="1"/>
  <c r="N2024" i="16"/>
  <c r="S2023" i="16"/>
  <c r="T2023" i="16" s="1"/>
  <c r="N2023" i="16"/>
  <c r="S2022" i="16"/>
  <c r="T2022" i="16" s="1"/>
  <c r="N2022" i="16"/>
  <c r="S2021" i="16"/>
  <c r="T2021" i="16" s="1"/>
  <c r="N2021" i="16"/>
  <c r="S2020" i="16"/>
  <c r="T2020" i="16" s="1"/>
  <c r="N2020" i="16"/>
  <c r="S2019" i="16"/>
  <c r="T2019" i="16" s="1"/>
  <c r="N2019" i="16"/>
  <c r="AD2018" i="16"/>
  <c r="AE2018" i="16" s="1"/>
  <c r="S2018" i="16"/>
  <c r="T2018" i="16" s="1"/>
  <c r="N2018" i="16"/>
  <c r="AD2017" i="16"/>
  <c r="AE2017" i="16" s="1"/>
  <c r="S2017" i="16"/>
  <c r="T2017" i="16" s="1"/>
  <c r="N2017" i="16"/>
  <c r="AD2016" i="16"/>
  <c r="AE2016" i="16" s="1"/>
  <c r="S2016" i="16"/>
  <c r="T2016" i="16" s="1"/>
  <c r="N2016" i="16"/>
  <c r="AD2015" i="16"/>
  <c r="AE2015" i="16" s="1"/>
  <c r="S2015" i="16"/>
  <c r="T2015" i="16" s="1"/>
  <c r="N2015" i="16"/>
  <c r="AD2014" i="16"/>
  <c r="AE2014" i="16" s="1"/>
  <c r="S2014" i="16"/>
  <c r="T2014" i="16" s="1"/>
  <c r="N2014" i="16"/>
  <c r="S2013" i="16"/>
  <c r="T2013" i="16" s="1"/>
  <c r="N2013" i="16"/>
  <c r="AD2012" i="16"/>
  <c r="AE2012" i="16" s="1"/>
  <c r="S2012" i="16"/>
  <c r="T2012" i="16" s="1"/>
  <c r="N2012" i="16"/>
  <c r="AD2011" i="16"/>
  <c r="AE2011" i="16" s="1"/>
  <c r="S2011" i="16"/>
  <c r="T2011" i="16" s="1"/>
  <c r="N2011" i="16"/>
  <c r="S2010" i="16"/>
  <c r="T2010" i="16" s="1"/>
  <c r="N2010" i="16"/>
  <c r="S2009" i="16"/>
  <c r="T2009" i="16" s="1"/>
  <c r="N2009" i="16"/>
  <c r="AD2008" i="16"/>
  <c r="AE2008" i="16" s="1"/>
  <c r="S2008" i="16"/>
  <c r="T2008" i="16" s="1"/>
  <c r="N2008" i="16"/>
  <c r="S2007" i="16"/>
  <c r="T2007" i="16" s="1"/>
  <c r="N2007" i="16"/>
  <c r="AD2006" i="16"/>
  <c r="AE2006" i="16" s="1"/>
  <c r="S2006" i="16"/>
  <c r="T2006" i="16" s="1"/>
  <c r="AD2005" i="16"/>
  <c r="AE2005" i="16" s="1"/>
  <c r="S2005" i="16"/>
  <c r="T2005" i="16" s="1"/>
  <c r="N2005" i="16"/>
  <c r="S2004" i="16"/>
  <c r="T2004" i="16" s="1"/>
  <c r="N2004" i="16"/>
  <c r="S2003" i="16"/>
  <c r="T2003" i="16" s="1"/>
  <c r="S2002" i="16"/>
  <c r="T2002" i="16" s="1"/>
  <c r="N2002" i="16"/>
  <c r="U2001" i="16"/>
  <c r="S2001" i="16" s="1"/>
  <c r="T2001" i="16" s="1"/>
  <c r="N2001" i="16"/>
  <c r="U2000" i="16"/>
  <c r="S2000" i="16" s="1"/>
  <c r="T2000" i="16" s="1"/>
  <c r="N2000" i="16"/>
  <c r="S1999" i="16"/>
  <c r="T1999" i="16" s="1"/>
  <c r="N1999" i="16"/>
  <c r="S1998" i="16"/>
  <c r="T1998" i="16" s="1"/>
  <c r="N1998" i="16"/>
  <c r="S1997" i="16"/>
  <c r="T1997" i="16" s="1"/>
  <c r="N1997" i="16"/>
  <c r="S1996" i="16"/>
  <c r="T1996" i="16" s="1"/>
  <c r="N1996" i="16"/>
  <c r="S1995" i="16"/>
  <c r="T1995" i="16" s="1"/>
  <c r="N1995" i="16"/>
  <c r="S1994" i="16"/>
  <c r="T1994" i="16" s="1"/>
  <c r="N1994" i="16"/>
  <c r="S1993" i="16"/>
  <c r="T1993" i="16" s="1"/>
  <c r="S1992" i="16"/>
  <c r="T1992" i="16" s="1"/>
  <c r="N1992" i="16"/>
  <c r="S1991" i="16"/>
  <c r="T1991" i="16" s="1"/>
  <c r="N1991" i="16"/>
  <c r="S1990" i="16"/>
  <c r="T1990" i="16" s="1"/>
  <c r="N1990" i="16"/>
  <c r="S1989" i="16"/>
  <c r="T1989" i="16" s="1"/>
  <c r="N1989" i="16"/>
  <c r="S1988" i="16"/>
  <c r="T1988" i="16" s="1"/>
  <c r="N1988" i="16"/>
  <c r="S1987" i="16"/>
  <c r="T1987" i="16" s="1"/>
  <c r="S1986" i="16"/>
  <c r="T1986" i="16" s="1"/>
  <c r="N1986" i="16"/>
  <c r="S1985" i="16"/>
  <c r="T1985" i="16" s="1"/>
  <c r="N1985" i="16"/>
  <c r="S1984" i="16"/>
  <c r="T1984" i="16" s="1"/>
  <c r="N1984" i="16"/>
  <c r="S1983" i="16"/>
  <c r="T1983" i="16" s="1"/>
  <c r="N1983" i="16"/>
  <c r="S1982" i="16"/>
  <c r="T1982" i="16" s="1"/>
  <c r="N1982" i="16"/>
  <c r="S1981" i="16"/>
  <c r="T1981" i="16" s="1"/>
  <c r="N1981" i="16"/>
  <c r="S1980" i="16"/>
  <c r="T1980" i="16" s="1"/>
  <c r="S1979" i="16"/>
  <c r="T1979" i="16" s="1"/>
  <c r="N1979" i="16"/>
  <c r="S1978" i="16"/>
  <c r="T1978" i="16" s="1"/>
  <c r="S1977" i="16"/>
  <c r="T1977" i="16" s="1"/>
  <c r="N1977" i="16"/>
  <c r="S1976" i="16"/>
  <c r="T1976" i="16" s="1"/>
  <c r="S1975" i="16"/>
  <c r="T1975" i="16" s="1"/>
  <c r="S1974" i="16"/>
  <c r="T1974" i="16" s="1"/>
  <c r="S1973" i="16"/>
  <c r="T1973" i="16" s="1"/>
  <c r="N1973" i="16"/>
  <c r="S1972" i="16"/>
  <c r="T1972" i="16" s="1"/>
  <c r="N1972" i="16"/>
  <c r="S1971" i="16"/>
  <c r="T1971" i="16" s="1"/>
  <c r="N1971" i="16"/>
  <c r="S1970" i="16"/>
  <c r="T1970" i="16" s="1"/>
  <c r="S1969" i="16"/>
  <c r="T1969" i="16" s="1"/>
  <c r="N1969" i="16"/>
  <c r="S1968" i="16"/>
  <c r="T1968" i="16" s="1"/>
  <c r="N1968" i="16"/>
  <c r="S1967" i="16"/>
  <c r="T1967" i="16" s="1"/>
  <c r="N1967" i="16"/>
  <c r="S1966" i="16"/>
  <c r="T1966" i="16" s="1"/>
  <c r="S1965" i="16"/>
  <c r="T1965" i="16" s="1"/>
  <c r="N1965" i="16"/>
  <c r="S1964" i="16"/>
  <c r="T1964" i="16" s="1"/>
  <c r="N1964" i="16"/>
  <c r="S1963" i="16"/>
  <c r="T1963" i="16" s="1"/>
  <c r="N1963" i="16"/>
  <c r="S1962" i="16"/>
  <c r="T1962" i="16" s="1"/>
  <c r="S1961" i="16"/>
  <c r="T1961" i="16" s="1"/>
  <c r="N1961" i="16"/>
  <c r="S1960" i="16"/>
  <c r="T1960" i="16" s="1"/>
  <c r="N1960" i="16"/>
  <c r="S1959" i="16"/>
  <c r="T1959" i="16" s="1"/>
  <c r="S1958" i="16"/>
  <c r="T1958" i="16" s="1"/>
  <c r="S1957" i="16"/>
  <c r="T1957" i="16" s="1"/>
  <c r="N1957" i="16"/>
  <c r="S1956" i="16"/>
  <c r="T1956" i="16" s="1"/>
  <c r="N1956" i="16"/>
  <c r="S1955" i="16"/>
  <c r="T1955" i="16" s="1"/>
  <c r="S1954" i="16"/>
  <c r="T1954" i="16" s="1"/>
  <c r="S1953" i="16"/>
  <c r="T1953" i="16" s="1"/>
  <c r="N1953" i="16"/>
  <c r="S1952" i="16"/>
  <c r="T1952" i="16" s="1"/>
  <c r="S1951" i="16"/>
  <c r="T1951" i="16" s="1"/>
  <c r="S1950" i="16"/>
  <c r="T1950" i="16" s="1"/>
  <c r="S1949" i="16"/>
  <c r="T1949" i="16" s="1"/>
  <c r="S1948" i="16"/>
  <c r="T1948" i="16" s="1"/>
  <c r="S1947" i="16"/>
  <c r="T1947" i="16" s="1"/>
  <c r="S1946" i="16"/>
  <c r="T1946" i="16" s="1"/>
  <c r="S1945" i="16"/>
  <c r="T1945" i="16" s="1"/>
  <c r="S1944" i="16"/>
  <c r="T1944" i="16" s="1"/>
  <c r="S1943" i="16"/>
  <c r="T1943" i="16" s="1"/>
  <c r="S1942" i="16"/>
  <c r="T1942" i="16" s="1"/>
  <c r="S1894" i="16"/>
  <c r="T1894" i="16" s="1"/>
  <c r="N1894" i="16"/>
  <c r="S1893" i="16"/>
  <c r="T1893" i="16" s="1"/>
  <c r="N1893" i="16"/>
  <c r="S1892" i="16"/>
  <c r="T1892" i="16" s="1"/>
  <c r="S1891" i="16"/>
  <c r="T1891" i="16" s="1"/>
  <c r="N1891" i="16"/>
  <c r="S1890" i="16"/>
  <c r="T1890" i="16" s="1"/>
  <c r="N1890" i="16"/>
  <c r="S1889" i="16"/>
  <c r="T1889" i="16" s="1"/>
  <c r="S1888" i="16"/>
  <c r="T1888" i="16" s="1"/>
  <c r="N1888" i="16"/>
  <c r="S1887" i="16"/>
  <c r="T1887" i="16" s="1"/>
  <c r="N1887" i="16"/>
  <c r="S1886" i="16"/>
  <c r="T1886" i="16" s="1"/>
  <c r="N1886" i="16"/>
  <c r="S1885" i="16"/>
  <c r="T1885" i="16" s="1"/>
  <c r="S1884" i="16"/>
  <c r="T1884" i="16" s="1"/>
  <c r="S1883" i="16"/>
  <c r="T1883" i="16" s="1"/>
  <c r="N1883" i="16"/>
  <c r="S1882" i="16"/>
  <c r="T1882" i="16" s="1"/>
  <c r="N1882" i="16"/>
  <c r="S1881" i="16"/>
  <c r="T1881" i="16" s="1"/>
  <c r="S1880" i="16"/>
  <c r="T1880" i="16" s="1"/>
  <c r="N1880" i="16"/>
  <c r="S1879" i="16"/>
  <c r="T1879" i="16" s="1"/>
  <c r="N1879" i="16"/>
  <c r="S1878" i="16"/>
  <c r="T1878" i="16" s="1"/>
  <c r="S1877" i="16"/>
  <c r="T1877" i="16" s="1"/>
  <c r="S1876" i="16"/>
  <c r="T1876" i="16" s="1"/>
  <c r="N1876" i="16"/>
  <c r="S1875" i="16"/>
  <c r="T1875" i="16" s="1"/>
  <c r="N1875" i="16"/>
  <c r="S1874" i="16"/>
  <c r="T1874" i="16" s="1"/>
  <c r="N1874" i="16"/>
  <c r="S1873" i="16"/>
  <c r="T1873" i="16" s="1"/>
  <c r="S1872" i="16"/>
  <c r="T1872" i="16" s="1"/>
  <c r="N1872" i="16"/>
  <c r="S1871" i="16"/>
  <c r="T1871" i="16" s="1"/>
  <c r="N1871" i="16"/>
  <c r="S1870" i="16"/>
  <c r="T1870" i="16" s="1"/>
  <c r="N1870" i="16"/>
  <c r="S1869" i="16"/>
  <c r="T1869" i="16" s="1"/>
  <c r="S1868" i="16"/>
  <c r="T1868" i="16" s="1"/>
  <c r="S1867" i="16"/>
  <c r="T1867" i="16" s="1"/>
  <c r="N1867" i="16"/>
  <c r="S1866" i="16"/>
  <c r="T1866" i="16" s="1"/>
  <c r="N1866" i="16"/>
  <c r="S1865" i="16"/>
  <c r="T1865" i="16" s="1"/>
  <c r="N1865" i="16"/>
  <c r="S1864" i="16"/>
  <c r="T1864" i="16" s="1"/>
  <c r="U1863" i="16"/>
  <c r="S1863" i="16" s="1"/>
  <c r="T1863" i="16" s="1"/>
  <c r="S1862" i="16"/>
  <c r="T1862" i="16" s="1"/>
  <c r="N1862" i="16"/>
  <c r="S1861" i="16"/>
  <c r="T1861" i="16" s="1"/>
  <c r="N1861" i="16"/>
  <c r="S1860" i="16"/>
  <c r="T1860" i="16" s="1"/>
  <c r="N1860" i="16"/>
  <c r="S1859" i="16"/>
  <c r="T1859" i="16" s="1"/>
  <c r="N1859" i="16"/>
  <c r="S1858" i="16"/>
  <c r="T1858" i="16" s="1"/>
  <c r="N1858" i="16"/>
  <c r="S1857" i="16"/>
  <c r="T1857" i="16" s="1"/>
  <c r="N1857" i="16"/>
  <c r="S1856" i="16"/>
  <c r="T1856" i="16" s="1"/>
  <c r="N1856" i="16"/>
  <c r="S1855" i="16"/>
  <c r="T1855" i="16" s="1"/>
  <c r="S1854" i="16"/>
  <c r="T1854" i="16" s="1"/>
  <c r="N1854" i="16"/>
  <c r="S1853" i="16"/>
  <c r="T1853" i="16" s="1"/>
  <c r="N1853" i="16"/>
  <c r="S1852" i="16"/>
  <c r="T1852" i="16" s="1"/>
  <c r="N1852" i="16"/>
  <c r="S1851" i="16"/>
  <c r="T1851" i="16" s="1"/>
  <c r="N1851" i="16"/>
  <c r="S1850" i="16"/>
  <c r="T1850" i="16" s="1"/>
  <c r="S1849" i="16"/>
  <c r="T1849" i="16" s="1"/>
  <c r="N1849" i="16"/>
  <c r="S1848" i="16"/>
  <c r="T1848" i="16" s="1"/>
  <c r="N1848" i="16"/>
  <c r="S1847" i="16"/>
  <c r="T1847" i="16" s="1"/>
  <c r="N1847" i="16"/>
  <c r="S1846" i="16"/>
  <c r="T1846" i="16" s="1"/>
  <c r="S1832" i="16"/>
  <c r="T1832" i="16" s="1"/>
  <c r="S1831" i="16"/>
  <c r="T1831" i="16" s="1"/>
  <c r="N1831" i="16"/>
  <c r="S1830" i="16"/>
  <c r="T1830" i="16" s="1"/>
  <c r="N1830" i="16"/>
  <c r="S1829" i="16"/>
  <c r="T1829" i="16" s="1"/>
  <c r="AD1828" i="16"/>
  <c r="AE1828" i="16" s="1"/>
  <c r="S1828" i="16"/>
  <c r="T1828" i="16" s="1"/>
  <c r="N1828" i="16"/>
  <c r="AD1827" i="16"/>
  <c r="AE1827" i="16" s="1"/>
  <c r="S1827" i="16"/>
  <c r="T1827" i="16" s="1"/>
  <c r="N1827" i="16"/>
  <c r="S1826" i="16"/>
  <c r="T1826" i="16" s="1"/>
  <c r="S1825" i="16"/>
  <c r="T1825" i="16" s="1"/>
  <c r="S1824" i="16"/>
  <c r="T1824" i="16" s="1"/>
  <c r="S1823" i="16"/>
  <c r="T1823" i="16" s="1"/>
  <c r="N1823" i="16"/>
  <c r="S1822" i="16"/>
  <c r="T1822" i="16" s="1"/>
  <c r="N1822" i="16"/>
  <c r="S1821" i="16"/>
  <c r="T1821" i="16" s="1"/>
  <c r="N1821" i="16"/>
  <c r="S1816" i="16"/>
  <c r="T1816" i="16" s="1"/>
  <c r="S1815" i="16"/>
  <c r="T1815" i="16" s="1"/>
  <c r="N1815" i="16"/>
  <c r="S1814" i="16"/>
  <c r="T1814" i="16" s="1"/>
  <c r="N1814" i="16"/>
  <c r="S1813" i="16"/>
  <c r="T1813" i="16" s="1"/>
  <c r="N1813" i="16"/>
  <c r="S1812" i="16"/>
  <c r="T1812" i="16" s="1"/>
  <c r="S1811" i="16"/>
  <c r="T1811" i="16" s="1"/>
  <c r="N1811" i="16"/>
  <c r="S1810" i="16"/>
  <c r="T1810" i="16" s="1"/>
  <c r="N1810" i="16"/>
  <c r="AD1806" i="16"/>
  <c r="AE1806" i="16" s="1"/>
  <c r="S1806" i="16"/>
  <c r="T1806" i="16" s="1"/>
  <c r="N1806" i="16"/>
  <c r="S1805" i="16"/>
  <c r="T1805" i="16" s="1"/>
  <c r="N1805" i="16"/>
  <c r="S1804" i="16"/>
  <c r="T1804" i="16" s="1"/>
  <c r="N1804" i="16"/>
  <c r="S1803" i="16"/>
  <c r="T1803" i="16" s="1"/>
  <c r="S1802" i="16"/>
  <c r="T1802" i="16" s="1"/>
  <c r="N1802" i="16"/>
  <c r="S1801" i="16"/>
  <c r="T1801" i="16" s="1"/>
  <c r="N1801" i="16"/>
  <c r="S1800" i="16"/>
  <c r="T1800" i="16" s="1"/>
  <c r="N1800" i="16"/>
  <c r="S1799" i="16"/>
  <c r="T1799" i="16" s="1"/>
  <c r="W1798" i="16"/>
  <c r="AD1798" i="16" s="1"/>
  <c r="AE1798" i="16" s="1"/>
  <c r="S1797" i="16"/>
  <c r="T1797" i="16" s="1"/>
  <c r="S1796" i="16"/>
  <c r="T1796" i="16" s="1"/>
  <c r="S1795" i="16"/>
  <c r="T1795" i="16" s="1"/>
  <c r="N1795" i="16"/>
  <c r="S1794" i="16"/>
  <c r="T1794" i="16" s="1"/>
  <c r="S1793" i="16"/>
  <c r="T1793" i="16" s="1"/>
  <c r="S1792" i="16"/>
  <c r="T1792" i="16" s="1"/>
  <c r="S1791" i="16"/>
  <c r="T1791" i="16" s="1"/>
  <c r="N1791" i="16"/>
  <c r="S1789" i="16"/>
  <c r="T1789" i="16" s="1"/>
  <c r="S1788" i="16"/>
  <c r="T1788" i="16" s="1"/>
  <c r="S1787" i="16"/>
  <c r="T1787" i="16" s="1"/>
  <c r="S1786" i="16"/>
  <c r="T1786" i="16" s="1"/>
  <c r="N1786" i="16"/>
  <c r="S1785" i="16"/>
  <c r="T1785" i="16" s="1"/>
  <c r="N1785" i="16"/>
  <c r="U1784" i="16"/>
  <c r="S1784" i="16" s="1"/>
  <c r="T1784" i="16" s="1"/>
  <c r="S1783" i="16"/>
  <c r="T1783" i="16" s="1"/>
  <c r="N1783" i="16"/>
  <c r="S1782" i="16"/>
  <c r="T1782" i="16" s="1"/>
  <c r="S1781" i="16"/>
  <c r="T1781" i="16" s="1"/>
  <c r="AD1780" i="16"/>
  <c r="AE1780" i="16" s="1"/>
  <c r="S1780" i="16"/>
  <c r="T1780" i="16" s="1"/>
  <c r="S1779" i="16"/>
  <c r="T1779" i="16" s="1"/>
  <c r="S1778" i="16"/>
  <c r="T1778" i="16" s="1"/>
  <c r="N1778" i="16"/>
  <c r="S1777" i="16"/>
  <c r="T1777" i="16" s="1"/>
  <c r="N1777" i="16"/>
  <c r="S1776" i="16"/>
  <c r="T1776" i="16" s="1"/>
  <c r="N1776" i="16"/>
  <c r="S1775" i="16"/>
  <c r="T1775" i="16" s="1"/>
  <c r="S1774" i="16"/>
  <c r="T1774" i="16" s="1"/>
  <c r="N1774" i="16"/>
  <c r="S1773" i="16"/>
  <c r="T1773" i="16" s="1"/>
  <c r="S1772" i="16"/>
  <c r="T1772" i="16" s="1"/>
  <c r="S1771" i="16"/>
  <c r="T1771" i="16" s="1"/>
  <c r="S1770" i="16"/>
  <c r="T1770" i="16" s="1"/>
  <c r="N1770" i="16"/>
  <c r="S1769" i="16"/>
  <c r="T1769" i="16" s="1"/>
  <c r="S1768" i="16"/>
  <c r="T1768" i="16" s="1"/>
  <c r="S1767" i="16"/>
  <c r="T1767" i="16" s="1"/>
  <c r="S1766" i="16"/>
  <c r="T1766" i="16" s="1"/>
  <c r="N1766" i="16"/>
  <c r="S1765" i="16"/>
  <c r="T1765" i="16" s="1"/>
  <c r="S1764" i="16"/>
  <c r="T1764" i="16" s="1"/>
  <c r="S1763" i="16"/>
  <c r="T1763" i="16" s="1"/>
  <c r="S1762" i="16"/>
  <c r="T1762" i="16" s="1"/>
  <c r="N1762" i="16"/>
  <c r="S1761" i="16"/>
  <c r="T1761" i="16" s="1"/>
  <c r="N1761" i="16"/>
  <c r="S1760" i="16"/>
  <c r="T1760" i="16" s="1"/>
  <c r="N1760" i="16"/>
  <c r="S1759" i="16"/>
  <c r="T1759" i="16" s="1"/>
  <c r="S1758" i="16"/>
  <c r="T1758" i="16" s="1"/>
  <c r="N1758" i="16"/>
  <c r="S1757" i="16"/>
  <c r="T1757" i="16" s="1"/>
  <c r="N1757" i="16"/>
  <c r="U1756" i="16"/>
  <c r="S1756" i="16" s="1"/>
  <c r="T1756" i="16" s="1"/>
  <c r="N1756" i="16"/>
  <c r="U1755" i="16"/>
  <c r="S1755" i="16" s="1"/>
  <c r="T1755" i="16" s="1"/>
  <c r="N1755" i="16"/>
  <c r="S1754" i="16"/>
  <c r="T1754" i="16" s="1"/>
  <c r="N1754" i="16"/>
  <c r="S1753" i="16"/>
  <c r="T1753" i="16" s="1"/>
  <c r="N1753" i="16"/>
  <c r="S1752" i="16"/>
  <c r="T1752" i="16" s="1"/>
  <c r="N1752" i="16"/>
  <c r="S1751" i="16"/>
  <c r="T1751" i="16" s="1"/>
  <c r="AD1750" i="16"/>
  <c r="AE1750" i="16" s="1"/>
  <c r="S1750" i="16"/>
  <c r="T1750" i="16" s="1"/>
  <c r="AD1749" i="16"/>
  <c r="AE1749" i="16" s="1"/>
  <c r="S1749" i="16"/>
  <c r="T1749" i="16" s="1"/>
  <c r="N1749" i="16"/>
  <c r="S1746" i="16"/>
  <c r="T1746" i="16" s="1"/>
  <c r="N1746" i="16"/>
  <c r="S1745" i="16"/>
  <c r="T1745" i="16" s="1"/>
  <c r="U1744" i="16"/>
  <c r="S1744" i="16" s="1"/>
  <c r="T1744" i="16" s="1"/>
  <c r="S1743" i="16"/>
  <c r="T1743" i="16" s="1"/>
  <c r="N1743" i="16"/>
  <c r="S1742" i="16"/>
  <c r="T1742" i="16" s="1"/>
  <c r="N1742" i="16"/>
  <c r="S1741" i="16"/>
  <c r="T1741" i="16" s="1"/>
  <c r="N1741" i="16"/>
  <c r="S1740" i="16"/>
  <c r="T1740" i="16" s="1"/>
  <c r="S1739" i="16"/>
  <c r="T1739" i="16" s="1"/>
  <c r="N1739" i="16"/>
  <c r="S1738" i="16"/>
  <c r="T1738" i="16" s="1"/>
  <c r="N1738" i="16"/>
  <c r="S1737" i="16"/>
  <c r="T1737" i="16" s="1"/>
  <c r="N1737" i="16"/>
  <c r="S1736" i="16"/>
  <c r="T1736" i="16" s="1"/>
  <c r="S1735" i="16"/>
  <c r="N1735" i="16"/>
  <c r="S1734" i="16"/>
  <c r="N1734" i="16"/>
  <c r="S1733" i="16"/>
  <c r="T1733" i="16" s="1"/>
  <c r="N1733" i="16"/>
  <c r="S1732" i="16"/>
  <c r="T1732" i="16" s="1"/>
  <c r="N1732" i="16"/>
  <c r="S1731" i="16"/>
  <c r="T1731" i="16" s="1"/>
  <c r="N1731" i="16"/>
  <c r="U1730" i="16"/>
  <c r="S1730" i="16" s="1"/>
  <c r="T1730" i="16" s="1"/>
  <c r="S1729" i="16"/>
  <c r="T1729" i="16" s="1"/>
  <c r="S1728" i="16"/>
  <c r="T1728" i="16" s="1"/>
  <c r="N1728" i="16"/>
  <c r="S1727" i="16"/>
  <c r="T1727" i="16" s="1"/>
  <c r="S1726" i="16"/>
  <c r="T1726" i="16" s="1"/>
  <c r="S1725" i="16"/>
  <c r="T1725" i="16" s="1"/>
  <c r="S1724" i="16"/>
  <c r="T1724" i="16" s="1"/>
  <c r="N1724" i="16"/>
  <c r="S1723" i="16"/>
  <c r="T1723" i="16" s="1"/>
  <c r="N1723" i="16"/>
  <c r="S1722" i="16"/>
  <c r="N1722" i="16"/>
  <c r="U1721" i="16"/>
  <c r="S1721" i="16" s="1"/>
  <c r="T1721" i="16" s="1"/>
  <c r="S1720" i="16"/>
  <c r="T1720" i="16" s="1"/>
  <c r="S1719" i="16"/>
  <c r="T1719" i="16" s="1"/>
  <c r="S1718" i="16"/>
  <c r="T1718" i="16" s="1"/>
  <c r="S1717" i="16"/>
  <c r="T1717" i="16" s="1"/>
  <c r="S1716" i="16"/>
  <c r="N1716" i="16"/>
  <c r="S1715" i="16"/>
  <c r="T1715" i="16" s="1"/>
  <c r="S1714" i="16"/>
  <c r="T1714" i="16" s="1"/>
  <c r="AA1713" i="16"/>
  <c r="AD1713" i="16" s="1"/>
  <c r="AE1713" i="16" s="1"/>
  <c r="AD1712" i="16"/>
  <c r="AE1712" i="16" s="1"/>
  <c r="S1712" i="16"/>
  <c r="T1712" i="16" s="1"/>
  <c r="N1712" i="16"/>
  <c r="AD1711" i="16"/>
  <c r="AE1711" i="16" s="1"/>
  <c r="U1711" i="16"/>
  <c r="S1711" i="16" s="1"/>
  <c r="T1711" i="16" s="1"/>
  <c r="N1711" i="16"/>
  <c r="S1710" i="16"/>
  <c r="T1710" i="16" s="1"/>
  <c r="S1709" i="16"/>
  <c r="T1709" i="16" s="1"/>
  <c r="S1708" i="16"/>
  <c r="T1708" i="16" s="1"/>
  <c r="S1707" i="16"/>
  <c r="T1707" i="16" s="1"/>
  <c r="S1706" i="16"/>
  <c r="T1706" i="16" s="1"/>
  <c r="S1705" i="16"/>
  <c r="T1705" i="16" s="1"/>
  <c r="N1705" i="16"/>
  <c r="S1704" i="16"/>
  <c r="T1704" i="16" s="1"/>
  <c r="N1704" i="16"/>
  <c r="S1703" i="16"/>
  <c r="T1703" i="16" s="1"/>
  <c r="N1703" i="16"/>
  <c r="AD1702" i="16"/>
  <c r="AE1702" i="16" s="1"/>
  <c r="S1702" i="16"/>
  <c r="T1702" i="16" s="1"/>
  <c r="S1701" i="16"/>
  <c r="T1701" i="16" s="1"/>
  <c r="S1700" i="16"/>
  <c r="T1700" i="16" s="1"/>
  <c r="S1699" i="16"/>
  <c r="T1699" i="16" s="1"/>
  <c r="N1699" i="16"/>
  <c r="S1698" i="16"/>
  <c r="T1698" i="16" s="1"/>
  <c r="N1698" i="16"/>
  <c r="U1697" i="16"/>
  <c r="S1697" i="16" s="1"/>
  <c r="T1697" i="16" s="1"/>
  <c r="S1696" i="16"/>
  <c r="T1696" i="16" s="1"/>
  <c r="S1695" i="16"/>
  <c r="T1695" i="16" s="1"/>
  <c r="N1695" i="16"/>
  <c r="U1694" i="16"/>
  <c r="S1694" i="16" s="1"/>
  <c r="T1694" i="16" s="1"/>
  <c r="N1694" i="16"/>
  <c r="S1693" i="16"/>
  <c r="T1693" i="16" s="1"/>
  <c r="N1693" i="16"/>
  <c r="S1692" i="16"/>
  <c r="T1692" i="16" s="1"/>
  <c r="S1691" i="16"/>
  <c r="T1691" i="16" s="1"/>
  <c r="N1691" i="16"/>
  <c r="S1690" i="16"/>
  <c r="T1690" i="16" s="1"/>
  <c r="N1690" i="16"/>
  <c r="S1689" i="16"/>
  <c r="T1689" i="16" s="1"/>
  <c r="N1689" i="16"/>
  <c r="S1688" i="16"/>
  <c r="T1688" i="16" s="1"/>
  <c r="S1687" i="16"/>
  <c r="T1687" i="16" s="1"/>
  <c r="S1686" i="16"/>
  <c r="T1686" i="16" s="1"/>
  <c r="N1686" i="16"/>
  <c r="S1683" i="16"/>
  <c r="T1683" i="16" s="1"/>
  <c r="N1683" i="16"/>
  <c r="S1682" i="16"/>
  <c r="T1682" i="16" s="1"/>
  <c r="N1682" i="16"/>
  <c r="S1681" i="16"/>
  <c r="T1681" i="16" s="1"/>
  <c r="N1681" i="16"/>
  <c r="S1680" i="16"/>
  <c r="T1680" i="16" s="1"/>
  <c r="N1680" i="16"/>
  <c r="S1679" i="16"/>
  <c r="T1679" i="16" s="1"/>
  <c r="N1679" i="16"/>
  <c r="S1678" i="16"/>
  <c r="T1678" i="16" s="1"/>
  <c r="S1677" i="16"/>
  <c r="T1677" i="16" s="1"/>
  <c r="S1676" i="16"/>
  <c r="T1676" i="16" s="1"/>
  <c r="N1676" i="16"/>
  <c r="S1675" i="16"/>
  <c r="T1675" i="16" s="1"/>
  <c r="N1675" i="16"/>
  <c r="S1674" i="16"/>
  <c r="T1674" i="16" s="1"/>
  <c r="N1674" i="16"/>
  <c r="S1673" i="16"/>
  <c r="T1673" i="16" s="1"/>
  <c r="N1673" i="16"/>
  <c r="S1672" i="16"/>
  <c r="T1672" i="16" s="1"/>
  <c r="N1672" i="16"/>
  <c r="S1671" i="16"/>
  <c r="T1671" i="16" s="1"/>
  <c r="N1671" i="16"/>
  <c r="S1670" i="16"/>
  <c r="T1670" i="16" s="1"/>
  <c r="N1670" i="16"/>
  <c r="S1669" i="16"/>
  <c r="T1669" i="16" s="1"/>
  <c r="N1669" i="16"/>
  <c r="S1668" i="16"/>
  <c r="T1668" i="16" s="1"/>
  <c r="N1668" i="16"/>
  <c r="S1667" i="16"/>
  <c r="T1667" i="16" s="1"/>
  <c r="N1667" i="16"/>
  <c r="S1666" i="16"/>
  <c r="T1666" i="16" s="1"/>
  <c r="S1665" i="16"/>
  <c r="T1665" i="16" s="1"/>
  <c r="S1664" i="16"/>
  <c r="T1664" i="16" s="1"/>
  <c r="N1664" i="16"/>
  <c r="S1661" i="16"/>
  <c r="T1661" i="16" s="1"/>
  <c r="N1661" i="16"/>
  <c r="S1660" i="16"/>
  <c r="T1660" i="16" s="1"/>
  <c r="N1660" i="16"/>
  <c r="S1659" i="16"/>
  <c r="T1659" i="16" s="1"/>
  <c r="N1659" i="16"/>
  <c r="S1658" i="16"/>
  <c r="T1658" i="16" s="1"/>
  <c r="N1658" i="16"/>
  <c r="S1656" i="16"/>
  <c r="T1656" i="16" s="1"/>
  <c r="N1656" i="16"/>
  <c r="S1655" i="16"/>
  <c r="T1655" i="16" s="1"/>
  <c r="S1654" i="16"/>
  <c r="T1654" i="16" s="1"/>
  <c r="S1653" i="16"/>
  <c r="T1653" i="16" s="1"/>
  <c r="N1653" i="16"/>
  <c r="S1652" i="16"/>
  <c r="T1652" i="16" s="1"/>
  <c r="N1652" i="16"/>
  <c r="S1651" i="16"/>
  <c r="T1651" i="16" s="1"/>
  <c r="N1651" i="16"/>
  <c r="S1650" i="16"/>
  <c r="T1650" i="16" s="1"/>
  <c r="N1650" i="16"/>
  <c r="S1649" i="16"/>
  <c r="T1649" i="16" s="1"/>
  <c r="S1648" i="16"/>
  <c r="T1648" i="16" s="1"/>
  <c r="N1648" i="16"/>
  <c r="S1647" i="16"/>
  <c r="T1647" i="16" s="1"/>
  <c r="N1647" i="16"/>
  <c r="S1646" i="16"/>
  <c r="S1645" i="16"/>
  <c r="T1645" i="16" s="1"/>
  <c r="N1645" i="16"/>
  <c r="S1644" i="16"/>
  <c r="T1644" i="16" s="1"/>
  <c r="N1644" i="16"/>
  <c r="S1643" i="16"/>
  <c r="T1643" i="16" s="1"/>
  <c r="N1643" i="16"/>
  <c r="S1642" i="16"/>
  <c r="T1642" i="16" s="1"/>
  <c r="N1642" i="16"/>
  <c r="S1641" i="16"/>
  <c r="T1641" i="16" s="1"/>
  <c r="N1641" i="16"/>
  <c r="S1640" i="16"/>
  <c r="T1640" i="16" s="1"/>
  <c r="N1640" i="16"/>
  <c r="S1639" i="16"/>
  <c r="T1639" i="16" s="1"/>
  <c r="N1639" i="16"/>
  <c r="S1638" i="16"/>
  <c r="T1638" i="16" s="1"/>
  <c r="N1638" i="16"/>
  <c r="S1637" i="16"/>
  <c r="T1637" i="16" s="1"/>
  <c r="N1637" i="16"/>
  <c r="S1636" i="16"/>
  <c r="T1636" i="16" s="1"/>
  <c r="S1635" i="16"/>
  <c r="T1635" i="16" s="1"/>
  <c r="S1634" i="16"/>
  <c r="T1634" i="16" s="1"/>
  <c r="N1634" i="16"/>
  <c r="S1633" i="16"/>
  <c r="T1633" i="16" s="1"/>
  <c r="N1633" i="16"/>
  <c r="S1632" i="16"/>
  <c r="T1632" i="16" s="1"/>
  <c r="S1631" i="16"/>
  <c r="T1631" i="16" s="1"/>
  <c r="N1631" i="16"/>
  <c r="S1630" i="16"/>
  <c r="T1630" i="16" s="1"/>
  <c r="N1630" i="16"/>
  <c r="S1629" i="16"/>
  <c r="T1629" i="16" s="1"/>
  <c r="N1629" i="16"/>
  <c r="S1628" i="16"/>
  <c r="T1628" i="16" s="1"/>
  <c r="N1628" i="16"/>
  <c r="S1627" i="16"/>
  <c r="T1627" i="16" s="1"/>
  <c r="N1627" i="16"/>
  <c r="S1626" i="16"/>
  <c r="T1626" i="16" s="1"/>
  <c r="N1626" i="16"/>
  <c r="S1625" i="16"/>
  <c r="T1625" i="16" s="1"/>
  <c r="N1625" i="16"/>
  <c r="S1624" i="16"/>
  <c r="T1624" i="16" s="1"/>
  <c r="N1624" i="16"/>
  <c r="S1623" i="16"/>
  <c r="T1623" i="16" s="1"/>
  <c r="N1623" i="16"/>
  <c r="S1622" i="16"/>
  <c r="T1622" i="16" s="1"/>
  <c r="N1622" i="16"/>
  <c r="S1621" i="16"/>
  <c r="T1621" i="16" s="1"/>
  <c r="N1621" i="16"/>
  <c r="S1620" i="16"/>
  <c r="T1620" i="16" s="1"/>
  <c r="N1620" i="16"/>
  <c r="S1619" i="16"/>
  <c r="T1619" i="16" s="1"/>
  <c r="N1619" i="16"/>
  <c r="S1618" i="16"/>
  <c r="T1618" i="16" s="1"/>
  <c r="N1618" i="16"/>
  <c r="S1617" i="16"/>
  <c r="T1617" i="16" s="1"/>
  <c r="S1616" i="16"/>
  <c r="T1616" i="16" s="1"/>
  <c r="S1615" i="16"/>
  <c r="T1615" i="16" s="1"/>
  <c r="N1615" i="16"/>
  <c r="S1614" i="16"/>
  <c r="T1614" i="16" s="1"/>
  <c r="N1614" i="16"/>
  <c r="S1613" i="16"/>
  <c r="T1613" i="16" s="1"/>
  <c r="N1613" i="16"/>
  <c r="S1612" i="16"/>
  <c r="T1612" i="16" s="1"/>
  <c r="N1612" i="16"/>
  <c r="S1611" i="16"/>
  <c r="T1611" i="16" s="1"/>
  <c r="N1611" i="16"/>
  <c r="S1610" i="16"/>
  <c r="T1610" i="16" s="1"/>
  <c r="N1610" i="16"/>
  <c r="S1609" i="16"/>
  <c r="T1609" i="16" s="1"/>
  <c r="S1608" i="16"/>
  <c r="T1608" i="16" s="1"/>
  <c r="S1607" i="16"/>
  <c r="T1607" i="16" s="1"/>
  <c r="N1607" i="16"/>
  <c r="S1606" i="16"/>
  <c r="T1606" i="16" s="1"/>
  <c r="N1606" i="16"/>
  <c r="S1605" i="16"/>
  <c r="T1605" i="16" s="1"/>
  <c r="N1605" i="16"/>
  <c r="S1604" i="16"/>
  <c r="T1604" i="16" s="1"/>
  <c r="N1604" i="16"/>
  <c r="S1603" i="16"/>
  <c r="T1603" i="16" s="1"/>
  <c r="N1603" i="16"/>
  <c r="S1602" i="16"/>
  <c r="T1602" i="16" s="1"/>
  <c r="N1602" i="16"/>
  <c r="S1601" i="16"/>
  <c r="T1601" i="16" s="1"/>
  <c r="N1601" i="16"/>
  <c r="S1600" i="16"/>
  <c r="T1600" i="16" s="1"/>
  <c r="N1600" i="16"/>
  <c r="S1599" i="16"/>
  <c r="T1599" i="16" s="1"/>
  <c r="N1599" i="16"/>
  <c r="S1598" i="16"/>
  <c r="T1598" i="16" s="1"/>
  <c r="N1598" i="16"/>
  <c r="S1597" i="16"/>
  <c r="T1597" i="16" s="1"/>
  <c r="S1596" i="16"/>
  <c r="T1596" i="16" s="1"/>
  <c r="S1595" i="16"/>
  <c r="T1595" i="16" s="1"/>
  <c r="N1595" i="16"/>
  <c r="S1594" i="16"/>
  <c r="T1594" i="16" s="1"/>
  <c r="N1594" i="16"/>
  <c r="S1593" i="16"/>
  <c r="T1593" i="16" s="1"/>
  <c r="N1593" i="16"/>
  <c r="S1592" i="16"/>
  <c r="T1592" i="16" s="1"/>
  <c r="N1592" i="16"/>
  <c r="S1591" i="16"/>
  <c r="T1591" i="16" s="1"/>
  <c r="N1591" i="16"/>
  <c r="S1590" i="16"/>
  <c r="T1590" i="16" s="1"/>
  <c r="N1590" i="16"/>
  <c r="S1589" i="16"/>
  <c r="T1589" i="16" s="1"/>
  <c r="N1589" i="16"/>
  <c r="S1588" i="16"/>
  <c r="T1588" i="16" s="1"/>
  <c r="N1588" i="16"/>
  <c r="S1587" i="16"/>
  <c r="T1587" i="16" s="1"/>
  <c r="N1587" i="16"/>
  <c r="S1586" i="16"/>
  <c r="T1586" i="16" s="1"/>
  <c r="N1586" i="16"/>
  <c r="S1585" i="16"/>
  <c r="T1585" i="16" s="1"/>
  <c r="S1584" i="16"/>
  <c r="T1584" i="16" s="1"/>
  <c r="S1583" i="16"/>
  <c r="T1583" i="16" s="1"/>
  <c r="N1583" i="16"/>
  <c r="S1582" i="16"/>
  <c r="T1582" i="16" s="1"/>
  <c r="N1582" i="16"/>
  <c r="S1581" i="16"/>
  <c r="T1581" i="16" s="1"/>
  <c r="S1580" i="16"/>
  <c r="T1580" i="16" s="1"/>
  <c r="AD1579" i="16"/>
  <c r="AE1579" i="16" s="1"/>
  <c r="S1579" i="16"/>
  <c r="T1579" i="16" s="1"/>
  <c r="N1579" i="16"/>
  <c r="AD1578" i="16"/>
  <c r="AE1578" i="16" s="1"/>
  <c r="S1578" i="16"/>
  <c r="T1578" i="16" s="1"/>
  <c r="N1578" i="16"/>
  <c r="AD1577" i="16"/>
  <c r="AE1577" i="16" s="1"/>
  <c r="S1577" i="16"/>
  <c r="T1577" i="16" s="1"/>
  <c r="N1577" i="16"/>
  <c r="AD1576" i="16"/>
  <c r="AE1576" i="16" s="1"/>
  <c r="S1576" i="16"/>
  <c r="T1576" i="16" s="1"/>
  <c r="N1576" i="16"/>
  <c r="AD1575" i="16"/>
  <c r="AE1575" i="16" s="1"/>
  <c r="S1575" i="16"/>
  <c r="T1575" i="16" s="1"/>
  <c r="AD1574" i="16"/>
  <c r="AE1574" i="16" s="1"/>
  <c r="S1574" i="16"/>
  <c r="T1574" i="16" s="1"/>
  <c r="N1574" i="16"/>
  <c r="AD1573" i="16"/>
  <c r="AE1573" i="16" s="1"/>
  <c r="S1573" i="16"/>
  <c r="T1573" i="16" s="1"/>
  <c r="N1573" i="16"/>
  <c r="S1572" i="16"/>
  <c r="T1572" i="16" s="1"/>
  <c r="N1572" i="16"/>
  <c r="S1571" i="16"/>
  <c r="T1571" i="16" s="1"/>
  <c r="N1571" i="16"/>
  <c r="S1570" i="16"/>
  <c r="T1570" i="16" s="1"/>
  <c r="N1570" i="16"/>
  <c r="S1569" i="16"/>
  <c r="T1569" i="16" s="1"/>
  <c r="N1569" i="16"/>
  <c r="S1568" i="16"/>
  <c r="T1568" i="16" s="1"/>
  <c r="N1568" i="16"/>
  <c r="S1567" i="16"/>
  <c r="T1567" i="16" s="1"/>
  <c r="AD1566" i="16"/>
  <c r="AE1566" i="16" s="1"/>
  <c r="S1566" i="16"/>
  <c r="T1566" i="16" s="1"/>
  <c r="N1566" i="16"/>
  <c r="AD1565" i="16"/>
  <c r="AE1565" i="16" s="1"/>
  <c r="S1565" i="16"/>
  <c r="T1565" i="16" s="1"/>
  <c r="N1565" i="16"/>
  <c r="AD1564" i="16"/>
  <c r="AE1564" i="16" s="1"/>
  <c r="S1564" i="16"/>
  <c r="T1564" i="16" s="1"/>
  <c r="N1564" i="16"/>
  <c r="S1563" i="16"/>
  <c r="T1563" i="16" s="1"/>
  <c r="N1563" i="16"/>
  <c r="S1562" i="16"/>
  <c r="T1562" i="16" s="1"/>
  <c r="N1562" i="16"/>
  <c r="S1561" i="16"/>
  <c r="T1561" i="16" s="1"/>
  <c r="N1561" i="16"/>
  <c r="S1560" i="16"/>
  <c r="T1560" i="16" s="1"/>
  <c r="N1560" i="16"/>
  <c r="S1559" i="16"/>
  <c r="T1559" i="16" s="1"/>
  <c r="N1559" i="16"/>
  <c r="S1558" i="16"/>
  <c r="T1558" i="16" s="1"/>
  <c r="N1558" i="16"/>
  <c r="S1557" i="16"/>
  <c r="T1557" i="16" s="1"/>
  <c r="S1556" i="16"/>
  <c r="T1556" i="16" s="1"/>
  <c r="S1555" i="16"/>
  <c r="T1555" i="16" s="1"/>
  <c r="N1555" i="16"/>
  <c r="S1554" i="16"/>
  <c r="T1554" i="16" s="1"/>
  <c r="N1554" i="16"/>
  <c r="S1553" i="16"/>
  <c r="T1553" i="16" s="1"/>
  <c r="S1552" i="16"/>
  <c r="T1552" i="16" s="1"/>
  <c r="S1551" i="16"/>
  <c r="T1551" i="16" s="1"/>
  <c r="N1551" i="16"/>
  <c r="S1550" i="16"/>
  <c r="T1550" i="16" s="1"/>
  <c r="N1550" i="16"/>
  <c r="S1549" i="16"/>
  <c r="T1549" i="16" s="1"/>
  <c r="N1549" i="16"/>
  <c r="S1548" i="16"/>
  <c r="T1548" i="16" s="1"/>
  <c r="N1548" i="16"/>
  <c r="S1547" i="16"/>
  <c r="T1547" i="16" s="1"/>
  <c r="N1547" i="16"/>
  <c r="S1546" i="16"/>
  <c r="T1546" i="16" s="1"/>
  <c r="N1546" i="16"/>
  <c r="S1545" i="16"/>
  <c r="T1545" i="16" s="1"/>
  <c r="S1544" i="16"/>
  <c r="T1544" i="16" s="1"/>
  <c r="S1543" i="16"/>
  <c r="T1543" i="16" s="1"/>
  <c r="N1543" i="16"/>
  <c r="S1542" i="16"/>
  <c r="T1542" i="16" s="1"/>
  <c r="N1542" i="16"/>
  <c r="S1541" i="16"/>
  <c r="T1541" i="16" s="1"/>
  <c r="N1541" i="16"/>
  <c r="S1540" i="16"/>
  <c r="T1540" i="16" s="1"/>
  <c r="N1540" i="16"/>
  <c r="S1539" i="16"/>
  <c r="T1539" i="16" s="1"/>
  <c r="N1539" i="16"/>
  <c r="S1538" i="16"/>
  <c r="T1538" i="16" s="1"/>
  <c r="N1538" i="16"/>
  <c r="S1537" i="16"/>
  <c r="T1537" i="16" s="1"/>
  <c r="S1536" i="16"/>
  <c r="T1536" i="16" s="1"/>
  <c r="S1535" i="16"/>
  <c r="T1535" i="16" s="1"/>
  <c r="N1535" i="16"/>
  <c r="S1534" i="16"/>
  <c r="T1534" i="16" s="1"/>
  <c r="N1534" i="16"/>
  <c r="S1533" i="16"/>
  <c r="T1533" i="16" s="1"/>
  <c r="S1532" i="16"/>
  <c r="T1532" i="16" s="1"/>
  <c r="S1531" i="16"/>
  <c r="T1531" i="16" s="1"/>
  <c r="N1531" i="16"/>
  <c r="S1530" i="16"/>
  <c r="T1530" i="16" s="1"/>
  <c r="N1530" i="16"/>
  <c r="S1529" i="16"/>
  <c r="T1529" i="16" s="1"/>
  <c r="S1528" i="16"/>
  <c r="T1528" i="16" s="1"/>
  <c r="S1527" i="16"/>
  <c r="T1527" i="16" s="1"/>
  <c r="N1527" i="16"/>
  <c r="S1526" i="16"/>
  <c r="T1526" i="16" s="1"/>
  <c r="N1526" i="16"/>
  <c r="S1525" i="16"/>
  <c r="T1525" i="16" s="1"/>
  <c r="S1524" i="16"/>
  <c r="T1524" i="16" s="1"/>
  <c r="S1523" i="16"/>
  <c r="T1523" i="16" s="1"/>
  <c r="N1523" i="16"/>
  <c r="S1522" i="16"/>
  <c r="T1522" i="16" s="1"/>
  <c r="N1522" i="16"/>
  <c r="S1521" i="16"/>
  <c r="T1521" i="16" s="1"/>
  <c r="N1521" i="16"/>
  <c r="S1520" i="16"/>
  <c r="T1520" i="16" s="1"/>
  <c r="S1519" i="16"/>
  <c r="T1519" i="16" s="1"/>
  <c r="N1519" i="16"/>
  <c r="S1518" i="16"/>
  <c r="T1518" i="16" s="1"/>
  <c r="N1518" i="16"/>
  <c r="S1517" i="16"/>
  <c r="T1517" i="16" s="1"/>
  <c r="S1516" i="16"/>
  <c r="T1516" i="16" s="1"/>
  <c r="S1515" i="16"/>
  <c r="T1515" i="16" s="1"/>
  <c r="N1515" i="16"/>
  <c r="S1514" i="16"/>
  <c r="T1514" i="16" s="1"/>
  <c r="N1514" i="16"/>
  <c r="S1513" i="16"/>
  <c r="T1513" i="16" s="1"/>
  <c r="S1512" i="16"/>
  <c r="T1512" i="16" s="1"/>
  <c r="N1512" i="16"/>
  <c r="S1511" i="16"/>
  <c r="T1511" i="16" s="1"/>
  <c r="N1511" i="16"/>
  <c r="S1510" i="16"/>
  <c r="T1510" i="16" s="1"/>
  <c r="N1510" i="16"/>
  <c r="S1509" i="16"/>
  <c r="T1509" i="16" s="1"/>
  <c r="S1508" i="16"/>
  <c r="T1508" i="16" s="1"/>
  <c r="N1508" i="16"/>
  <c r="S1507" i="16"/>
  <c r="T1507" i="16" s="1"/>
  <c r="N1507" i="16"/>
  <c r="S1506" i="16"/>
  <c r="T1506" i="16" s="1"/>
  <c r="N1506" i="16"/>
  <c r="S1505" i="16"/>
  <c r="T1505" i="16" s="1"/>
  <c r="N1505" i="16"/>
  <c r="S1504" i="16"/>
  <c r="T1504" i="16" s="1"/>
  <c r="N1504" i="16"/>
  <c r="S1503" i="16"/>
  <c r="T1503" i="16" s="1"/>
  <c r="N1503" i="16"/>
  <c r="S1502" i="16"/>
  <c r="T1502" i="16" s="1"/>
  <c r="N1502" i="16"/>
  <c r="S1501" i="16"/>
  <c r="T1501" i="16" s="1"/>
  <c r="N1501" i="16"/>
  <c r="S1500" i="16"/>
  <c r="T1500" i="16" s="1"/>
  <c r="N1500" i="16"/>
  <c r="S1499" i="16"/>
  <c r="T1499" i="16" s="1"/>
  <c r="N1499" i="16"/>
  <c r="S1498" i="16"/>
  <c r="T1498" i="16" s="1"/>
  <c r="N1498" i="16"/>
  <c r="S1497" i="16"/>
  <c r="T1497" i="16" s="1"/>
  <c r="N1497" i="16"/>
  <c r="S1496" i="16"/>
  <c r="T1496" i="16" s="1"/>
  <c r="N1496" i="16"/>
  <c r="S1495" i="16"/>
  <c r="T1495" i="16" s="1"/>
  <c r="N1495" i="16"/>
  <c r="S1494" i="16"/>
  <c r="T1494" i="16" s="1"/>
  <c r="N1494" i="16"/>
  <c r="S1493" i="16"/>
  <c r="T1493" i="16" s="1"/>
  <c r="N1493" i="16"/>
  <c r="S1492" i="16"/>
  <c r="T1492" i="16" s="1"/>
  <c r="N1492" i="16"/>
  <c r="S1491" i="16"/>
  <c r="T1491" i="16" s="1"/>
  <c r="N1491" i="16"/>
  <c r="S1490" i="16"/>
  <c r="T1490" i="16" s="1"/>
  <c r="N1490" i="16"/>
  <c r="S1489" i="16"/>
  <c r="T1489" i="16" s="1"/>
  <c r="S1488" i="16"/>
  <c r="T1488" i="16" s="1"/>
  <c r="N1488" i="16"/>
  <c r="S1487" i="16"/>
  <c r="T1487" i="16" s="1"/>
  <c r="N1487" i="16"/>
  <c r="S1486" i="16"/>
  <c r="T1486" i="16" s="1"/>
  <c r="N1486" i="16"/>
  <c r="S1485" i="16"/>
  <c r="T1485" i="16" s="1"/>
  <c r="S1484" i="16"/>
  <c r="T1484" i="16" s="1"/>
  <c r="N1484" i="16"/>
  <c r="S1483" i="16"/>
  <c r="T1483" i="16" s="1"/>
  <c r="N1483" i="16"/>
  <c r="S1482" i="16"/>
  <c r="T1482" i="16" s="1"/>
  <c r="N1482" i="16"/>
  <c r="S1481" i="16"/>
  <c r="T1481" i="16" s="1"/>
  <c r="N1481" i="16"/>
  <c r="S1480" i="16"/>
  <c r="T1480" i="16" s="1"/>
  <c r="N1480" i="16"/>
  <c r="S1479" i="16"/>
  <c r="T1479" i="16" s="1"/>
  <c r="N1479" i="16"/>
  <c r="S1478" i="16"/>
  <c r="T1478" i="16" s="1"/>
  <c r="N1478" i="16"/>
  <c r="S1477" i="16"/>
  <c r="T1477" i="16" s="1"/>
  <c r="N1477" i="16"/>
  <c r="S1476" i="16"/>
  <c r="T1476" i="16" s="1"/>
  <c r="N1476" i="16"/>
  <c r="S1475" i="16"/>
  <c r="T1475" i="16" s="1"/>
  <c r="N1475" i="16"/>
  <c r="S1474" i="16"/>
  <c r="T1474" i="16" s="1"/>
  <c r="N1474" i="16"/>
  <c r="S1473" i="16"/>
  <c r="T1473" i="16" s="1"/>
  <c r="N1473" i="16"/>
  <c r="S1472" i="16"/>
  <c r="T1472" i="16" s="1"/>
  <c r="N1472" i="16"/>
  <c r="S1471" i="16"/>
  <c r="T1471" i="16" s="1"/>
  <c r="N1471" i="16"/>
  <c r="S1470" i="16"/>
  <c r="T1470" i="16" s="1"/>
  <c r="N1470" i="16"/>
  <c r="S1469" i="16"/>
  <c r="T1469" i="16" s="1"/>
  <c r="S1468" i="16"/>
  <c r="T1468" i="16" s="1"/>
  <c r="N1468" i="16"/>
  <c r="S1467" i="16"/>
  <c r="T1467" i="16" s="1"/>
  <c r="S1466" i="16"/>
  <c r="T1466" i="16" s="1"/>
  <c r="N1466" i="16"/>
  <c r="S1465" i="16"/>
  <c r="T1465" i="16" s="1"/>
  <c r="N1465" i="16"/>
  <c r="S1464" i="16"/>
  <c r="T1464" i="16" s="1"/>
  <c r="N1464" i="16"/>
  <c r="S1463" i="16"/>
  <c r="T1463" i="16" s="1"/>
  <c r="N1463" i="16"/>
  <c r="S1462" i="16"/>
  <c r="T1462" i="16" s="1"/>
  <c r="S1461" i="16"/>
  <c r="T1461" i="16" s="1"/>
  <c r="N1461" i="16"/>
  <c r="S1460" i="16"/>
  <c r="T1460" i="16" s="1"/>
  <c r="N1460" i="16"/>
  <c r="S1459" i="16"/>
  <c r="T1459" i="16" s="1"/>
  <c r="S1458" i="16"/>
  <c r="T1458" i="16" s="1"/>
  <c r="S1457" i="16"/>
  <c r="T1457" i="16" s="1"/>
  <c r="N1457" i="16"/>
  <c r="S1456" i="16"/>
  <c r="T1456" i="16" s="1"/>
  <c r="N1456" i="16"/>
  <c r="S1455" i="16"/>
  <c r="T1455" i="16" s="1"/>
  <c r="N1455" i="16"/>
  <c r="S1454" i="16"/>
  <c r="T1454" i="16" s="1"/>
  <c r="N1454" i="16"/>
  <c r="S1453" i="16"/>
  <c r="T1453" i="16" s="1"/>
  <c r="N1453" i="16"/>
  <c r="AD1452" i="16"/>
  <c r="AE1452" i="16" s="1"/>
  <c r="S1452" i="16"/>
  <c r="T1452" i="16" s="1"/>
  <c r="N1452" i="16"/>
  <c r="S1451" i="16"/>
  <c r="T1451" i="16" s="1"/>
  <c r="N1451" i="16"/>
  <c r="AD1450" i="16"/>
  <c r="AE1450" i="16" s="1"/>
  <c r="S1450" i="16"/>
  <c r="T1450" i="16" s="1"/>
  <c r="N1450" i="16"/>
  <c r="S1448" i="16"/>
  <c r="T1448" i="16" s="1"/>
  <c r="N1448" i="16"/>
  <c r="S1447" i="16"/>
  <c r="T1447" i="16" s="1"/>
  <c r="N1447" i="16"/>
  <c r="S1445" i="16"/>
  <c r="T1445" i="16" s="1"/>
  <c r="N1445" i="16"/>
  <c r="S1443" i="16"/>
  <c r="T1443" i="16" s="1"/>
  <c r="N1443" i="16"/>
  <c r="S1441" i="16"/>
  <c r="T1441" i="16" s="1"/>
  <c r="N1441" i="16"/>
  <c r="S1440" i="16"/>
  <c r="T1440" i="16" s="1"/>
  <c r="N1440" i="16"/>
  <c r="S1439" i="16"/>
  <c r="T1439" i="16" s="1"/>
  <c r="N1439" i="16"/>
  <c r="S1438" i="16"/>
  <c r="T1438" i="16" s="1"/>
  <c r="N1438" i="16"/>
  <c r="S1437" i="16"/>
  <c r="T1437" i="16" s="1"/>
  <c r="N1437" i="16"/>
  <c r="S1436" i="16"/>
  <c r="T1436" i="16" s="1"/>
  <c r="N1436" i="16"/>
  <c r="U1434" i="16"/>
  <c r="S1434" i="16" s="1"/>
  <c r="T1434" i="16" s="1"/>
  <c r="S1433" i="16"/>
  <c r="T1433" i="16" s="1"/>
  <c r="N1433" i="16"/>
  <c r="S1432" i="16"/>
  <c r="T1432" i="16" s="1"/>
  <c r="N1432" i="16"/>
  <c r="S1431" i="16"/>
  <c r="T1431" i="16" s="1"/>
  <c r="N1431" i="16"/>
  <c r="U1430" i="16"/>
  <c r="S1430" i="16" s="1"/>
  <c r="T1430" i="16" s="1"/>
  <c r="N1430" i="16"/>
  <c r="AD1429" i="16"/>
  <c r="AE1429" i="16" s="1"/>
  <c r="S1429" i="16"/>
  <c r="T1429" i="16" s="1"/>
  <c r="N1429" i="16"/>
  <c r="S1428" i="16"/>
  <c r="T1428" i="16" s="1"/>
  <c r="N1428" i="16"/>
  <c r="S1426" i="16"/>
  <c r="T1426" i="16" s="1"/>
  <c r="N1426" i="16"/>
  <c r="S1425" i="16"/>
  <c r="T1425" i="16" s="1"/>
  <c r="N1425" i="16"/>
  <c r="S1424" i="16"/>
  <c r="T1424" i="16" s="1"/>
  <c r="N1424" i="16"/>
  <c r="S1423" i="16"/>
  <c r="T1423" i="16" s="1"/>
  <c r="N1423" i="16"/>
  <c r="S1422" i="16"/>
  <c r="T1422" i="16" s="1"/>
  <c r="N1422" i="16"/>
  <c r="U1421" i="16"/>
  <c r="S1421" i="16" s="1"/>
  <c r="T1421" i="16" s="1"/>
  <c r="N1421" i="16"/>
  <c r="S1420" i="16"/>
  <c r="T1420" i="16" s="1"/>
  <c r="N1420" i="16"/>
  <c r="U1419" i="16"/>
  <c r="S1419" i="16" s="1"/>
  <c r="T1419" i="16" s="1"/>
  <c r="N1419" i="16"/>
  <c r="S1418" i="16"/>
  <c r="T1418" i="16" s="1"/>
  <c r="N1418" i="16"/>
  <c r="U1417" i="16"/>
  <c r="S1417" i="16" s="1"/>
  <c r="T1417" i="16" s="1"/>
  <c r="S1416" i="16"/>
  <c r="T1416" i="16" s="1"/>
  <c r="N1416" i="16"/>
  <c r="AD1415" i="16"/>
  <c r="AE1415" i="16" s="1"/>
  <c r="S1415" i="16"/>
  <c r="T1415" i="16" s="1"/>
  <c r="S1414" i="16"/>
  <c r="T1414" i="16" s="1"/>
  <c r="N1414" i="16"/>
  <c r="S1413" i="16"/>
  <c r="T1413" i="16" s="1"/>
  <c r="N1413" i="16"/>
  <c r="S1412" i="16"/>
  <c r="T1412" i="16" s="1"/>
  <c r="N1412" i="16"/>
  <c r="S1411" i="16"/>
  <c r="T1411" i="16" s="1"/>
  <c r="N1411" i="16"/>
  <c r="S1410" i="16"/>
  <c r="T1410" i="16" s="1"/>
  <c r="N1410" i="16"/>
  <c r="S1408" i="16"/>
  <c r="T1408" i="16" s="1"/>
  <c r="N1408" i="16"/>
  <c r="S1407" i="16"/>
  <c r="T1407" i="16" s="1"/>
  <c r="N1407" i="16"/>
  <c r="S1406" i="16"/>
  <c r="T1406" i="16" s="1"/>
  <c r="N1406" i="16"/>
  <c r="S1405" i="16"/>
  <c r="T1405" i="16" s="1"/>
  <c r="N1405" i="16"/>
  <c r="S1404" i="16"/>
  <c r="T1404" i="16" s="1"/>
  <c r="N1404" i="16"/>
  <c r="S1403" i="16"/>
  <c r="T1403" i="16" s="1"/>
  <c r="N1403" i="16"/>
  <c r="S1402" i="16"/>
  <c r="T1402" i="16" s="1"/>
  <c r="N1402" i="16"/>
  <c r="S1401" i="16"/>
  <c r="T1401" i="16" s="1"/>
  <c r="N1401" i="16"/>
  <c r="S1400" i="16"/>
  <c r="T1400" i="16" s="1"/>
  <c r="N1400" i="16"/>
  <c r="S1399" i="16"/>
  <c r="T1399" i="16" s="1"/>
  <c r="S1398" i="16"/>
  <c r="T1398" i="16" s="1"/>
  <c r="N1398" i="16"/>
  <c r="S1397" i="16"/>
  <c r="T1397" i="16" s="1"/>
  <c r="N1397" i="16"/>
  <c r="U1396" i="16"/>
  <c r="S1396" i="16" s="1"/>
  <c r="T1396" i="16" s="1"/>
  <c r="N1396" i="16"/>
  <c r="S1395" i="16"/>
  <c r="T1395" i="16" s="1"/>
  <c r="N1395" i="16"/>
  <c r="S1394" i="16"/>
  <c r="T1394" i="16" s="1"/>
  <c r="N1394" i="16"/>
  <c r="S1393" i="16"/>
  <c r="T1393" i="16" s="1"/>
  <c r="N1393" i="16"/>
  <c r="S1392" i="16"/>
  <c r="T1392" i="16" s="1"/>
  <c r="N1392" i="16"/>
  <c r="S1391" i="16"/>
  <c r="T1391" i="16" s="1"/>
  <c r="S1390" i="16"/>
  <c r="T1390" i="16" s="1"/>
  <c r="N1390" i="16"/>
  <c r="S1389" i="16"/>
  <c r="T1389" i="16" s="1"/>
  <c r="N1389" i="16"/>
  <c r="S1388" i="16"/>
  <c r="T1388" i="16" s="1"/>
  <c r="N1388" i="16"/>
  <c r="S1387" i="16"/>
  <c r="T1387" i="16" s="1"/>
  <c r="N1387" i="16"/>
  <c r="S1386" i="16"/>
  <c r="T1386" i="16" s="1"/>
  <c r="N1386" i="16"/>
  <c r="Y1385" i="16"/>
  <c r="S1385" i="16" s="1"/>
  <c r="T1385" i="16" s="1"/>
  <c r="N1385" i="16"/>
  <c r="U1384" i="16"/>
  <c r="S1384" i="16" s="1"/>
  <c r="T1384" i="16" s="1"/>
  <c r="N1384" i="16"/>
  <c r="S1383" i="16"/>
  <c r="T1383" i="16" s="1"/>
  <c r="N1383" i="16"/>
  <c r="S1382" i="16"/>
  <c r="T1382" i="16" s="1"/>
  <c r="S1381" i="16"/>
  <c r="T1381" i="16" s="1"/>
  <c r="N1381" i="16"/>
  <c r="S1380" i="16"/>
  <c r="T1380" i="16" s="1"/>
  <c r="N1380" i="16"/>
  <c r="S1379" i="16"/>
  <c r="T1379" i="16" s="1"/>
  <c r="N1379" i="16"/>
  <c r="S1378" i="16"/>
  <c r="T1378" i="16" s="1"/>
  <c r="N1378" i="16"/>
  <c r="S1377" i="16"/>
  <c r="T1377" i="16" s="1"/>
  <c r="N1377" i="16"/>
  <c r="S1376" i="16"/>
  <c r="T1376" i="16" s="1"/>
  <c r="N1376" i="16"/>
  <c r="S1375" i="16"/>
  <c r="T1375" i="16" s="1"/>
  <c r="N1375" i="16"/>
  <c r="AD1374" i="16"/>
  <c r="AE1374" i="16" s="1"/>
  <c r="S1374" i="16"/>
  <c r="T1374" i="16" s="1"/>
  <c r="N1374" i="16"/>
  <c r="Y1373" i="16"/>
  <c r="S1373" i="16" s="1"/>
  <c r="T1373" i="16" s="1"/>
  <c r="N1373" i="16"/>
  <c r="S1372" i="16"/>
  <c r="T1372" i="16" s="1"/>
  <c r="N1372" i="16"/>
  <c r="S1371" i="16"/>
  <c r="T1371" i="16" s="1"/>
  <c r="N1371" i="16"/>
  <c r="S1370" i="16"/>
  <c r="T1370" i="16" s="1"/>
  <c r="N1370" i="16"/>
  <c r="S1369" i="16"/>
  <c r="T1369" i="16" s="1"/>
  <c r="N1369" i="16"/>
  <c r="S1368" i="16"/>
  <c r="T1368" i="16" s="1"/>
  <c r="N1368" i="16"/>
  <c r="S1367" i="16"/>
  <c r="T1367" i="16" s="1"/>
  <c r="N1367" i="16"/>
  <c r="S1366" i="16"/>
  <c r="T1366" i="16" s="1"/>
  <c r="N1366" i="16"/>
  <c r="S1365" i="16"/>
  <c r="T1365" i="16" s="1"/>
  <c r="N1365" i="16"/>
  <c r="S1364" i="16"/>
  <c r="T1364" i="16" s="1"/>
  <c r="N1364" i="16"/>
  <c r="S1363" i="16"/>
  <c r="T1363" i="16" s="1"/>
  <c r="S1362" i="16"/>
  <c r="T1362" i="16" s="1"/>
  <c r="N1362" i="16"/>
  <c r="S1361" i="16"/>
  <c r="T1361" i="16" s="1"/>
  <c r="N1361" i="16"/>
  <c r="S1360" i="16"/>
  <c r="T1360" i="16" s="1"/>
  <c r="N1360" i="16"/>
  <c r="S1359" i="16"/>
  <c r="T1359" i="16" s="1"/>
  <c r="N1359" i="16"/>
  <c r="S1358" i="16"/>
  <c r="T1358" i="16" s="1"/>
  <c r="N1358" i="16"/>
  <c r="AD1357" i="16"/>
  <c r="AE1357" i="16" s="1"/>
  <c r="S1357" i="16"/>
  <c r="T1357" i="16" s="1"/>
  <c r="N1357" i="16"/>
  <c r="S1356" i="16"/>
  <c r="T1356" i="16" s="1"/>
  <c r="N1356" i="16"/>
  <c r="S1355" i="16"/>
  <c r="T1355" i="16" s="1"/>
  <c r="N1355" i="16"/>
  <c r="S1354" i="16"/>
  <c r="T1354" i="16" s="1"/>
  <c r="N1354" i="16"/>
  <c r="S1353" i="16"/>
  <c r="T1353" i="16" s="1"/>
  <c r="AD1352" i="16"/>
  <c r="AE1352" i="16" s="1"/>
  <c r="S1352" i="16"/>
  <c r="T1352" i="16" s="1"/>
  <c r="N1352" i="16"/>
  <c r="U1351" i="16"/>
  <c r="S1351" i="16" s="1"/>
  <c r="T1351" i="16" s="1"/>
  <c r="N1351" i="16"/>
  <c r="Y1350" i="16"/>
  <c r="S1350" i="16" s="1"/>
  <c r="T1350" i="16" s="1"/>
  <c r="N1350" i="16"/>
  <c r="Y1349" i="16"/>
  <c r="S1349" i="16" s="1"/>
  <c r="T1349" i="16" s="1"/>
  <c r="N1349" i="16"/>
  <c r="S1348" i="16"/>
  <c r="T1348" i="16" s="1"/>
  <c r="S1347" i="16"/>
  <c r="T1347" i="16" s="1"/>
  <c r="N1347" i="16"/>
  <c r="S1346" i="16"/>
  <c r="T1346" i="16" s="1"/>
  <c r="N1346" i="16"/>
  <c r="Y1345" i="16"/>
  <c r="S1345" i="16" s="1"/>
  <c r="T1345" i="16" s="1"/>
  <c r="N1345" i="16"/>
  <c r="S1344" i="16"/>
  <c r="T1344" i="16" s="1"/>
  <c r="N1344" i="16"/>
  <c r="S1343" i="16"/>
  <c r="T1343" i="16" s="1"/>
  <c r="N1343" i="16"/>
  <c r="S1342" i="16"/>
  <c r="T1342" i="16" s="1"/>
  <c r="N1342" i="16"/>
  <c r="AD1341" i="16"/>
  <c r="AE1341" i="16" s="1"/>
  <c r="S1341" i="16"/>
  <c r="T1341" i="16" s="1"/>
  <c r="N1341" i="16"/>
  <c r="S1340" i="16"/>
  <c r="T1340" i="16" s="1"/>
  <c r="N1340" i="16"/>
  <c r="S1339" i="16"/>
  <c r="T1339" i="16" s="1"/>
  <c r="N1339" i="16"/>
  <c r="S1338" i="16"/>
  <c r="T1338" i="16" s="1"/>
  <c r="N1338" i="16"/>
  <c r="S1337" i="16"/>
  <c r="T1337" i="16" s="1"/>
  <c r="S1336" i="16"/>
  <c r="T1336" i="16" s="1"/>
  <c r="N1336" i="16"/>
  <c r="S1334" i="16"/>
  <c r="T1334" i="16" s="1"/>
  <c r="N1334" i="16"/>
  <c r="S1333" i="16"/>
  <c r="T1333" i="16" s="1"/>
  <c r="N1333" i="16"/>
  <c r="S1332" i="16"/>
  <c r="T1332" i="16" s="1"/>
  <c r="N1332" i="16"/>
  <c r="S1331" i="16"/>
  <c r="T1331" i="16" s="1"/>
  <c r="N1331" i="16"/>
  <c r="S1330" i="16"/>
  <c r="T1330" i="16" s="1"/>
  <c r="N1330" i="16"/>
  <c r="S1329" i="16"/>
  <c r="T1329" i="16" s="1"/>
  <c r="N1329" i="16"/>
  <c r="S1328" i="16"/>
  <c r="T1328" i="16" s="1"/>
  <c r="N1328" i="16"/>
  <c r="S1327" i="16"/>
  <c r="T1327" i="16" s="1"/>
  <c r="N1327" i="16"/>
  <c r="S1326" i="16"/>
  <c r="T1326" i="16" s="1"/>
  <c r="N1326" i="16"/>
  <c r="S1325" i="16"/>
  <c r="T1325" i="16" s="1"/>
  <c r="N1325" i="16"/>
  <c r="S1323" i="16"/>
  <c r="T1323" i="16" s="1"/>
  <c r="U1322" i="16"/>
  <c r="S1322" i="16" s="1"/>
  <c r="T1322" i="16" s="1"/>
  <c r="N1322" i="16"/>
  <c r="S1321" i="16"/>
  <c r="T1321" i="16" s="1"/>
  <c r="N1321" i="16"/>
  <c r="S1320" i="16"/>
  <c r="T1320" i="16" s="1"/>
  <c r="N1320" i="16"/>
  <c r="S1318" i="16"/>
  <c r="T1318" i="16" s="1"/>
  <c r="N1318" i="16"/>
  <c r="S1317" i="16"/>
  <c r="T1317" i="16" s="1"/>
  <c r="N1317" i="16"/>
  <c r="U1316" i="16"/>
  <c r="S1316" i="16" s="1"/>
  <c r="T1316" i="16" s="1"/>
  <c r="N1316" i="16"/>
  <c r="S1315" i="16"/>
  <c r="T1315" i="16" s="1"/>
  <c r="N1315" i="16"/>
  <c r="S1314" i="16"/>
  <c r="T1314" i="16" s="1"/>
  <c r="N1314" i="16"/>
  <c r="S1313" i="16"/>
  <c r="T1313" i="16" s="1"/>
  <c r="N1313" i="16"/>
  <c r="S1312" i="16"/>
  <c r="T1312" i="16" s="1"/>
  <c r="S1311" i="16"/>
  <c r="T1311" i="16" s="1"/>
  <c r="N1311" i="16"/>
  <c r="AD1310" i="16"/>
  <c r="AE1310" i="16" s="1"/>
  <c r="Y1310" i="16"/>
  <c r="S1310" i="16" s="1"/>
  <c r="T1310" i="16" s="1"/>
  <c r="N1310" i="16"/>
  <c r="U1309" i="16"/>
  <c r="S1309" i="16" s="1"/>
  <c r="T1309" i="16" s="1"/>
  <c r="N1309" i="16"/>
  <c r="S1307" i="16"/>
  <c r="T1307" i="16" s="1"/>
  <c r="S1306" i="16"/>
  <c r="T1306" i="16" s="1"/>
  <c r="N1306" i="16"/>
  <c r="U1305" i="16"/>
  <c r="S1305" i="16" s="1"/>
  <c r="T1305" i="16" s="1"/>
  <c r="N1305" i="16"/>
  <c r="S1304" i="16"/>
  <c r="T1304" i="16" s="1"/>
  <c r="N1304" i="16"/>
  <c r="Y1303" i="16"/>
  <c r="U1303" i="16"/>
  <c r="N1303" i="16"/>
  <c r="U1302" i="16"/>
  <c r="S1302" i="16" s="1"/>
  <c r="T1302" i="16" s="1"/>
  <c r="N1302" i="16"/>
  <c r="S1301" i="16"/>
  <c r="T1301" i="16" s="1"/>
  <c r="N1301" i="16"/>
  <c r="S1300" i="16"/>
  <c r="T1300" i="16" s="1"/>
  <c r="S1299" i="16"/>
  <c r="T1299" i="16" s="1"/>
  <c r="N1299" i="16"/>
  <c r="S1298" i="16"/>
  <c r="T1298" i="16" s="1"/>
  <c r="N1298" i="16"/>
  <c r="S1297" i="16"/>
  <c r="T1297" i="16" s="1"/>
  <c r="N1297" i="16"/>
  <c r="S1296" i="16"/>
  <c r="T1296" i="16" s="1"/>
  <c r="N1296" i="16"/>
  <c r="S1295" i="16"/>
  <c r="T1295" i="16" s="1"/>
  <c r="N1295" i="16"/>
  <c r="S1294" i="16"/>
  <c r="T1294" i="16" s="1"/>
  <c r="N1294" i="16"/>
  <c r="S1293" i="16"/>
  <c r="T1293" i="16" s="1"/>
  <c r="N1293" i="16"/>
  <c r="U1292" i="16"/>
  <c r="S1292" i="16" s="1"/>
  <c r="T1292" i="16" s="1"/>
  <c r="S1291" i="16"/>
  <c r="T1291" i="16" s="1"/>
  <c r="N1291" i="16"/>
  <c r="S1290" i="16"/>
  <c r="T1290" i="16" s="1"/>
  <c r="N1290" i="16"/>
  <c r="AD1289" i="16"/>
  <c r="AE1289" i="16" s="1"/>
  <c r="S1289" i="16"/>
  <c r="T1289" i="16" s="1"/>
  <c r="N1289" i="16"/>
  <c r="S1288" i="16"/>
  <c r="T1288" i="16" s="1"/>
  <c r="N1288" i="16"/>
  <c r="S1287" i="16"/>
  <c r="T1287" i="16" s="1"/>
  <c r="N1287" i="16"/>
  <c r="S1286" i="16"/>
  <c r="T1286" i="16" s="1"/>
  <c r="N1286" i="16"/>
  <c r="S1285" i="16"/>
  <c r="T1285" i="16" s="1"/>
  <c r="N1285" i="16"/>
  <c r="S1284" i="16"/>
  <c r="T1284" i="16" s="1"/>
  <c r="N1284" i="16"/>
  <c r="AD1283" i="16"/>
  <c r="AE1283" i="16" s="1"/>
  <c r="S1283" i="16"/>
  <c r="T1283" i="16" s="1"/>
  <c r="N1283" i="16"/>
  <c r="S1282" i="16"/>
  <c r="T1282" i="16" s="1"/>
  <c r="N1282" i="16"/>
  <c r="AD1281" i="16"/>
  <c r="AE1281" i="16" s="1"/>
  <c r="U1281" i="16"/>
  <c r="S1281" i="16" s="1"/>
  <c r="T1281" i="16" s="1"/>
  <c r="S1280" i="16"/>
  <c r="T1280" i="16" s="1"/>
  <c r="N1280" i="16"/>
  <c r="S1279" i="16"/>
  <c r="T1279" i="16" s="1"/>
  <c r="N1279" i="16"/>
  <c r="S1278" i="16"/>
  <c r="T1278" i="16" s="1"/>
  <c r="N1278" i="16"/>
  <c r="S1277" i="16"/>
  <c r="T1277" i="16" s="1"/>
  <c r="N1277" i="16"/>
  <c r="S1276" i="16"/>
  <c r="T1276" i="16" s="1"/>
  <c r="N1276" i="16"/>
  <c r="S1275" i="16"/>
  <c r="T1275" i="16" s="1"/>
  <c r="N1275" i="16"/>
  <c r="S1274" i="16"/>
  <c r="T1274" i="16" s="1"/>
  <c r="N1274" i="16"/>
  <c r="S1273" i="16"/>
  <c r="T1273" i="16" s="1"/>
  <c r="S1272" i="16"/>
  <c r="T1272" i="16" s="1"/>
  <c r="N1272" i="16"/>
  <c r="S1271" i="16"/>
  <c r="T1271" i="16" s="1"/>
  <c r="N1271" i="16"/>
  <c r="S1270" i="16"/>
  <c r="T1270" i="16" s="1"/>
  <c r="N1270" i="16"/>
  <c r="S1269" i="16"/>
  <c r="T1269" i="16" s="1"/>
  <c r="N1269" i="16"/>
  <c r="S1268" i="16"/>
  <c r="T1268" i="16" s="1"/>
  <c r="N1268" i="16"/>
  <c r="S1266" i="16"/>
  <c r="T1266" i="16" s="1"/>
  <c r="N1266" i="16"/>
  <c r="U1265" i="16"/>
  <c r="S1265" i="16" s="1"/>
  <c r="N1265" i="16"/>
  <c r="U1264" i="16"/>
  <c r="S1264" i="16" s="1"/>
  <c r="T1264" i="16" s="1"/>
  <c r="N1264" i="16"/>
  <c r="AD1262" i="16"/>
  <c r="AE1262" i="16" s="1"/>
  <c r="S1262" i="16"/>
  <c r="T1262" i="16" s="1"/>
  <c r="S1261" i="16"/>
  <c r="T1261" i="16" s="1"/>
  <c r="N1261" i="16"/>
  <c r="S1260" i="16"/>
  <c r="T1260" i="16" s="1"/>
  <c r="N1260" i="16"/>
  <c r="S1259" i="16"/>
  <c r="T1259" i="16" s="1"/>
  <c r="S1258" i="16"/>
  <c r="T1258" i="16" s="1"/>
  <c r="S1257" i="16"/>
  <c r="T1257" i="16" s="1"/>
  <c r="S1256" i="16"/>
  <c r="T1256" i="16" s="1"/>
  <c r="N1256" i="16"/>
  <c r="S1255" i="16"/>
  <c r="T1255" i="16" s="1"/>
  <c r="N1255" i="16"/>
  <c r="S1254" i="16"/>
  <c r="T1254" i="16" s="1"/>
  <c r="S1253" i="16"/>
  <c r="T1253" i="16" s="1"/>
  <c r="N1253" i="16"/>
  <c r="S1252" i="16"/>
  <c r="T1252" i="16" s="1"/>
  <c r="N1252" i="16"/>
  <c r="S1250" i="16"/>
  <c r="T1250" i="16" s="1"/>
  <c r="S1249" i="16"/>
  <c r="T1249" i="16" s="1"/>
  <c r="N1249" i="16"/>
  <c r="S1248" i="16"/>
  <c r="T1248" i="16" s="1"/>
  <c r="N1248" i="16"/>
  <c r="S1247" i="16"/>
  <c r="T1247" i="16" s="1"/>
  <c r="N1247" i="16"/>
  <c r="S1246" i="16"/>
  <c r="T1246" i="16" s="1"/>
  <c r="S1245" i="16"/>
  <c r="T1245" i="16" s="1"/>
  <c r="N1245" i="16"/>
  <c r="S1244" i="16"/>
  <c r="T1244" i="16" s="1"/>
  <c r="N1244" i="16"/>
  <c r="S1243" i="16"/>
  <c r="T1243" i="16" s="1"/>
  <c r="N1243" i="16"/>
  <c r="S1242" i="16"/>
  <c r="T1242" i="16" s="1"/>
  <c r="S1241" i="16"/>
  <c r="T1241" i="16" s="1"/>
  <c r="N1241" i="16"/>
  <c r="S1240" i="16"/>
  <c r="T1240" i="16" s="1"/>
  <c r="N1240" i="16"/>
  <c r="S1239" i="16"/>
  <c r="T1239" i="16" s="1"/>
  <c r="N1239" i="16"/>
  <c r="S1238" i="16"/>
  <c r="T1238" i="16" s="1"/>
  <c r="S1237" i="16"/>
  <c r="T1237" i="16" s="1"/>
  <c r="S1236" i="16"/>
  <c r="T1236" i="16" s="1"/>
  <c r="N1236" i="16"/>
  <c r="S1235" i="16"/>
  <c r="T1235" i="16" s="1"/>
  <c r="N1235" i="16"/>
  <c r="AD1234" i="16"/>
  <c r="AE1234" i="16" s="1"/>
  <c r="S1234" i="16"/>
  <c r="T1234" i="16" s="1"/>
  <c r="N1234" i="16"/>
  <c r="S1233" i="16"/>
  <c r="T1233" i="16" s="1"/>
  <c r="S1232" i="16"/>
  <c r="T1232" i="16" s="1"/>
  <c r="S1231" i="16"/>
  <c r="T1231" i="16" s="1"/>
  <c r="N1231" i="16"/>
  <c r="S1230" i="16"/>
  <c r="T1230" i="16" s="1"/>
  <c r="N1230" i="16"/>
  <c r="S1229" i="16"/>
  <c r="T1229" i="16" s="1"/>
  <c r="N1229" i="16"/>
  <c r="S1228" i="16"/>
  <c r="T1228" i="16" s="1"/>
  <c r="S1227" i="16"/>
  <c r="T1227" i="16" s="1"/>
  <c r="N1227" i="16"/>
  <c r="S1226" i="16"/>
  <c r="T1226" i="16" s="1"/>
  <c r="N1226" i="16"/>
  <c r="Y1225" i="16"/>
  <c r="S1225" i="16" s="1"/>
  <c r="T1225" i="16" s="1"/>
  <c r="N1225" i="16"/>
  <c r="S1224" i="16"/>
  <c r="T1224" i="16" s="1"/>
  <c r="N1224" i="16"/>
  <c r="S1223" i="16"/>
  <c r="T1223" i="16" s="1"/>
  <c r="S1222" i="16"/>
  <c r="T1222" i="16" s="1"/>
  <c r="N1222" i="16"/>
  <c r="S1221" i="16"/>
  <c r="T1221" i="16" s="1"/>
  <c r="N1221" i="16"/>
  <c r="S1220" i="16"/>
  <c r="T1220" i="16" s="1"/>
  <c r="N1220" i="16"/>
  <c r="S1219" i="16"/>
  <c r="T1219" i="16" s="1"/>
  <c r="N1219" i="16"/>
  <c r="S1218" i="16"/>
  <c r="T1218" i="16" s="1"/>
  <c r="N1218" i="16"/>
  <c r="S1217" i="16"/>
  <c r="T1217" i="16" s="1"/>
  <c r="N1217" i="16"/>
  <c r="S1216" i="16"/>
  <c r="T1216" i="16" s="1"/>
  <c r="N1216" i="16"/>
  <c r="S1215" i="16"/>
  <c r="T1215" i="16" s="1"/>
  <c r="N1215" i="16"/>
  <c r="S1214" i="16"/>
  <c r="T1214" i="16" s="1"/>
  <c r="U1213" i="16"/>
  <c r="S1213" i="16" s="1"/>
  <c r="T1213" i="16" s="1"/>
  <c r="N1213" i="16"/>
  <c r="S1212" i="16"/>
  <c r="T1212" i="16" s="1"/>
  <c r="N1212" i="16"/>
  <c r="S1211" i="16"/>
  <c r="T1211" i="16" s="1"/>
  <c r="N1211" i="16"/>
  <c r="S1210" i="16"/>
  <c r="T1210" i="16" s="1"/>
  <c r="N1210" i="16"/>
  <c r="S1209" i="16"/>
  <c r="T1209" i="16" s="1"/>
  <c r="N1209" i="16"/>
  <c r="S1208" i="16"/>
  <c r="T1208" i="16" s="1"/>
  <c r="N1208" i="16"/>
  <c r="AD1207" i="16"/>
  <c r="AE1207" i="16" s="1"/>
  <c r="U1207" i="16"/>
  <c r="S1207" i="16" s="1"/>
  <c r="T1207" i="16" s="1"/>
  <c r="N1207" i="16"/>
  <c r="AD1206" i="16"/>
  <c r="AE1206" i="16" s="1"/>
  <c r="S1206" i="16"/>
  <c r="T1206" i="16" s="1"/>
  <c r="N1206" i="16"/>
  <c r="AD1205" i="16"/>
  <c r="AE1205" i="16" s="1"/>
  <c r="S1205" i="16"/>
  <c r="T1205" i="16" s="1"/>
  <c r="N1205" i="16"/>
  <c r="Y1204" i="16"/>
  <c r="S1204" i="16" s="1"/>
  <c r="T1204" i="16" s="1"/>
  <c r="N1204" i="16"/>
  <c r="U1203" i="16"/>
  <c r="S1203" i="16" s="1"/>
  <c r="T1203" i="16" s="1"/>
  <c r="N1203" i="16"/>
  <c r="S1202" i="16"/>
  <c r="T1202" i="16" s="1"/>
  <c r="S1199" i="16"/>
  <c r="T1199" i="16" s="1"/>
  <c r="N1199" i="16"/>
  <c r="S1198" i="16"/>
  <c r="T1198" i="16" s="1"/>
  <c r="N1198" i="16"/>
  <c r="S1197" i="16"/>
  <c r="T1197" i="16" s="1"/>
  <c r="N1197" i="16"/>
  <c r="S1196" i="16"/>
  <c r="T1196" i="16" s="1"/>
  <c r="N1196" i="16"/>
  <c r="S1195" i="16"/>
  <c r="T1195" i="16" s="1"/>
  <c r="N1195" i="16"/>
  <c r="S1194" i="16"/>
  <c r="T1194" i="16" s="1"/>
  <c r="N1194" i="16"/>
  <c r="S1193" i="16"/>
  <c r="T1193" i="16" s="1"/>
  <c r="N1193" i="16"/>
  <c r="S1192" i="16"/>
  <c r="T1192" i="16" s="1"/>
  <c r="S1191" i="16"/>
  <c r="T1191" i="16" s="1"/>
  <c r="N1191" i="16"/>
  <c r="S1190" i="16"/>
  <c r="T1190" i="16" s="1"/>
  <c r="N1190" i="16"/>
  <c r="S1189" i="16"/>
  <c r="T1189" i="16" s="1"/>
  <c r="N1189" i="16"/>
  <c r="S1188" i="16"/>
  <c r="T1188" i="16" s="1"/>
  <c r="N1188" i="16"/>
  <c r="S1187" i="16"/>
  <c r="T1187" i="16" s="1"/>
  <c r="N1187" i="16"/>
  <c r="S1186" i="16"/>
  <c r="T1186" i="16" s="1"/>
  <c r="N1186" i="16"/>
  <c r="S1185" i="16"/>
  <c r="T1185" i="16" s="1"/>
  <c r="N1185" i="16"/>
  <c r="S1184" i="16"/>
  <c r="T1184" i="16" s="1"/>
  <c r="N1184" i="16"/>
  <c r="S1183" i="16"/>
  <c r="T1183" i="16" s="1"/>
  <c r="N1183" i="16"/>
  <c r="S1182" i="16"/>
  <c r="T1182" i="16" s="1"/>
  <c r="N1182" i="16"/>
  <c r="S1181" i="16"/>
  <c r="T1181" i="16" s="1"/>
  <c r="S1180" i="16"/>
  <c r="T1180" i="16" s="1"/>
  <c r="N1180" i="16"/>
  <c r="S1179" i="16"/>
  <c r="T1179" i="16" s="1"/>
  <c r="N1179" i="16"/>
  <c r="S1178" i="16"/>
  <c r="T1178" i="16" s="1"/>
  <c r="S1177" i="16"/>
  <c r="T1177" i="16" s="1"/>
  <c r="N1177" i="16"/>
  <c r="S1176" i="16"/>
  <c r="T1176" i="16" s="1"/>
  <c r="S1175" i="16"/>
  <c r="T1175" i="16" s="1"/>
  <c r="N1175" i="16"/>
  <c r="S1174" i="16"/>
  <c r="T1174" i="16" s="1"/>
  <c r="S1173" i="16"/>
  <c r="T1173" i="16" s="1"/>
  <c r="N1173" i="16"/>
  <c r="S1172" i="16"/>
  <c r="T1172" i="16" s="1"/>
  <c r="N1172" i="16"/>
  <c r="S1171" i="16"/>
  <c r="T1171" i="16" s="1"/>
  <c r="N1171" i="16"/>
  <c r="S1170" i="16"/>
  <c r="T1170" i="16" s="1"/>
  <c r="U1169" i="16"/>
  <c r="S1169" i="16" s="1"/>
  <c r="T1169" i="16" s="1"/>
  <c r="N1169" i="16"/>
  <c r="S1168" i="16"/>
  <c r="T1168" i="16" s="1"/>
  <c r="N1168" i="16"/>
  <c r="S1167" i="16"/>
  <c r="T1167" i="16" s="1"/>
  <c r="N1167" i="16"/>
  <c r="S1166" i="16"/>
  <c r="T1166" i="16" s="1"/>
  <c r="N1166" i="16"/>
  <c r="S1165" i="16"/>
  <c r="T1165" i="16" s="1"/>
  <c r="N1165" i="16"/>
  <c r="S1164" i="16"/>
  <c r="T1164" i="16" s="1"/>
  <c r="N1164" i="16"/>
  <c r="S1163" i="16"/>
  <c r="T1163" i="16" s="1"/>
  <c r="N1163" i="16"/>
  <c r="S1162" i="16"/>
  <c r="T1162" i="16" s="1"/>
  <c r="N1162" i="16"/>
  <c r="AD1161" i="16"/>
  <c r="AE1161" i="16" s="1"/>
  <c r="S1161" i="16"/>
  <c r="T1161" i="16" s="1"/>
  <c r="S1160" i="16"/>
  <c r="T1160" i="16" s="1"/>
  <c r="N1160" i="16"/>
  <c r="S1159" i="16"/>
  <c r="T1159" i="16" s="1"/>
  <c r="N1159" i="16"/>
  <c r="S1157" i="16"/>
  <c r="T1157" i="16" s="1"/>
  <c r="U1156" i="16"/>
  <c r="S1156" i="16" s="1"/>
  <c r="N1156" i="16"/>
  <c r="U1155" i="16"/>
  <c r="S1155" i="16" s="1"/>
  <c r="T1155" i="16" s="1"/>
  <c r="AE1154" i="16"/>
  <c r="U1154" i="16"/>
  <c r="S1154" i="16" s="1"/>
  <c r="T1154" i="16" s="1"/>
  <c r="N1154" i="16"/>
  <c r="AE1153" i="16"/>
  <c r="U1153" i="16"/>
  <c r="S1153" i="16" s="1"/>
  <c r="T1153" i="16" s="1"/>
  <c r="N1153" i="16"/>
  <c r="S1152" i="16"/>
  <c r="T1152" i="16" s="1"/>
  <c r="N1152" i="16"/>
  <c r="S1151" i="16"/>
  <c r="T1151" i="16" s="1"/>
  <c r="N1151" i="16"/>
  <c r="S1150" i="16"/>
  <c r="T1150" i="16" s="1"/>
  <c r="S1149" i="16"/>
  <c r="T1149" i="16" s="1"/>
  <c r="N1149" i="16"/>
  <c r="AD1148" i="16"/>
  <c r="AE1148" i="16" s="1"/>
  <c r="S1148" i="16"/>
  <c r="T1148" i="16" s="1"/>
  <c r="N1148" i="16"/>
  <c r="S1147" i="16"/>
  <c r="T1147" i="16" s="1"/>
  <c r="N1147" i="16"/>
  <c r="S1146" i="16"/>
  <c r="T1146" i="16" s="1"/>
  <c r="N1146" i="16"/>
  <c r="S1145" i="16"/>
  <c r="T1145" i="16" s="1"/>
  <c r="N1145" i="16"/>
  <c r="S1144" i="16"/>
  <c r="T1144" i="16" s="1"/>
  <c r="N1144" i="16"/>
  <c r="S1143" i="16"/>
  <c r="T1143" i="16" s="1"/>
  <c r="S1142" i="16"/>
  <c r="T1142" i="16" s="1"/>
  <c r="N1142" i="16"/>
  <c r="S1141" i="16"/>
  <c r="T1141" i="16" s="1"/>
  <c r="N1141" i="16"/>
  <c r="S1140" i="16"/>
  <c r="T1140" i="16" s="1"/>
  <c r="N1140" i="16"/>
  <c r="AD1139" i="16"/>
  <c r="AE1139" i="16" s="1"/>
  <c r="S1139" i="16"/>
  <c r="T1139" i="16" s="1"/>
  <c r="N1139" i="16"/>
  <c r="AD1138" i="16"/>
  <c r="AE1138" i="16" s="1"/>
  <c r="S1138" i="16"/>
  <c r="T1138" i="16" s="1"/>
  <c r="N1138" i="16"/>
  <c r="S1137" i="16"/>
  <c r="T1137" i="16" s="1"/>
  <c r="N1137" i="16"/>
  <c r="S1135" i="16"/>
  <c r="T1135" i="16" s="1"/>
  <c r="S1134" i="16"/>
  <c r="T1134" i="16" s="1"/>
  <c r="S1133" i="16"/>
  <c r="T1133" i="16" s="1"/>
  <c r="N1133" i="16"/>
  <c r="S1132" i="16"/>
  <c r="T1132" i="16" s="1"/>
  <c r="N1132" i="16"/>
  <c r="S1131" i="16"/>
  <c r="T1131" i="16" s="1"/>
  <c r="N1131" i="16"/>
  <c r="S1130" i="16"/>
  <c r="T1130" i="16" s="1"/>
  <c r="N1130" i="16"/>
  <c r="S1129" i="16"/>
  <c r="T1129" i="16" s="1"/>
  <c r="N1129" i="16"/>
  <c r="S1128" i="16"/>
  <c r="T1128" i="16" s="1"/>
  <c r="S1127" i="16"/>
  <c r="T1127" i="16" s="1"/>
  <c r="U1126" i="16"/>
  <c r="S1126" i="16" s="1"/>
  <c r="T1126" i="16" s="1"/>
  <c r="S1125" i="16"/>
  <c r="T1125" i="16" s="1"/>
  <c r="N1125" i="16"/>
  <c r="S1124" i="16"/>
  <c r="T1124" i="16" s="1"/>
  <c r="N1124" i="16"/>
  <c r="S1123" i="16"/>
  <c r="T1123" i="16" s="1"/>
  <c r="S1122" i="16"/>
  <c r="T1122" i="16" s="1"/>
  <c r="S1121" i="16"/>
  <c r="T1121" i="16" s="1"/>
  <c r="N1121" i="16"/>
  <c r="S1120" i="16"/>
  <c r="T1120" i="16" s="1"/>
  <c r="N1120" i="16"/>
  <c r="S1119" i="16"/>
  <c r="T1119" i="16" s="1"/>
  <c r="AD1118" i="16"/>
  <c r="AE1118" i="16" s="1"/>
  <c r="S1118" i="16"/>
  <c r="T1118" i="16" s="1"/>
  <c r="N1118" i="16"/>
  <c r="AD1117" i="16"/>
  <c r="AE1117" i="16" s="1"/>
  <c r="U1117" i="16"/>
  <c r="S1117" i="16" s="1"/>
  <c r="T1117" i="16" s="1"/>
  <c r="N1117" i="16"/>
  <c r="U1116" i="16"/>
  <c r="S1116" i="16" s="1"/>
  <c r="T1116" i="16" s="1"/>
  <c r="N1116" i="16"/>
  <c r="AE1115" i="16"/>
  <c r="S1115" i="16"/>
  <c r="T1115" i="16" s="1"/>
  <c r="N1115" i="16"/>
  <c r="S1114" i="16"/>
  <c r="T1114" i="16" s="1"/>
  <c r="N1114" i="16"/>
  <c r="S1113" i="16"/>
  <c r="T1113" i="16" s="1"/>
  <c r="N1113" i="16"/>
  <c r="S1112" i="16"/>
  <c r="T1112" i="16" s="1"/>
  <c r="N1112" i="16"/>
  <c r="S1111" i="16"/>
  <c r="T1111" i="16" s="1"/>
  <c r="N1111" i="16"/>
  <c r="S1110" i="16"/>
  <c r="T1110" i="16" s="1"/>
  <c r="N1110" i="16"/>
  <c r="S1109" i="16"/>
  <c r="T1109" i="16" s="1"/>
  <c r="N1109" i="16"/>
  <c r="S1108" i="16"/>
  <c r="T1108" i="16" s="1"/>
  <c r="N1108" i="16"/>
  <c r="S1107" i="16"/>
  <c r="T1107" i="16" s="1"/>
  <c r="N1107" i="16"/>
  <c r="S1106" i="16"/>
  <c r="T1106" i="16" s="1"/>
  <c r="S1105" i="16"/>
  <c r="T1105" i="16" s="1"/>
  <c r="N1105" i="16"/>
  <c r="S1104" i="16"/>
  <c r="T1104" i="16" s="1"/>
  <c r="N1104" i="16"/>
  <c r="S1103" i="16"/>
  <c r="T1103" i="16" s="1"/>
  <c r="N1103" i="16"/>
  <c r="S1102" i="16"/>
  <c r="T1102" i="16" s="1"/>
  <c r="N1102" i="16"/>
  <c r="S1101" i="16"/>
  <c r="T1101" i="16" s="1"/>
  <c r="S1100" i="16"/>
  <c r="T1100" i="16" s="1"/>
  <c r="S1099" i="16"/>
  <c r="T1099" i="16" s="1"/>
  <c r="S1098" i="16"/>
  <c r="T1098" i="16" s="1"/>
  <c r="S1096" i="16"/>
  <c r="T1096" i="16" s="1"/>
  <c r="S1092" i="16"/>
  <c r="T1092" i="16" s="1"/>
  <c r="S1091" i="16"/>
  <c r="T1091" i="16" s="1"/>
  <c r="S1090" i="16"/>
  <c r="T1090" i="16" s="1"/>
  <c r="U1089" i="16"/>
  <c r="S1089" i="16" s="1"/>
  <c r="T1089" i="16" s="1"/>
  <c r="S1088" i="16"/>
  <c r="T1088" i="16" s="1"/>
  <c r="S1087" i="16"/>
  <c r="T1087" i="16" s="1"/>
  <c r="S1086" i="16"/>
  <c r="T1086" i="16" s="1"/>
  <c r="U1085" i="16"/>
  <c r="S1085" i="16" s="1"/>
  <c r="T1085" i="16" s="1"/>
  <c r="S1084" i="16"/>
  <c r="T1084" i="16" s="1"/>
  <c r="S1081" i="16"/>
  <c r="T1081" i="16" s="1"/>
  <c r="S1080" i="16"/>
  <c r="T1080" i="16" s="1"/>
  <c r="S1074" i="16"/>
  <c r="T1074" i="16" s="1"/>
  <c r="S1073" i="16"/>
  <c r="T1073" i="16" s="1"/>
  <c r="S1072" i="16"/>
  <c r="T1072" i="16" s="1"/>
  <c r="S1051" i="16"/>
  <c r="T1051" i="16" s="1"/>
  <c r="N1051" i="16"/>
  <c r="S1050" i="16"/>
  <c r="T1050" i="16" s="1"/>
  <c r="N1050" i="16"/>
  <c r="S1049" i="16"/>
  <c r="T1049" i="16" s="1"/>
  <c r="N1049" i="16"/>
  <c r="S1048" i="16"/>
  <c r="T1048" i="16" s="1"/>
  <c r="S1047" i="16"/>
  <c r="T1047" i="16" s="1"/>
  <c r="N1047" i="16"/>
  <c r="S1046" i="16"/>
  <c r="T1046" i="16" s="1"/>
  <c r="S1045" i="16"/>
  <c r="T1045" i="16" s="1"/>
  <c r="N1045" i="16"/>
  <c r="S1044" i="16"/>
  <c r="T1044" i="16" s="1"/>
  <c r="N1044" i="16"/>
  <c r="S1043" i="16"/>
  <c r="T1043" i="16" s="1"/>
  <c r="N1043" i="16"/>
  <c r="S1042" i="16"/>
  <c r="T1042" i="16" s="1"/>
  <c r="N1042" i="16"/>
  <c r="S1041" i="16"/>
  <c r="T1041" i="16" s="1"/>
  <c r="N1041" i="16"/>
  <c r="S1040" i="16"/>
  <c r="T1040" i="16" s="1"/>
  <c r="N1040" i="16"/>
  <c r="S1039" i="16"/>
  <c r="T1039" i="16" s="1"/>
  <c r="N1039" i="16"/>
  <c r="S1038" i="16"/>
  <c r="T1038" i="16" s="1"/>
  <c r="N1038" i="16"/>
  <c r="S1037" i="16"/>
  <c r="T1037" i="16" s="1"/>
  <c r="N1037" i="16"/>
  <c r="S1036" i="16"/>
  <c r="T1036" i="16" s="1"/>
  <c r="S1035" i="16"/>
  <c r="T1035" i="16" s="1"/>
  <c r="N1035" i="16"/>
  <c r="S1034" i="16"/>
  <c r="T1034" i="16" s="1"/>
  <c r="S1033" i="16"/>
  <c r="T1033" i="16" s="1"/>
  <c r="N1033" i="16"/>
  <c r="S1032" i="16"/>
  <c r="T1032" i="16" s="1"/>
  <c r="N1032" i="16"/>
  <c r="S1031" i="16"/>
  <c r="T1031" i="16" s="1"/>
  <c r="N1031" i="16"/>
  <c r="S1030" i="16"/>
  <c r="T1030" i="16" s="1"/>
  <c r="N1030" i="16"/>
  <c r="S1029" i="16"/>
  <c r="T1029" i="16" s="1"/>
  <c r="N1029" i="16"/>
  <c r="S1028" i="16"/>
  <c r="T1028" i="16" s="1"/>
  <c r="N1028" i="16"/>
  <c r="S1027" i="16"/>
  <c r="T1027" i="16" s="1"/>
  <c r="N1027" i="16"/>
  <c r="S1026" i="16"/>
  <c r="T1026" i="16" s="1"/>
  <c r="N1026" i="16"/>
  <c r="S1025" i="16"/>
  <c r="T1025" i="16" s="1"/>
  <c r="N1025" i="16"/>
  <c r="S1024" i="16"/>
  <c r="T1024" i="16" s="1"/>
  <c r="N1024" i="16"/>
  <c r="S1023" i="16"/>
  <c r="T1023" i="16" s="1"/>
  <c r="N1023" i="16"/>
  <c r="S1022" i="16"/>
  <c r="T1022" i="16" s="1"/>
  <c r="N1022" i="16"/>
  <c r="S1021" i="16"/>
  <c r="T1021" i="16" s="1"/>
  <c r="N1021" i="16"/>
  <c r="S1020" i="16"/>
  <c r="T1020" i="16" s="1"/>
  <c r="N1020" i="16"/>
  <c r="S1019" i="16"/>
  <c r="T1019" i="16" s="1"/>
  <c r="S1018" i="16"/>
  <c r="T1018" i="16" s="1"/>
  <c r="N1018" i="16"/>
  <c r="AD1017" i="16"/>
  <c r="AE1017" i="16" s="1"/>
  <c r="S1017" i="16"/>
  <c r="T1017" i="16" s="1"/>
  <c r="N1017" i="16"/>
  <c r="S1016" i="16"/>
  <c r="T1016" i="16" s="1"/>
  <c r="N1016" i="16"/>
  <c r="S1015" i="16"/>
  <c r="T1015" i="16" s="1"/>
  <c r="N1015" i="16"/>
  <c r="S1014" i="16"/>
  <c r="T1014" i="16" s="1"/>
  <c r="N1014" i="16"/>
  <c r="S1013" i="16"/>
  <c r="T1013" i="16" s="1"/>
  <c r="N1013" i="16"/>
  <c r="S1012" i="16"/>
  <c r="T1012" i="16" s="1"/>
  <c r="N1012" i="16"/>
  <c r="S1011" i="16"/>
  <c r="T1011" i="16" s="1"/>
  <c r="N1011" i="16"/>
  <c r="S1010" i="16"/>
  <c r="T1010" i="16" s="1"/>
  <c r="N1010" i="16"/>
  <c r="S1009" i="16"/>
  <c r="T1009" i="16" s="1"/>
  <c r="N1009" i="16"/>
  <c r="S1008" i="16"/>
  <c r="T1008" i="16" s="1"/>
  <c r="N1008" i="16"/>
  <c r="S1005" i="16"/>
  <c r="T1005" i="16" s="1"/>
  <c r="N1005" i="16"/>
  <c r="S1004" i="16"/>
  <c r="T1004" i="16" s="1"/>
  <c r="N1004" i="16"/>
  <c r="S1003" i="16"/>
  <c r="T1003" i="16" s="1"/>
  <c r="N1003" i="16"/>
  <c r="S1002" i="16"/>
  <c r="T1002" i="16" s="1"/>
  <c r="N1002" i="16"/>
  <c r="S1001" i="16"/>
  <c r="T1001" i="16" s="1"/>
  <c r="S1000" i="16"/>
  <c r="T1000" i="16" s="1"/>
  <c r="N1000" i="16"/>
  <c r="S999" i="16"/>
  <c r="T999" i="16" s="1"/>
  <c r="N999" i="16"/>
  <c r="S998" i="16"/>
  <c r="T998" i="16" s="1"/>
  <c r="N998" i="16"/>
  <c r="S996" i="16"/>
  <c r="T996" i="16" s="1"/>
  <c r="N996" i="16"/>
  <c r="S995" i="16"/>
  <c r="T995" i="16" s="1"/>
  <c r="N995" i="16"/>
  <c r="S993" i="16"/>
  <c r="T993" i="16" s="1"/>
  <c r="N993" i="16"/>
  <c r="S992" i="16"/>
  <c r="T992" i="16" s="1"/>
  <c r="N992" i="16"/>
  <c r="S991" i="16"/>
  <c r="T991" i="16" s="1"/>
  <c r="N991" i="16"/>
  <c r="S990" i="16"/>
  <c r="T990" i="16" s="1"/>
  <c r="N990" i="16"/>
  <c r="S989" i="16"/>
  <c r="T989" i="16" s="1"/>
  <c r="N989" i="16"/>
  <c r="U988" i="16"/>
  <c r="S988" i="16" s="1"/>
  <c r="T988" i="16" s="1"/>
  <c r="N988" i="16"/>
  <c r="S987" i="16"/>
  <c r="T987" i="16" s="1"/>
  <c r="N987" i="16"/>
  <c r="S986" i="16"/>
  <c r="T986" i="16" s="1"/>
  <c r="N986" i="16"/>
  <c r="S985" i="16"/>
  <c r="T985" i="16" s="1"/>
  <c r="N985" i="16"/>
  <c r="S984" i="16"/>
  <c r="T984" i="16" s="1"/>
  <c r="S983" i="16"/>
  <c r="T983" i="16" s="1"/>
  <c r="N983" i="16"/>
  <c r="S982" i="16"/>
  <c r="T982" i="16" s="1"/>
  <c r="N982" i="16"/>
  <c r="S981" i="16"/>
  <c r="T981" i="16" s="1"/>
  <c r="N981" i="16"/>
  <c r="S980" i="16"/>
  <c r="T980" i="16" s="1"/>
  <c r="N980" i="16"/>
  <c r="S979" i="16"/>
  <c r="T979" i="16" s="1"/>
  <c r="N979" i="16"/>
  <c r="AD978" i="16"/>
  <c r="AE978" i="16" s="1"/>
  <c r="S978" i="16"/>
  <c r="T978" i="16" s="1"/>
  <c r="N978" i="16"/>
  <c r="S977" i="16"/>
  <c r="T977" i="16" s="1"/>
  <c r="N977" i="16"/>
  <c r="S976" i="16"/>
  <c r="T976" i="16" s="1"/>
  <c r="S975" i="16"/>
  <c r="T975" i="16" s="1"/>
  <c r="N975" i="16"/>
  <c r="AD974" i="16"/>
  <c r="AE974" i="16" s="1"/>
  <c r="S974" i="16"/>
  <c r="T974" i="16" s="1"/>
  <c r="S973" i="16"/>
  <c r="T973" i="16" s="1"/>
  <c r="N973" i="16"/>
  <c r="S972" i="16"/>
  <c r="T972" i="16" s="1"/>
  <c r="N972" i="16"/>
  <c r="S971" i="16"/>
  <c r="T971" i="16" s="1"/>
  <c r="N971" i="16"/>
  <c r="S970" i="16"/>
  <c r="T970" i="16" s="1"/>
  <c r="N970" i="16"/>
  <c r="S969" i="16"/>
  <c r="T969" i="16" s="1"/>
  <c r="N969" i="16"/>
  <c r="S968" i="16"/>
  <c r="T968" i="16" s="1"/>
  <c r="N968" i="16"/>
  <c r="S967" i="16"/>
  <c r="T967" i="16" s="1"/>
  <c r="N967" i="16"/>
  <c r="S966" i="16"/>
  <c r="T966" i="16" s="1"/>
  <c r="N966" i="16"/>
  <c r="AD965" i="16"/>
  <c r="AE965" i="16" s="1"/>
  <c r="S965" i="16"/>
  <c r="T965" i="16" s="1"/>
  <c r="S964" i="16"/>
  <c r="T964" i="16" s="1"/>
  <c r="N964" i="16"/>
  <c r="AD963" i="16"/>
  <c r="AE963" i="16" s="1"/>
  <c r="U963" i="16"/>
  <c r="S963" i="16" s="1"/>
  <c r="T963" i="16" s="1"/>
  <c r="S962" i="16"/>
  <c r="T962" i="16" s="1"/>
  <c r="S961" i="16"/>
  <c r="T961" i="16" s="1"/>
  <c r="N961" i="16"/>
  <c r="S960" i="16"/>
  <c r="T960" i="16" s="1"/>
  <c r="N960" i="16"/>
  <c r="S959" i="16"/>
  <c r="T959" i="16" s="1"/>
  <c r="N959" i="16"/>
  <c r="S958" i="16"/>
  <c r="T958" i="16" s="1"/>
  <c r="S957" i="16"/>
  <c r="T957" i="16" s="1"/>
  <c r="N957" i="16"/>
  <c r="S956" i="16"/>
  <c r="T956" i="16" s="1"/>
  <c r="S955" i="16"/>
  <c r="T955" i="16" s="1"/>
  <c r="S954" i="16"/>
  <c r="T954" i="16" s="1"/>
  <c r="N954" i="16"/>
  <c r="S953" i="16"/>
  <c r="T953" i="16" s="1"/>
  <c r="N953" i="16"/>
  <c r="S952" i="16"/>
  <c r="T952" i="16" s="1"/>
  <c r="N952" i="16"/>
  <c r="S951" i="16"/>
  <c r="T951" i="16" s="1"/>
  <c r="S950" i="16"/>
  <c r="T950" i="16" s="1"/>
  <c r="N950" i="16"/>
  <c r="S949" i="16"/>
  <c r="T949" i="16" s="1"/>
  <c r="N949" i="16"/>
  <c r="S948" i="16"/>
  <c r="T948" i="16" s="1"/>
  <c r="N948" i="16"/>
  <c r="S947" i="16"/>
  <c r="T947" i="16" s="1"/>
  <c r="S946" i="16"/>
  <c r="T946" i="16" s="1"/>
  <c r="N946" i="16"/>
  <c r="S945" i="16"/>
  <c r="T945" i="16" s="1"/>
  <c r="N945" i="16"/>
  <c r="S944" i="16"/>
  <c r="T944" i="16" s="1"/>
  <c r="N944" i="16"/>
  <c r="S943" i="16"/>
  <c r="T943" i="16" s="1"/>
  <c r="S942" i="16"/>
  <c r="T942" i="16" s="1"/>
  <c r="N942" i="16"/>
  <c r="S941" i="16"/>
  <c r="T941" i="16" s="1"/>
  <c r="N941" i="16"/>
  <c r="S940" i="16"/>
  <c r="T940" i="16" s="1"/>
  <c r="S939" i="16"/>
  <c r="T939" i="16" s="1"/>
  <c r="S938" i="16"/>
  <c r="T938" i="16" s="1"/>
  <c r="N938" i="16"/>
  <c r="S937" i="16"/>
  <c r="T937" i="16" s="1"/>
  <c r="N937" i="16"/>
  <c r="S936" i="16"/>
  <c r="T936" i="16" s="1"/>
  <c r="S935" i="16"/>
  <c r="T935" i="16" s="1"/>
  <c r="S934" i="16"/>
  <c r="T934" i="16" s="1"/>
  <c r="N934" i="16"/>
  <c r="S933" i="16"/>
  <c r="T933" i="16" s="1"/>
  <c r="N933" i="16"/>
  <c r="S932" i="16"/>
  <c r="T932" i="16" s="1"/>
  <c r="S931" i="16"/>
  <c r="T931" i="16" s="1"/>
  <c r="S930" i="16"/>
  <c r="T930" i="16" s="1"/>
  <c r="N930" i="16"/>
  <c r="S929" i="16"/>
  <c r="T929" i="16" s="1"/>
  <c r="N929" i="16"/>
  <c r="S928" i="16"/>
  <c r="T928" i="16" s="1"/>
  <c r="N928" i="16"/>
  <c r="S927" i="16"/>
  <c r="T927" i="16" s="1"/>
  <c r="U926" i="16"/>
  <c r="S926" i="16" s="1"/>
  <c r="T926" i="16" s="1"/>
  <c r="N926" i="16"/>
  <c r="S925" i="16"/>
  <c r="T925" i="16" s="1"/>
  <c r="N925" i="16"/>
  <c r="S924" i="16"/>
  <c r="T924" i="16" s="1"/>
  <c r="N924" i="16"/>
  <c r="S923" i="16"/>
  <c r="T923" i="16" s="1"/>
  <c r="U922" i="16"/>
  <c r="S922" i="16" s="1"/>
  <c r="T922" i="16" s="1"/>
  <c r="N922" i="16"/>
  <c r="S921" i="16"/>
  <c r="T921" i="16" s="1"/>
  <c r="S920" i="16"/>
  <c r="T920" i="16" s="1"/>
  <c r="N920" i="16"/>
  <c r="S919" i="16"/>
  <c r="T919" i="16" s="1"/>
  <c r="N919" i="16"/>
  <c r="S918" i="16"/>
  <c r="T918" i="16" s="1"/>
  <c r="N918" i="16"/>
  <c r="S917" i="16"/>
  <c r="T917" i="16" s="1"/>
  <c r="N917" i="16"/>
  <c r="S916" i="16"/>
  <c r="T916" i="16" s="1"/>
  <c r="N916" i="16"/>
  <c r="S915" i="16"/>
  <c r="T915" i="16" s="1"/>
  <c r="N915" i="16"/>
  <c r="S914" i="16"/>
  <c r="T914" i="16" s="1"/>
  <c r="S913" i="16"/>
  <c r="T913" i="16" s="1"/>
  <c r="S912" i="16"/>
  <c r="T912" i="16" s="1"/>
  <c r="N912" i="16"/>
  <c r="S911" i="16"/>
  <c r="T911" i="16" s="1"/>
  <c r="N911" i="16"/>
  <c r="S910" i="16"/>
  <c r="T910" i="16" s="1"/>
  <c r="S909" i="16"/>
  <c r="T909" i="16" s="1"/>
  <c r="S908" i="16"/>
  <c r="T908" i="16" s="1"/>
  <c r="N908" i="16"/>
  <c r="S907" i="16"/>
  <c r="T907" i="16" s="1"/>
  <c r="N907" i="16"/>
  <c r="S906" i="16"/>
  <c r="T906" i="16" s="1"/>
  <c r="S905" i="16"/>
  <c r="T905" i="16" s="1"/>
  <c r="AD904" i="16"/>
  <c r="AE904" i="16" s="1"/>
  <c r="S904" i="16"/>
  <c r="T904" i="16" s="1"/>
  <c r="N904" i="16"/>
  <c r="AD903" i="16"/>
  <c r="AE903" i="16" s="1"/>
  <c r="S903" i="16"/>
  <c r="T903" i="16" s="1"/>
  <c r="N903" i="16"/>
  <c r="S902" i="16"/>
  <c r="T902" i="16" s="1"/>
  <c r="S901" i="16"/>
  <c r="T901" i="16" s="1"/>
  <c r="N901" i="16"/>
  <c r="S900" i="16"/>
  <c r="T900" i="16" s="1"/>
  <c r="N900" i="16"/>
  <c r="S899" i="16"/>
  <c r="T899" i="16" s="1"/>
  <c r="N899" i="16"/>
  <c r="S898" i="16"/>
  <c r="T898" i="16" s="1"/>
  <c r="S897" i="16"/>
  <c r="T897" i="16" s="1"/>
  <c r="N897" i="16"/>
  <c r="S896" i="16"/>
  <c r="T896" i="16" s="1"/>
  <c r="N896" i="16"/>
  <c r="S895" i="16"/>
  <c r="T895" i="16" s="1"/>
  <c r="N895" i="16"/>
  <c r="S894" i="16"/>
  <c r="T894" i="16" s="1"/>
  <c r="N894" i="16"/>
  <c r="S893" i="16"/>
  <c r="T893" i="16" s="1"/>
  <c r="N893" i="16"/>
  <c r="S892" i="16"/>
  <c r="T892" i="16" s="1"/>
  <c r="N892" i="16"/>
  <c r="S891" i="16"/>
  <c r="T891" i="16" s="1"/>
  <c r="N891" i="16"/>
  <c r="S890" i="16"/>
  <c r="T890" i="16" s="1"/>
  <c r="S889" i="16"/>
  <c r="T889" i="16" s="1"/>
  <c r="N889" i="16"/>
  <c r="S888" i="16"/>
  <c r="T888" i="16" s="1"/>
  <c r="N888" i="16"/>
  <c r="S887" i="16"/>
  <c r="T887" i="16" s="1"/>
  <c r="N887" i="16"/>
  <c r="S886" i="16"/>
  <c r="T886" i="16" s="1"/>
  <c r="S885" i="16"/>
  <c r="T885" i="16" s="1"/>
  <c r="N885" i="16"/>
  <c r="AD884" i="16"/>
  <c r="AE884" i="16" s="1"/>
  <c r="S884" i="16"/>
  <c r="T884" i="16" s="1"/>
  <c r="N884" i="16"/>
  <c r="S883" i="16"/>
  <c r="T883" i="16" s="1"/>
  <c r="N883" i="16"/>
  <c r="S882" i="16"/>
  <c r="T882" i="16" s="1"/>
  <c r="N882" i="16"/>
  <c r="AD881" i="16"/>
  <c r="AE881" i="16" s="1"/>
  <c r="S881" i="16"/>
  <c r="T881" i="16" s="1"/>
  <c r="N881" i="16"/>
  <c r="S880" i="16"/>
  <c r="T880" i="16" s="1"/>
  <c r="N880" i="16"/>
  <c r="S879" i="16"/>
  <c r="T879" i="16" s="1"/>
  <c r="N879" i="16"/>
  <c r="S878" i="16"/>
  <c r="T878" i="16" s="1"/>
  <c r="S877" i="16"/>
  <c r="T877" i="16" s="1"/>
  <c r="N877" i="16"/>
  <c r="S876" i="16"/>
  <c r="T876" i="16" s="1"/>
  <c r="N876" i="16"/>
  <c r="S875" i="16"/>
  <c r="T875" i="16" s="1"/>
  <c r="N875" i="16"/>
  <c r="S874" i="16"/>
  <c r="T874" i="16" s="1"/>
  <c r="S873" i="16"/>
  <c r="T873" i="16" s="1"/>
  <c r="N873" i="16"/>
  <c r="S872" i="16"/>
  <c r="T872" i="16" s="1"/>
  <c r="N872" i="16"/>
  <c r="S871" i="16"/>
  <c r="T871" i="16" s="1"/>
  <c r="S870" i="16"/>
  <c r="T870" i="16" s="1"/>
  <c r="S869" i="16"/>
  <c r="T869" i="16" s="1"/>
  <c r="N869" i="16"/>
  <c r="S868" i="16"/>
  <c r="T868" i="16" s="1"/>
  <c r="N868" i="16"/>
  <c r="S866" i="16"/>
  <c r="T866" i="16" s="1"/>
  <c r="S865" i="16"/>
  <c r="T865" i="16" s="1"/>
  <c r="S864" i="16"/>
  <c r="T864" i="16" s="1"/>
  <c r="N864" i="16"/>
  <c r="AD863" i="16"/>
  <c r="AE863" i="16" s="1"/>
  <c r="S863" i="16"/>
  <c r="T863" i="16" s="1"/>
  <c r="S862" i="16"/>
  <c r="T862" i="16" s="1"/>
  <c r="N862" i="16"/>
  <c r="S861" i="16"/>
  <c r="T861" i="16" s="1"/>
  <c r="N861" i="16"/>
  <c r="S860" i="16"/>
  <c r="T860" i="16" s="1"/>
  <c r="N860" i="16"/>
  <c r="AD859" i="16"/>
  <c r="AE859" i="16" s="1"/>
  <c r="S859" i="16"/>
  <c r="T859" i="16" s="1"/>
  <c r="N859" i="16"/>
  <c r="S858" i="16"/>
  <c r="T858" i="16" s="1"/>
  <c r="S857" i="16"/>
  <c r="T857" i="16" s="1"/>
  <c r="S856" i="16"/>
  <c r="T856" i="16" s="1"/>
  <c r="N856" i="16"/>
  <c r="S855" i="16"/>
  <c r="T855" i="16" s="1"/>
  <c r="N855" i="16"/>
  <c r="S854" i="16"/>
  <c r="T854" i="16" s="1"/>
  <c r="S853" i="16"/>
  <c r="T853" i="16" s="1"/>
  <c r="AD852" i="16"/>
  <c r="AE852" i="16" s="1"/>
  <c r="S852" i="16"/>
  <c r="T852" i="16" s="1"/>
  <c r="N852" i="16"/>
  <c r="AD851" i="16"/>
  <c r="AE851" i="16" s="1"/>
  <c r="S851" i="16"/>
  <c r="T851" i="16" s="1"/>
  <c r="N851" i="16"/>
  <c r="S850" i="16"/>
  <c r="T850" i="16" s="1"/>
  <c r="S849" i="16"/>
  <c r="T849" i="16" s="1"/>
  <c r="S848" i="16"/>
  <c r="T848" i="16" s="1"/>
  <c r="N848" i="16"/>
  <c r="S847" i="16"/>
  <c r="T847" i="16" s="1"/>
  <c r="S846" i="16"/>
  <c r="T846" i="16" s="1"/>
  <c r="N846" i="16"/>
  <c r="S845" i="16"/>
  <c r="T845" i="16" s="1"/>
  <c r="N845" i="16"/>
  <c r="S844" i="16"/>
  <c r="T844" i="16" s="1"/>
  <c r="S843" i="16"/>
  <c r="T843" i="16" s="1"/>
  <c r="S842" i="16"/>
  <c r="T842" i="16" s="1"/>
  <c r="N842" i="16"/>
  <c r="S841" i="16"/>
  <c r="T841" i="16" s="1"/>
  <c r="N841" i="16"/>
  <c r="S839" i="16"/>
  <c r="T839" i="16" s="1"/>
  <c r="S838" i="16"/>
  <c r="T838" i="16" s="1"/>
  <c r="N838" i="16"/>
  <c r="S837" i="16"/>
  <c r="T837" i="16" s="1"/>
  <c r="N837" i="16"/>
  <c r="S836" i="16"/>
  <c r="T836" i="16" s="1"/>
  <c r="S835" i="16"/>
  <c r="T835" i="16" s="1"/>
  <c r="S834" i="16"/>
  <c r="T834" i="16" s="1"/>
  <c r="N834" i="16"/>
  <c r="S833" i="16"/>
  <c r="T833" i="16" s="1"/>
  <c r="N833" i="16"/>
  <c r="S832" i="16"/>
  <c r="T832" i="16" s="1"/>
  <c r="S831" i="16"/>
  <c r="T831" i="16" s="1"/>
  <c r="N831" i="16"/>
  <c r="S830" i="16"/>
  <c r="T830" i="16" s="1"/>
  <c r="N830" i="16"/>
  <c r="S829" i="16"/>
  <c r="T829" i="16" s="1"/>
  <c r="S828" i="16"/>
  <c r="T828" i="16" s="1"/>
  <c r="S827" i="16"/>
  <c r="T827" i="16" s="1"/>
  <c r="N827" i="16"/>
  <c r="S826" i="16"/>
  <c r="T826" i="16" s="1"/>
  <c r="N826" i="16"/>
  <c r="S825" i="16"/>
  <c r="T825" i="16" s="1"/>
  <c r="N825" i="16"/>
  <c r="S823" i="16"/>
  <c r="T823" i="16" s="1"/>
  <c r="N823" i="16"/>
  <c r="W822" i="16"/>
  <c r="AD822" i="16" s="1"/>
  <c r="AE822" i="16" s="1"/>
  <c r="U822" i="16"/>
  <c r="N822" i="16"/>
  <c r="S821" i="16"/>
  <c r="T821" i="16" s="1"/>
  <c r="N821" i="16"/>
  <c r="S820" i="16"/>
  <c r="T820" i="16" s="1"/>
  <c r="S819" i="16"/>
  <c r="T819" i="16" s="1"/>
  <c r="S818" i="16"/>
  <c r="T818" i="16" s="1"/>
  <c r="N818" i="16"/>
  <c r="S817" i="16"/>
  <c r="T817" i="16" s="1"/>
  <c r="N817" i="16"/>
  <c r="S816" i="16"/>
  <c r="T816" i="16" s="1"/>
  <c r="S815" i="16"/>
  <c r="T815" i="16" s="1"/>
  <c r="N815" i="16"/>
  <c r="S813" i="16"/>
  <c r="T813" i="16" s="1"/>
  <c r="S812" i="16"/>
  <c r="T812" i="16" s="1"/>
  <c r="N812" i="16"/>
  <c r="S810" i="16"/>
  <c r="T810" i="16" s="1"/>
  <c r="N810" i="16"/>
  <c r="S809" i="16"/>
  <c r="T809" i="16" s="1"/>
  <c r="N809" i="16"/>
  <c r="S807" i="16"/>
  <c r="T807" i="16" s="1"/>
  <c r="S806" i="16"/>
  <c r="T806" i="16" s="1"/>
  <c r="N806" i="16"/>
  <c r="S805" i="16"/>
  <c r="T805" i="16" s="1"/>
  <c r="N805" i="16"/>
  <c r="S804" i="16"/>
  <c r="T804" i="16" s="1"/>
  <c r="N804" i="16"/>
  <c r="S803" i="16"/>
  <c r="T803" i="16" s="1"/>
  <c r="N803" i="16"/>
  <c r="S802" i="16"/>
  <c r="T802" i="16" s="1"/>
  <c r="N802" i="16"/>
  <c r="S801" i="16"/>
  <c r="T801" i="16" s="1"/>
  <c r="N801" i="16"/>
  <c r="S800" i="16"/>
  <c r="T800" i="16" s="1"/>
  <c r="N800" i="16"/>
  <c r="S799" i="16"/>
  <c r="T799" i="16" s="1"/>
  <c r="N799" i="16"/>
  <c r="S798" i="16"/>
  <c r="T798" i="16" s="1"/>
  <c r="S797" i="16"/>
  <c r="T797" i="16" s="1"/>
  <c r="N797" i="16"/>
  <c r="U796" i="16"/>
  <c r="S796" i="16" s="1"/>
  <c r="T796" i="16" s="1"/>
  <c r="N796" i="16"/>
  <c r="S795" i="16"/>
  <c r="T795" i="16" s="1"/>
  <c r="N795" i="16"/>
  <c r="S794" i="16"/>
  <c r="T794" i="16" s="1"/>
  <c r="N794" i="16"/>
  <c r="S793" i="16"/>
  <c r="T793" i="16" s="1"/>
  <c r="N793" i="16"/>
  <c r="S792" i="16"/>
  <c r="T792" i="16" s="1"/>
  <c r="N792" i="16"/>
  <c r="S791" i="16"/>
  <c r="T791" i="16" s="1"/>
  <c r="N791" i="16"/>
  <c r="S790" i="16"/>
  <c r="T790" i="16" s="1"/>
  <c r="N790" i="16"/>
  <c r="AD789" i="16"/>
  <c r="AE789" i="16" s="1"/>
  <c r="S789" i="16"/>
  <c r="T789" i="16" s="1"/>
  <c r="N789" i="16"/>
  <c r="AD788" i="16"/>
  <c r="AE788" i="16" s="1"/>
  <c r="S788" i="16"/>
  <c r="T788" i="16" s="1"/>
  <c r="N788" i="16"/>
  <c r="AD787" i="16"/>
  <c r="AE787" i="16" s="1"/>
  <c r="S787" i="16"/>
  <c r="T787" i="16" s="1"/>
  <c r="N787" i="16"/>
  <c r="S786" i="16"/>
  <c r="T786" i="16" s="1"/>
  <c r="S785" i="16"/>
  <c r="T785" i="16" s="1"/>
  <c r="N785" i="16"/>
  <c r="S784" i="16"/>
  <c r="T784" i="16" s="1"/>
  <c r="N784" i="16"/>
  <c r="S783" i="16"/>
  <c r="T783" i="16" s="1"/>
  <c r="N783" i="16"/>
  <c r="S782" i="16"/>
  <c r="T782" i="16" s="1"/>
  <c r="N782" i="16"/>
  <c r="S781" i="16"/>
  <c r="T781" i="16" s="1"/>
  <c r="N781" i="16"/>
  <c r="S780" i="16"/>
  <c r="T780" i="16" s="1"/>
  <c r="N780" i="16"/>
  <c r="S778" i="16"/>
  <c r="T778" i="16" s="1"/>
  <c r="N778" i="16"/>
  <c r="S777" i="16"/>
  <c r="T777" i="16" s="1"/>
  <c r="N777" i="16"/>
  <c r="AD776" i="16"/>
  <c r="AE776" i="16" s="1"/>
  <c r="S776" i="16"/>
  <c r="T776" i="16" s="1"/>
  <c r="N776" i="16"/>
  <c r="S775" i="16"/>
  <c r="T775" i="16" s="1"/>
  <c r="N775" i="16"/>
  <c r="S774" i="16"/>
  <c r="T774" i="16" s="1"/>
  <c r="N774" i="16"/>
  <c r="AD773" i="16"/>
  <c r="AE773" i="16" s="1"/>
  <c r="S773" i="16"/>
  <c r="T773" i="16" s="1"/>
  <c r="N773" i="16"/>
  <c r="S772" i="16"/>
  <c r="T772" i="16" s="1"/>
  <c r="N772" i="16"/>
  <c r="S771" i="16"/>
  <c r="T771" i="16" s="1"/>
  <c r="N771" i="16"/>
  <c r="S770" i="16"/>
  <c r="T770" i="16" s="1"/>
  <c r="N770" i="16"/>
  <c r="S769" i="16"/>
  <c r="T769" i="16" s="1"/>
  <c r="N769" i="16"/>
  <c r="S768" i="16"/>
  <c r="T768" i="16" s="1"/>
  <c r="N768" i="16"/>
  <c r="S766" i="16"/>
  <c r="N766" i="16"/>
  <c r="S765" i="16"/>
  <c r="T765" i="16" s="1"/>
  <c r="N765" i="16"/>
  <c r="S764" i="16"/>
  <c r="T764" i="16" s="1"/>
  <c r="N764" i="16"/>
  <c r="AD763" i="16"/>
  <c r="AE763" i="16" s="1"/>
  <c r="S763" i="16"/>
  <c r="T763" i="16" s="1"/>
  <c r="N763" i="16"/>
  <c r="S762" i="16"/>
  <c r="T762" i="16" s="1"/>
  <c r="N762" i="16"/>
  <c r="S761" i="16"/>
  <c r="T761" i="16" s="1"/>
  <c r="N761" i="16"/>
  <c r="S760" i="16"/>
  <c r="T760" i="16" s="1"/>
  <c r="N760" i="16"/>
  <c r="S759" i="16"/>
  <c r="T759" i="16" s="1"/>
  <c r="N759" i="16"/>
  <c r="S758" i="16"/>
  <c r="T758" i="16" s="1"/>
  <c r="N758" i="16"/>
  <c r="S757" i="16"/>
  <c r="T757" i="16" s="1"/>
  <c r="N757" i="16"/>
  <c r="S756" i="16"/>
  <c r="T756" i="16" s="1"/>
  <c r="N756" i="16"/>
  <c r="S755" i="16"/>
  <c r="T755" i="16" s="1"/>
  <c r="S754" i="16"/>
  <c r="T754" i="16" s="1"/>
  <c r="N754" i="16"/>
  <c r="S753" i="16"/>
  <c r="T753" i="16" s="1"/>
  <c r="N753" i="16"/>
  <c r="S752" i="16"/>
  <c r="T752" i="16" s="1"/>
  <c r="N752" i="16"/>
  <c r="S751" i="16"/>
  <c r="T751" i="16" s="1"/>
  <c r="N751" i="16"/>
  <c r="S750" i="16"/>
  <c r="T750" i="16" s="1"/>
  <c r="N750" i="16"/>
  <c r="S749" i="16"/>
  <c r="T749" i="16" s="1"/>
  <c r="N749" i="16"/>
  <c r="AD748" i="16"/>
  <c r="AE748" i="16" s="1"/>
  <c r="S748" i="16"/>
  <c r="T748" i="16" s="1"/>
  <c r="N748" i="16"/>
  <c r="S747" i="16"/>
  <c r="T747" i="16" s="1"/>
  <c r="N747" i="16"/>
  <c r="S746" i="16"/>
  <c r="T746" i="16" s="1"/>
  <c r="N746" i="16"/>
  <c r="S745" i="16"/>
  <c r="T745" i="16" s="1"/>
  <c r="N745" i="16"/>
  <c r="S744" i="16"/>
  <c r="T744" i="16" s="1"/>
  <c r="N744" i="16"/>
  <c r="S743" i="16"/>
  <c r="T743" i="16" s="1"/>
  <c r="N743" i="16"/>
  <c r="S742" i="16"/>
  <c r="T742" i="16" s="1"/>
  <c r="N742" i="16"/>
  <c r="S741" i="16"/>
  <c r="T741" i="16" s="1"/>
  <c r="N741" i="16"/>
  <c r="S740" i="16"/>
  <c r="T740" i="16" s="1"/>
  <c r="N740" i="16"/>
  <c r="S739" i="16"/>
  <c r="T739" i="16" s="1"/>
  <c r="N739" i="16"/>
  <c r="S738" i="16"/>
  <c r="T738" i="16" s="1"/>
  <c r="N738" i="16"/>
  <c r="S737" i="16"/>
  <c r="T737" i="16" s="1"/>
  <c r="S736" i="16"/>
  <c r="T736" i="16" s="1"/>
  <c r="N736" i="16"/>
  <c r="S735" i="16"/>
  <c r="T735" i="16" s="1"/>
  <c r="N735" i="16"/>
  <c r="S734" i="16"/>
  <c r="T734" i="16" s="1"/>
  <c r="N734" i="16"/>
  <c r="S733" i="16"/>
  <c r="T733" i="16" s="1"/>
  <c r="N733" i="16"/>
  <c r="S732" i="16"/>
  <c r="T732" i="16" s="1"/>
  <c r="N732" i="16"/>
  <c r="S731" i="16"/>
  <c r="T731" i="16" s="1"/>
  <c r="N731" i="16"/>
  <c r="S730" i="16"/>
  <c r="T730" i="16" s="1"/>
  <c r="N730" i="16"/>
  <c r="S729" i="16"/>
  <c r="T729" i="16" s="1"/>
  <c r="S728" i="16"/>
  <c r="T728" i="16" s="1"/>
  <c r="N728" i="16"/>
  <c r="S727" i="16"/>
  <c r="T727" i="16" s="1"/>
  <c r="N727" i="16"/>
  <c r="S726" i="16"/>
  <c r="T726" i="16" s="1"/>
  <c r="N726" i="16"/>
  <c r="S725" i="16"/>
  <c r="T725" i="16" s="1"/>
  <c r="N725" i="16"/>
  <c r="S724" i="16"/>
  <c r="T724" i="16" s="1"/>
  <c r="N724" i="16"/>
  <c r="S723" i="16"/>
  <c r="T723" i="16" s="1"/>
  <c r="N723" i="16"/>
  <c r="S722" i="16"/>
  <c r="T722" i="16" s="1"/>
  <c r="N722" i="16"/>
  <c r="S721" i="16"/>
  <c r="T721" i="16" s="1"/>
  <c r="S720" i="16"/>
  <c r="T720" i="16" s="1"/>
  <c r="N720" i="16"/>
  <c r="S719" i="16"/>
  <c r="T719" i="16" s="1"/>
  <c r="N719" i="16"/>
  <c r="S718" i="16"/>
  <c r="T718" i="16" s="1"/>
  <c r="N718" i="16"/>
  <c r="S717" i="16"/>
  <c r="T717" i="16" s="1"/>
  <c r="AD716" i="16"/>
  <c r="AE716" i="16" s="1"/>
  <c r="S716" i="16"/>
  <c r="T716" i="16" s="1"/>
  <c r="N716" i="16"/>
  <c r="S715" i="16"/>
  <c r="T715" i="16" s="1"/>
  <c r="N715" i="16"/>
  <c r="S714" i="16"/>
  <c r="T714" i="16" s="1"/>
  <c r="N714" i="16"/>
  <c r="S713" i="16"/>
  <c r="T713" i="16" s="1"/>
  <c r="N713" i="16"/>
  <c r="S712" i="16"/>
  <c r="T712" i="16" s="1"/>
  <c r="N712" i="16"/>
  <c r="S711" i="16"/>
  <c r="T711" i="16" s="1"/>
  <c r="N711" i="16"/>
  <c r="S710" i="16"/>
  <c r="T710" i="16" s="1"/>
  <c r="N710" i="16"/>
  <c r="S709" i="16"/>
  <c r="T709" i="16" s="1"/>
  <c r="N709" i="16"/>
  <c r="S708" i="16"/>
  <c r="T708" i="16" s="1"/>
  <c r="N708" i="16"/>
  <c r="S707" i="16"/>
  <c r="T707" i="16" s="1"/>
  <c r="N707" i="16"/>
  <c r="S706" i="16"/>
  <c r="T706" i="16" s="1"/>
  <c r="S705" i="16"/>
  <c r="T705" i="16" s="1"/>
  <c r="N705" i="16"/>
  <c r="S704" i="16"/>
  <c r="T704" i="16" s="1"/>
  <c r="N704" i="16"/>
  <c r="S703" i="16"/>
  <c r="T703" i="16" s="1"/>
  <c r="N703" i="16"/>
  <c r="S702" i="16"/>
  <c r="T702" i="16" s="1"/>
  <c r="N702" i="16"/>
  <c r="S701" i="16"/>
  <c r="T701" i="16" s="1"/>
  <c r="N701" i="16"/>
  <c r="S700" i="16"/>
  <c r="T700" i="16" s="1"/>
  <c r="N700" i="16"/>
  <c r="S699" i="16"/>
  <c r="T699" i="16" s="1"/>
  <c r="N699" i="16"/>
  <c r="S698" i="16"/>
  <c r="T698" i="16" s="1"/>
  <c r="N698" i="16"/>
  <c r="S697" i="16"/>
  <c r="T697" i="16" s="1"/>
  <c r="N697" i="16"/>
  <c r="S696" i="16"/>
  <c r="T696" i="16" s="1"/>
  <c r="N696" i="16"/>
  <c r="S695" i="16"/>
  <c r="T695" i="16" s="1"/>
  <c r="N695" i="16"/>
  <c r="S694" i="16"/>
  <c r="T694" i="16" s="1"/>
  <c r="N694" i="16"/>
  <c r="S693" i="16"/>
  <c r="T693" i="16" s="1"/>
  <c r="N693" i="16"/>
  <c r="S692" i="16"/>
  <c r="T692" i="16" s="1"/>
  <c r="N692" i="16"/>
  <c r="S691" i="16"/>
  <c r="T691" i="16" s="1"/>
  <c r="N691" i="16"/>
  <c r="S690" i="16"/>
  <c r="T690" i="16" s="1"/>
  <c r="N690" i="16"/>
  <c r="S689" i="16"/>
  <c r="T689" i="16" s="1"/>
  <c r="N689" i="16"/>
  <c r="S688" i="16"/>
  <c r="T688" i="16" s="1"/>
  <c r="N688" i="16"/>
  <c r="S687" i="16"/>
  <c r="T687" i="16" s="1"/>
  <c r="S686" i="16"/>
  <c r="T686" i="16" s="1"/>
  <c r="N686" i="16"/>
  <c r="S685" i="16"/>
  <c r="T685" i="16" s="1"/>
  <c r="N685" i="16"/>
  <c r="S684" i="16"/>
  <c r="T684" i="16" s="1"/>
  <c r="N684" i="16"/>
  <c r="S683" i="16"/>
  <c r="T683" i="16" s="1"/>
  <c r="N683" i="16"/>
  <c r="S682" i="16"/>
  <c r="T682" i="16" s="1"/>
  <c r="S681" i="16"/>
  <c r="T681" i="16" s="1"/>
  <c r="N681" i="16"/>
  <c r="S680" i="16"/>
  <c r="T680" i="16" s="1"/>
  <c r="AD679" i="16"/>
  <c r="AE679" i="16" s="1"/>
  <c r="S679" i="16"/>
  <c r="T679" i="16" s="1"/>
  <c r="N679" i="16"/>
  <c r="S678" i="16"/>
  <c r="T678" i="16" s="1"/>
  <c r="W677" i="16"/>
  <c r="AD677" i="16" s="1"/>
  <c r="AE677" i="16" s="1"/>
  <c r="N677" i="16"/>
  <c r="S676" i="16"/>
  <c r="T676" i="16" s="1"/>
  <c r="N676" i="16"/>
  <c r="S675" i="16"/>
  <c r="T675" i="16" s="1"/>
  <c r="N675" i="16"/>
  <c r="S673" i="16"/>
  <c r="T673" i="16" s="1"/>
  <c r="S672" i="16"/>
  <c r="T672" i="16" s="1"/>
  <c r="S671" i="16"/>
  <c r="T671" i="16" s="1"/>
  <c r="S666" i="16"/>
  <c r="T666" i="16" s="1"/>
  <c r="S665" i="16"/>
  <c r="T665" i="16" s="1"/>
  <c r="S664" i="16"/>
  <c r="T664" i="16" s="1"/>
  <c r="N664" i="16"/>
  <c r="AD663" i="16"/>
  <c r="AE663" i="16" s="1"/>
  <c r="S663" i="16"/>
  <c r="T663" i="16" s="1"/>
  <c r="N663" i="16"/>
  <c r="AD662" i="16"/>
  <c r="AE662" i="16" s="1"/>
  <c r="S662" i="16"/>
  <c r="T662" i="16" s="1"/>
  <c r="N662" i="16"/>
  <c r="S661" i="16"/>
  <c r="T661" i="16" s="1"/>
  <c r="N661" i="16"/>
  <c r="S660" i="16"/>
  <c r="T660" i="16" s="1"/>
  <c r="N660" i="16"/>
  <c r="S659" i="16"/>
  <c r="T659" i="16" s="1"/>
  <c r="N659" i="16"/>
  <c r="S658" i="16"/>
  <c r="T658" i="16" s="1"/>
  <c r="N658" i="16"/>
  <c r="S657" i="16"/>
  <c r="T657" i="16" s="1"/>
  <c r="N657" i="16"/>
  <c r="S656" i="16"/>
  <c r="T656" i="16" s="1"/>
  <c r="S655" i="16"/>
  <c r="T655" i="16" s="1"/>
  <c r="N655" i="16"/>
  <c r="S654" i="16"/>
  <c r="T654" i="16" s="1"/>
  <c r="N654" i="16"/>
  <c r="S653" i="16"/>
  <c r="T653" i="16" s="1"/>
  <c r="N653" i="16"/>
  <c r="AD652" i="16"/>
  <c r="AE652" i="16" s="1"/>
  <c r="S652" i="16"/>
  <c r="T652" i="16" s="1"/>
  <c r="AD651" i="16"/>
  <c r="AE651" i="16" s="1"/>
  <c r="S651" i="16"/>
  <c r="T651" i="16" s="1"/>
  <c r="N651" i="16"/>
  <c r="AD650" i="16"/>
  <c r="AE650" i="16" s="1"/>
  <c r="S650" i="16"/>
  <c r="T650" i="16" s="1"/>
  <c r="N650" i="16"/>
  <c r="AD649" i="16"/>
  <c r="AE649" i="16" s="1"/>
  <c r="S649" i="16"/>
  <c r="T649" i="16" s="1"/>
  <c r="N649" i="16"/>
  <c r="S648" i="16"/>
  <c r="T648" i="16" s="1"/>
  <c r="N648" i="16"/>
  <c r="AD647" i="16"/>
  <c r="AE647" i="16" s="1"/>
  <c r="S647" i="16"/>
  <c r="T647" i="16" s="1"/>
  <c r="S646" i="16"/>
  <c r="T646" i="16" s="1"/>
  <c r="N646" i="16"/>
  <c r="S645" i="16"/>
  <c r="T645" i="16" s="1"/>
  <c r="N645" i="16"/>
  <c r="S644" i="16"/>
  <c r="T644" i="16" s="1"/>
  <c r="N644" i="16"/>
  <c r="S643" i="16"/>
  <c r="T643" i="16" s="1"/>
  <c r="N643" i="16"/>
  <c r="S642" i="16"/>
  <c r="T642" i="16" s="1"/>
  <c r="N642" i="16"/>
  <c r="S641" i="16"/>
  <c r="T641" i="16" s="1"/>
  <c r="N641" i="16"/>
  <c r="S640" i="16"/>
  <c r="T640" i="16" s="1"/>
  <c r="S639" i="16"/>
  <c r="T639" i="16" s="1"/>
  <c r="N639" i="16"/>
  <c r="S638" i="16"/>
  <c r="T638" i="16" s="1"/>
  <c r="N638" i="16"/>
  <c r="S637" i="16"/>
  <c r="T637" i="16" s="1"/>
  <c r="N637" i="16"/>
  <c r="S636" i="16"/>
  <c r="T636" i="16" s="1"/>
  <c r="N636" i="16"/>
  <c r="S635" i="16"/>
  <c r="T635" i="16" s="1"/>
  <c r="N635" i="16"/>
  <c r="S634" i="16"/>
  <c r="T634" i="16" s="1"/>
  <c r="N634" i="16"/>
  <c r="S633" i="16"/>
  <c r="T633" i="16" s="1"/>
  <c r="N633" i="16"/>
  <c r="S632" i="16"/>
  <c r="T632" i="16" s="1"/>
  <c r="S631" i="16"/>
  <c r="T631" i="16" s="1"/>
  <c r="N631" i="16"/>
  <c r="S630" i="16"/>
  <c r="T630" i="16" s="1"/>
  <c r="N630" i="16"/>
  <c r="S629" i="16"/>
  <c r="T629" i="16" s="1"/>
  <c r="N629" i="16"/>
  <c r="S628" i="16"/>
  <c r="T628" i="16" s="1"/>
  <c r="N628" i="16"/>
  <c r="S627" i="16"/>
  <c r="T627" i="16" s="1"/>
  <c r="N627" i="16"/>
  <c r="S626" i="16"/>
  <c r="T626" i="16" s="1"/>
  <c r="N626" i="16"/>
  <c r="S625" i="16"/>
  <c r="T625" i="16" s="1"/>
  <c r="N625" i="16"/>
  <c r="S624" i="16"/>
  <c r="T624" i="16" s="1"/>
  <c r="S623" i="16"/>
  <c r="T623" i="16" s="1"/>
  <c r="N623" i="16"/>
  <c r="S622" i="16"/>
  <c r="T622" i="16" s="1"/>
  <c r="N622" i="16"/>
  <c r="S621" i="16"/>
  <c r="T621" i="16" s="1"/>
  <c r="N621" i="16"/>
  <c r="AD620" i="16"/>
  <c r="AE620" i="16" s="1"/>
  <c r="S620" i="16"/>
  <c r="T620" i="16" s="1"/>
  <c r="W619" i="16"/>
  <c r="AD619" i="16" s="1"/>
  <c r="AE619" i="16" s="1"/>
  <c r="N619" i="16"/>
  <c r="S618" i="16"/>
  <c r="T618" i="16" s="1"/>
  <c r="N618" i="16"/>
  <c r="AD617" i="16"/>
  <c r="AE617" i="16" s="1"/>
  <c r="S617" i="16"/>
  <c r="T617" i="16" s="1"/>
  <c r="N617" i="16"/>
  <c r="W615" i="16"/>
  <c r="AD615" i="16" s="1"/>
  <c r="AE615" i="16" s="1"/>
  <c r="N615" i="16"/>
  <c r="S614" i="16"/>
  <c r="T614" i="16" s="1"/>
  <c r="N614" i="16"/>
  <c r="S613" i="16"/>
  <c r="T613" i="16" s="1"/>
  <c r="N613" i="16"/>
  <c r="S612" i="16"/>
  <c r="T612" i="16" s="1"/>
  <c r="N612" i="16"/>
  <c r="S611" i="16"/>
  <c r="T611" i="16" s="1"/>
  <c r="N611" i="16"/>
  <c r="S610" i="16"/>
  <c r="T610" i="16" s="1"/>
  <c r="N610" i="16"/>
  <c r="S609" i="16"/>
  <c r="T609" i="16" s="1"/>
  <c r="N609" i="16"/>
  <c r="S608" i="16"/>
  <c r="T608" i="16" s="1"/>
  <c r="N608" i="16"/>
  <c r="S607" i="16"/>
  <c r="T607" i="16" s="1"/>
  <c r="N607" i="16"/>
  <c r="S606" i="16"/>
  <c r="T606" i="16" s="1"/>
  <c r="N606" i="16"/>
  <c r="S605" i="16"/>
  <c r="T605" i="16" s="1"/>
  <c r="N605" i="16"/>
  <c r="AD604" i="16"/>
  <c r="AE604" i="16" s="1"/>
  <c r="S604" i="16"/>
  <c r="T604" i="16" s="1"/>
  <c r="N604" i="16"/>
  <c r="S603" i="16"/>
  <c r="T603" i="16" s="1"/>
  <c r="N603" i="16"/>
  <c r="AD602" i="16"/>
  <c r="AE602" i="16" s="1"/>
  <c r="S602" i="16"/>
  <c r="T602" i="16" s="1"/>
  <c r="N602" i="16"/>
  <c r="AD601" i="16"/>
  <c r="AE601" i="16" s="1"/>
  <c r="S601" i="16"/>
  <c r="T601" i="16" s="1"/>
  <c r="N601" i="16"/>
  <c r="S600" i="16"/>
  <c r="T600" i="16" s="1"/>
  <c r="N600" i="16"/>
  <c r="S599" i="16"/>
  <c r="T599" i="16" s="1"/>
  <c r="N599" i="16"/>
  <c r="S598" i="16"/>
  <c r="T598" i="16" s="1"/>
  <c r="N598" i="16"/>
  <c r="AD597" i="16"/>
  <c r="AE597" i="16" s="1"/>
  <c r="S597" i="16"/>
  <c r="T597" i="16" s="1"/>
  <c r="N597" i="16"/>
  <c r="AD596" i="16"/>
  <c r="AE596" i="16" s="1"/>
  <c r="S596" i="16"/>
  <c r="T596" i="16" s="1"/>
  <c r="N596" i="16"/>
  <c r="U595" i="16"/>
  <c r="S595" i="16" s="1"/>
  <c r="N595" i="16"/>
  <c r="S594" i="16"/>
  <c r="T594" i="16" s="1"/>
  <c r="S593" i="16"/>
  <c r="T593" i="16" s="1"/>
  <c r="N593" i="16"/>
  <c r="S592" i="16"/>
  <c r="T592" i="16" s="1"/>
  <c r="S591" i="16"/>
  <c r="T591" i="16" s="1"/>
  <c r="N591" i="16"/>
  <c r="S590" i="16"/>
  <c r="T590" i="16" s="1"/>
  <c r="N590" i="16"/>
  <c r="S589" i="16"/>
  <c r="T589" i="16" s="1"/>
  <c r="N589" i="16"/>
  <c r="S588" i="16"/>
  <c r="T588" i="16" s="1"/>
  <c r="N588" i="16"/>
  <c r="S587" i="16"/>
  <c r="T587" i="16" s="1"/>
  <c r="N587" i="16"/>
  <c r="S586" i="16"/>
  <c r="T586" i="16" s="1"/>
  <c r="S585" i="16"/>
  <c r="T585" i="16" s="1"/>
  <c r="N585" i="16"/>
  <c r="AD584" i="16"/>
  <c r="AE584" i="16" s="1"/>
  <c r="U584" i="16"/>
  <c r="S584" i="16" s="1"/>
  <c r="T584" i="16" s="1"/>
  <c r="N584" i="16"/>
  <c r="S583" i="16"/>
  <c r="T583" i="16" s="1"/>
  <c r="N583" i="16"/>
  <c r="S582" i="16"/>
  <c r="T582" i="16" s="1"/>
  <c r="N582" i="16"/>
  <c r="S581" i="16"/>
  <c r="T581" i="16" s="1"/>
  <c r="N581" i="16"/>
  <c r="S580" i="16"/>
  <c r="T580" i="16" s="1"/>
  <c r="N580" i="16"/>
  <c r="AD579" i="16"/>
  <c r="AE579" i="16" s="1"/>
  <c r="S579" i="16"/>
  <c r="T579" i="16" s="1"/>
  <c r="N579" i="16"/>
  <c r="S578" i="16"/>
  <c r="T578" i="16" s="1"/>
  <c r="N578" i="16"/>
  <c r="S576" i="16"/>
  <c r="T576" i="16" s="1"/>
  <c r="N576" i="16"/>
  <c r="S575" i="16"/>
  <c r="T575" i="16" s="1"/>
  <c r="N575" i="16"/>
  <c r="S574" i="16"/>
  <c r="T574" i="16" s="1"/>
  <c r="N574" i="16"/>
  <c r="S573" i="16"/>
  <c r="T573" i="16" s="1"/>
  <c r="N573" i="16"/>
  <c r="S572" i="16"/>
  <c r="T572" i="16" s="1"/>
  <c r="N572" i="16"/>
  <c r="AD571" i="16"/>
  <c r="AE571" i="16" s="1"/>
  <c r="S571" i="16"/>
  <c r="T571" i="16" s="1"/>
  <c r="N571" i="16"/>
  <c r="S570" i="16"/>
  <c r="T570" i="16" s="1"/>
  <c r="N570" i="16"/>
  <c r="S568" i="16"/>
  <c r="T568" i="16" s="1"/>
  <c r="N568" i="16"/>
  <c r="AD567" i="16"/>
  <c r="AE567" i="16" s="1"/>
  <c r="S567" i="16"/>
  <c r="T567" i="16" s="1"/>
  <c r="S566" i="16"/>
  <c r="T566" i="16" s="1"/>
  <c r="N566" i="16"/>
  <c r="S565" i="16"/>
  <c r="T565" i="16" s="1"/>
  <c r="N565" i="16"/>
  <c r="S564" i="16"/>
  <c r="T564" i="16" s="1"/>
  <c r="N564" i="16"/>
  <c r="S563" i="16"/>
  <c r="T563" i="16" s="1"/>
  <c r="N563" i="16"/>
  <c r="S562" i="16"/>
  <c r="T562" i="16" s="1"/>
  <c r="N562" i="16"/>
  <c r="S561" i="16"/>
  <c r="T561" i="16" s="1"/>
  <c r="AD560" i="16"/>
  <c r="AE560" i="16" s="1"/>
  <c r="S560" i="16"/>
  <c r="T560" i="16" s="1"/>
  <c r="N560" i="16"/>
  <c r="AD559" i="16"/>
  <c r="AE559" i="16" s="1"/>
  <c r="S559" i="16"/>
  <c r="T559" i="16" s="1"/>
  <c r="N559" i="16"/>
  <c r="S558" i="16"/>
  <c r="T558" i="16" s="1"/>
  <c r="N558" i="16"/>
  <c r="S557" i="16"/>
  <c r="T557" i="16" s="1"/>
  <c r="N557" i="16"/>
  <c r="S556" i="16"/>
  <c r="T556" i="16" s="1"/>
  <c r="N556" i="16"/>
  <c r="S555" i="16"/>
  <c r="T555" i="16" s="1"/>
  <c r="N555" i="16"/>
  <c r="S554" i="16"/>
  <c r="T554" i="16" s="1"/>
  <c r="N554" i="16"/>
  <c r="S553" i="16"/>
  <c r="T553" i="16" s="1"/>
  <c r="N553" i="16"/>
  <c r="AD552" i="16"/>
  <c r="AE552" i="16" s="1"/>
  <c r="S552" i="16"/>
  <c r="T552" i="16" s="1"/>
  <c r="N552" i="16"/>
  <c r="AD551" i="16"/>
  <c r="AE551" i="16" s="1"/>
  <c r="S551" i="16"/>
  <c r="T551" i="16" s="1"/>
  <c r="N551" i="16"/>
  <c r="W549" i="16"/>
  <c r="S549" i="16" s="1"/>
  <c r="T549" i="16" s="1"/>
  <c r="N549" i="16"/>
  <c r="AD548" i="16"/>
  <c r="AE548" i="16" s="1"/>
  <c r="S548" i="16"/>
  <c r="T548" i="16" s="1"/>
  <c r="N548" i="16"/>
  <c r="U547" i="16"/>
  <c r="S547" i="16" s="1"/>
  <c r="T547" i="16" s="1"/>
  <c r="N547" i="16"/>
  <c r="S546" i="16"/>
  <c r="T546" i="16" s="1"/>
  <c r="W545" i="16"/>
  <c r="S545" i="16" s="1"/>
  <c r="T545" i="16" s="1"/>
  <c r="S544" i="16"/>
  <c r="T544" i="16" s="1"/>
  <c r="N544" i="16"/>
  <c r="S543" i="16"/>
  <c r="T543" i="16" s="1"/>
  <c r="N543" i="16"/>
  <c r="AD542" i="16"/>
  <c r="AE542" i="16" s="1"/>
  <c r="S542" i="16"/>
  <c r="T542" i="16" s="1"/>
  <c r="N542" i="16"/>
  <c r="S541" i="16"/>
  <c r="T541" i="16" s="1"/>
  <c r="N541" i="16"/>
  <c r="S540" i="16"/>
  <c r="T540" i="16" s="1"/>
  <c r="N540" i="16"/>
  <c r="AD539" i="16"/>
  <c r="AE539" i="16" s="1"/>
  <c r="S539" i="16"/>
  <c r="T539" i="16" s="1"/>
  <c r="N539" i="16"/>
  <c r="S538" i="16"/>
  <c r="T538" i="16" s="1"/>
  <c r="N538" i="16"/>
  <c r="S537" i="16"/>
  <c r="T537" i="16" s="1"/>
  <c r="S536" i="16"/>
  <c r="T536" i="16" s="1"/>
  <c r="S535" i="16"/>
  <c r="T535" i="16" s="1"/>
  <c r="N535" i="16"/>
  <c r="S534" i="16"/>
  <c r="T534" i="16" s="1"/>
  <c r="N534" i="16"/>
  <c r="AD533" i="16"/>
  <c r="AE533" i="16" s="1"/>
  <c r="S533" i="16"/>
  <c r="T533" i="16" s="1"/>
  <c r="N533" i="16"/>
  <c r="S532" i="16"/>
  <c r="T532" i="16" s="1"/>
  <c r="AD531" i="16"/>
  <c r="AE531" i="16" s="1"/>
  <c r="S531" i="16"/>
  <c r="T531" i="16" s="1"/>
  <c r="N531" i="16"/>
  <c r="AD530" i="16"/>
  <c r="AE530" i="16" s="1"/>
  <c r="S530" i="16"/>
  <c r="T530" i="16" s="1"/>
  <c r="AD529" i="16"/>
  <c r="AE529" i="16" s="1"/>
  <c r="S529" i="16"/>
  <c r="T529" i="16" s="1"/>
  <c r="N529" i="16"/>
  <c r="W528" i="16"/>
  <c r="S528" i="16" s="1"/>
  <c r="T528" i="16" s="1"/>
  <c r="N528" i="16"/>
  <c r="W527" i="16"/>
  <c r="S527" i="16" s="1"/>
  <c r="T527" i="16" s="1"/>
  <c r="N527" i="16"/>
  <c r="AD526" i="16"/>
  <c r="AE526" i="16" s="1"/>
  <c r="S526" i="16"/>
  <c r="T526" i="16" s="1"/>
  <c r="N526" i="16"/>
  <c r="AD525" i="16"/>
  <c r="AE525" i="16" s="1"/>
  <c r="S525" i="16"/>
  <c r="T525" i="16" s="1"/>
  <c r="N525" i="16"/>
  <c r="AD524" i="16"/>
  <c r="AE524" i="16" s="1"/>
  <c r="S524" i="16"/>
  <c r="T524" i="16" s="1"/>
  <c r="N524" i="16"/>
  <c r="AD523" i="16"/>
  <c r="AE523" i="16" s="1"/>
  <c r="S523" i="16"/>
  <c r="T523" i="16" s="1"/>
  <c r="N523" i="16"/>
  <c r="W522" i="16"/>
  <c r="S522" i="16" s="1"/>
  <c r="T522" i="16" s="1"/>
  <c r="N522" i="16"/>
  <c r="S521" i="16"/>
  <c r="T521" i="16" s="1"/>
  <c r="N521" i="16"/>
  <c r="S520" i="16"/>
  <c r="T520" i="16" s="1"/>
  <c r="N520" i="16"/>
  <c r="S519" i="16"/>
  <c r="T519" i="16" s="1"/>
  <c r="AD518" i="16"/>
  <c r="AE518" i="16" s="1"/>
  <c r="S518" i="16"/>
  <c r="T518" i="16" s="1"/>
  <c r="N518" i="16"/>
  <c r="S517" i="16"/>
  <c r="T517" i="16" s="1"/>
  <c r="N517" i="16"/>
  <c r="S516" i="16"/>
  <c r="T516" i="16" s="1"/>
  <c r="S515" i="16"/>
  <c r="T515" i="16" s="1"/>
  <c r="S514" i="16"/>
  <c r="T514" i="16" s="1"/>
  <c r="N514" i="16"/>
  <c r="S513" i="16"/>
  <c r="T513" i="16" s="1"/>
  <c r="S512" i="16"/>
  <c r="T512" i="16" s="1"/>
  <c r="AE511" i="16"/>
  <c r="U511" i="16"/>
  <c r="S511" i="16" s="1"/>
  <c r="T511" i="16" s="1"/>
  <c r="N511" i="16"/>
  <c r="S510" i="16"/>
  <c r="T510" i="16" s="1"/>
  <c r="S509" i="16"/>
  <c r="T509" i="16" s="1"/>
  <c r="S508" i="16"/>
  <c r="T508" i="16" s="1"/>
  <c r="N508" i="16"/>
  <c r="S507" i="16"/>
  <c r="T507" i="16" s="1"/>
  <c r="N507" i="16"/>
  <c r="S506" i="16"/>
  <c r="T506" i="16" s="1"/>
  <c r="S505" i="16"/>
  <c r="T505" i="16" s="1"/>
  <c r="N505" i="16"/>
  <c r="AD504" i="16"/>
  <c r="AE504" i="16" s="1"/>
  <c r="S504" i="16"/>
  <c r="T504" i="16" s="1"/>
  <c r="AD503" i="16"/>
  <c r="AE503" i="16" s="1"/>
  <c r="S503" i="16"/>
  <c r="T503" i="16" s="1"/>
  <c r="S502" i="16"/>
  <c r="T502" i="16" s="1"/>
  <c r="N502" i="16"/>
  <c r="S501" i="16"/>
  <c r="T501" i="16" s="1"/>
  <c r="N501" i="16"/>
  <c r="S500" i="16"/>
  <c r="T500" i="16" s="1"/>
  <c r="N500" i="16"/>
  <c r="S499" i="16"/>
  <c r="T499" i="16" s="1"/>
  <c r="N499" i="16"/>
  <c r="S498" i="16"/>
  <c r="T498" i="16" s="1"/>
  <c r="N498" i="16"/>
  <c r="S497" i="16"/>
  <c r="T497" i="16" s="1"/>
  <c r="N497" i="16"/>
  <c r="S496" i="16"/>
  <c r="T496" i="16" s="1"/>
  <c r="N496" i="16"/>
  <c r="S495" i="16"/>
  <c r="T495" i="16" s="1"/>
  <c r="N495" i="16"/>
  <c r="S494" i="16"/>
  <c r="T494" i="16" s="1"/>
  <c r="S493" i="16"/>
  <c r="T493" i="16" s="1"/>
  <c r="N493" i="16"/>
  <c r="S492" i="16"/>
  <c r="T492" i="16" s="1"/>
  <c r="S491" i="16"/>
  <c r="T491" i="16" s="1"/>
  <c r="S490" i="16"/>
  <c r="T490" i="16" s="1"/>
  <c r="N490" i="16"/>
  <c r="S489" i="16"/>
  <c r="T489" i="16" s="1"/>
  <c r="N489" i="16"/>
  <c r="S488" i="16"/>
  <c r="T488" i="16" s="1"/>
  <c r="S487" i="16"/>
  <c r="T487" i="16" s="1"/>
  <c r="S486" i="16"/>
  <c r="T486" i="16" s="1"/>
  <c r="U485" i="16"/>
  <c r="S485" i="16" s="1"/>
  <c r="T485" i="16" s="1"/>
  <c r="N485" i="16"/>
  <c r="U484" i="16"/>
  <c r="S484" i="16" s="1"/>
  <c r="T484" i="16" s="1"/>
  <c r="U483" i="16"/>
  <c r="S483" i="16" s="1"/>
  <c r="T483" i="16" s="1"/>
  <c r="N483" i="16"/>
  <c r="W482" i="16"/>
  <c r="S482" i="16" s="1"/>
  <c r="T482" i="16" s="1"/>
  <c r="N482" i="16"/>
  <c r="AD481" i="16"/>
  <c r="AE481" i="16" s="1"/>
  <c r="S481" i="16"/>
  <c r="T481" i="16" s="1"/>
  <c r="N481" i="16"/>
  <c r="S480" i="16"/>
  <c r="T480" i="16" s="1"/>
  <c r="N480" i="16"/>
  <c r="S479" i="16"/>
  <c r="T479" i="16" s="1"/>
  <c r="AD478" i="16"/>
  <c r="AE478" i="16" s="1"/>
  <c r="S478" i="16"/>
  <c r="T478" i="16" s="1"/>
  <c r="N478" i="16"/>
  <c r="S477" i="16"/>
  <c r="T477" i="16" s="1"/>
  <c r="N477" i="16"/>
  <c r="S476" i="16"/>
  <c r="T476" i="16" s="1"/>
  <c r="S475" i="16"/>
  <c r="T475" i="16" s="1"/>
  <c r="AD474" i="16"/>
  <c r="AE474" i="16" s="1"/>
  <c r="S474" i="16"/>
  <c r="T474" i="16" s="1"/>
  <c r="S473" i="16"/>
  <c r="T473" i="16" s="1"/>
  <c r="N473" i="16"/>
  <c r="S472" i="16"/>
  <c r="T472" i="16" s="1"/>
  <c r="N472" i="16"/>
  <c r="AD471" i="16"/>
  <c r="AE471" i="16" s="1"/>
  <c r="S471" i="16"/>
  <c r="T471" i="16" s="1"/>
  <c r="S470" i="16"/>
  <c r="T470" i="16" s="1"/>
  <c r="N470" i="16"/>
  <c r="S469" i="16"/>
  <c r="T469" i="16" s="1"/>
  <c r="N469" i="16"/>
  <c r="S468" i="16"/>
  <c r="T468" i="16" s="1"/>
  <c r="S467" i="16"/>
  <c r="T467" i="16" s="1"/>
  <c r="AD466" i="16"/>
  <c r="AE466" i="16" s="1"/>
  <c r="U466" i="16"/>
  <c r="S466" i="16" s="1"/>
  <c r="N466" i="16"/>
  <c r="S465" i="16"/>
  <c r="T465" i="16" s="1"/>
  <c r="S464" i="16"/>
  <c r="T464" i="16" s="1"/>
  <c r="N464" i="16"/>
  <c r="S463" i="16"/>
  <c r="T463" i="16" s="1"/>
  <c r="S462" i="16"/>
  <c r="T462" i="16" s="1"/>
  <c r="S461" i="16"/>
  <c r="T461" i="16" s="1"/>
  <c r="N461" i="16"/>
  <c r="AD459" i="16"/>
  <c r="AE459" i="16" s="1"/>
  <c r="S459" i="16"/>
  <c r="T459" i="16" s="1"/>
  <c r="N459" i="16"/>
  <c r="S458" i="16"/>
  <c r="T458" i="16" s="1"/>
  <c r="U457" i="16"/>
  <c r="S457" i="16" s="1"/>
  <c r="T457" i="16" s="1"/>
  <c r="N457" i="16"/>
  <c r="AD456" i="16"/>
  <c r="AE456" i="16" s="1"/>
  <c r="S456" i="16"/>
  <c r="T456" i="16" s="1"/>
  <c r="N456" i="16"/>
  <c r="U455" i="16"/>
  <c r="S455" i="16" s="1"/>
  <c r="T455" i="16" s="1"/>
  <c r="N455" i="16"/>
  <c r="S454" i="16"/>
  <c r="T454" i="16" s="1"/>
  <c r="S453" i="16"/>
  <c r="T453" i="16" s="1"/>
  <c r="N453" i="16"/>
  <c r="S452" i="16"/>
  <c r="T452" i="16" s="1"/>
  <c r="N452" i="16"/>
  <c r="S451" i="16"/>
  <c r="T451" i="16" s="1"/>
  <c r="AD450" i="16"/>
  <c r="AE450" i="16" s="1"/>
  <c r="U450" i="16"/>
  <c r="S450" i="16" s="1"/>
  <c r="T450" i="16" s="1"/>
  <c r="N450" i="16"/>
  <c r="S449" i="16"/>
  <c r="T449" i="16" s="1"/>
  <c r="S448" i="16"/>
  <c r="T448" i="16" s="1"/>
  <c r="AD447" i="16"/>
  <c r="AE447" i="16" s="1"/>
  <c r="S447" i="16"/>
  <c r="T447" i="16" s="1"/>
  <c r="N447" i="16"/>
  <c r="S446" i="16"/>
  <c r="T446" i="16" s="1"/>
  <c r="AD445" i="16"/>
  <c r="AE445" i="16" s="1"/>
  <c r="S445" i="16"/>
  <c r="T445" i="16" s="1"/>
  <c r="N445" i="16"/>
  <c r="S444" i="16"/>
  <c r="T444" i="16" s="1"/>
  <c r="AD443" i="16"/>
  <c r="AE443" i="16" s="1"/>
  <c r="S443" i="16"/>
  <c r="T443" i="16" s="1"/>
  <c r="N443" i="16"/>
  <c r="S442" i="16"/>
  <c r="T442" i="16" s="1"/>
  <c r="N442" i="16"/>
  <c r="S441" i="16"/>
  <c r="T441" i="16" s="1"/>
  <c r="N441" i="16"/>
  <c r="S440" i="16"/>
  <c r="T440" i="16" s="1"/>
  <c r="N440" i="16"/>
  <c r="S439" i="16"/>
  <c r="T439" i="16" s="1"/>
  <c r="N439" i="16"/>
  <c r="S438" i="16"/>
  <c r="T438" i="16" s="1"/>
  <c r="S437" i="16"/>
  <c r="T437" i="16" s="1"/>
  <c r="S436" i="16"/>
  <c r="T436" i="16" s="1"/>
  <c r="N436" i="16"/>
  <c r="S435" i="16"/>
  <c r="T435" i="16" s="1"/>
  <c r="N435" i="16"/>
  <c r="S433" i="16"/>
  <c r="T433" i="16" s="1"/>
  <c r="N433" i="16"/>
  <c r="AD432" i="16"/>
  <c r="AE432" i="16" s="1"/>
  <c r="S432" i="16"/>
  <c r="T432" i="16" s="1"/>
  <c r="N432" i="16"/>
  <c r="S431" i="16"/>
  <c r="T431" i="16" s="1"/>
  <c r="N431" i="16"/>
  <c r="S430" i="16"/>
  <c r="T430" i="16" s="1"/>
  <c r="N430" i="16"/>
  <c r="AD429" i="16"/>
  <c r="AE429" i="16" s="1"/>
  <c r="S429" i="16"/>
  <c r="T429" i="16" s="1"/>
  <c r="N429" i="16"/>
  <c r="S428" i="16"/>
  <c r="T428" i="16" s="1"/>
  <c r="N428" i="16"/>
  <c r="AD427" i="16"/>
  <c r="AE427" i="16" s="1"/>
  <c r="S427" i="16"/>
  <c r="T427" i="16" s="1"/>
  <c r="N427" i="16"/>
  <c r="AD426" i="16"/>
  <c r="AE426" i="16" s="1"/>
  <c r="S426" i="16"/>
  <c r="T426" i="16" s="1"/>
  <c r="S425" i="16"/>
  <c r="T425" i="16" s="1"/>
  <c r="N425" i="16"/>
  <c r="S424" i="16"/>
  <c r="T424" i="16" s="1"/>
  <c r="N424" i="16"/>
  <c r="S423" i="16"/>
  <c r="T423" i="16" s="1"/>
  <c r="N423" i="16"/>
  <c r="S421" i="16"/>
  <c r="T421" i="16" s="1"/>
  <c r="S418" i="16"/>
  <c r="T418" i="16" s="1"/>
  <c r="N418" i="16"/>
  <c r="S416" i="16"/>
  <c r="T416" i="16" s="1"/>
  <c r="S415" i="16"/>
  <c r="T415" i="16" s="1"/>
  <c r="S414" i="16"/>
  <c r="T414" i="16" s="1"/>
  <c r="N414" i="16"/>
  <c r="S413" i="16"/>
  <c r="T413" i="16" s="1"/>
  <c r="N413" i="16"/>
  <c r="S412" i="16"/>
  <c r="T412" i="16" s="1"/>
  <c r="N412" i="16"/>
  <c r="S411" i="16"/>
  <c r="T411" i="16" s="1"/>
  <c r="N411" i="16"/>
  <c r="S410" i="16"/>
  <c r="T410" i="16" s="1"/>
  <c r="N410" i="16"/>
  <c r="S409" i="16"/>
  <c r="T409" i="16" s="1"/>
  <c r="S408" i="16"/>
  <c r="T408" i="16" s="1"/>
  <c r="AD407" i="16"/>
  <c r="AE407" i="16" s="1"/>
  <c r="S407" i="16"/>
  <c r="T407" i="16" s="1"/>
  <c r="W406" i="16"/>
  <c r="S406" i="16" s="1"/>
  <c r="T406" i="16" s="1"/>
  <c r="N406" i="16"/>
  <c r="S405" i="16"/>
  <c r="T405" i="16" s="1"/>
  <c r="N405" i="16"/>
  <c r="S404" i="16"/>
  <c r="T404" i="16" s="1"/>
  <c r="S403" i="16"/>
  <c r="T403" i="16" s="1"/>
  <c r="N403" i="16"/>
  <c r="AD402" i="16"/>
  <c r="AE402" i="16" s="1"/>
  <c r="S402" i="16"/>
  <c r="T402" i="16" s="1"/>
  <c r="S401" i="16"/>
  <c r="T401" i="16" s="1"/>
  <c r="AD400" i="16"/>
  <c r="AE400" i="16" s="1"/>
  <c r="S400" i="16"/>
  <c r="T400" i="16" s="1"/>
  <c r="AD399" i="16"/>
  <c r="AE399" i="16" s="1"/>
  <c r="S399" i="16"/>
  <c r="T399" i="16" s="1"/>
  <c r="AD398" i="16"/>
  <c r="AE398" i="16" s="1"/>
  <c r="S398" i="16"/>
  <c r="T398" i="16" s="1"/>
  <c r="AD397" i="16"/>
  <c r="AE397" i="16" s="1"/>
  <c r="S397" i="16"/>
  <c r="T397" i="16" s="1"/>
  <c r="S396" i="16"/>
  <c r="T396" i="16" s="1"/>
  <c r="N396" i="16"/>
  <c r="S395" i="16"/>
  <c r="T395" i="16" s="1"/>
  <c r="N395" i="16"/>
  <c r="S392" i="16"/>
  <c r="T392" i="16" s="1"/>
  <c r="S391" i="16"/>
  <c r="T391" i="16" s="1"/>
  <c r="S390" i="16"/>
  <c r="T390" i="16" s="1"/>
  <c r="N390" i="16"/>
  <c r="S389" i="16"/>
  <c r="T389" i="16" s="1"/>
  <c r="N389" i="16"/>
  <c r="S388" i="16"/>
  <c r="T388" i="16" s="1"/>
  <c r="S387" i="16"/>
  <c r="T387" i="16" s="1"/>
  <c r="S386" i="16"/>
  <c r="T386" i="16" s="1"/>
  <c r="N386" i="16"/>
  <c r="S385" i="16"/>
  <c r="T385" i="16" s="1"/>
  <c r="N385" i="16"/>
  <c r="S384" i="16"/>
  <c r="T384" i="16" s="1"/>
  <c r="AD383" i="16"/>
  <c r="AE383" i="16" s="1"/>
  <c r="S383" i="16"/>
  <c r="T383" i="16" s="1"/>
  <c r="N383" i="16"/>
  <c r="S382" i="16"/>
  <c r="T382" i="16" s="1"/>
  <c r="N382" i="16"/>
  <c r="S381" i="16"/>
  <c r="T381" i="16" s="1"/>
  <c r="S380" i="16"/>
  <c r="T380" i="16" s="1"/>
  <c r="N380" i="16"/>
  <c r="S379" i="16"/>
  <c r="T379" i="16" s="1"/>
  <c r="S378" i="16"/>
  <c r="T378" i="16" s="1"/>
  <c r="S377" i="16"/>
  <c r="T377" i="16" s="1"/>
  <c r="S376" i="16"/>
  <c r="T376" i="16" s="1"/>
  <c r="N376" i="16"/>
  <c r="S375" i="16"/>
  <c r="T375" i="16" s="1"/>
  <c r="S373" i="16"/>
  <c r="T373" i="16" s="1"/>
  <c r="N373" i="16"/>
  <c r="S372" i="16"/>
  <c r="T372" i="16" s="1"/>
  <c r="N372" i="16"/>
  <c r="S371" i="16"/>
  <c r="T371" i="16" s="1"/>
  <c r="N371" i="16"/>
  <c r="S370" i="16"/>
  <c r="T370" i="16" s="1"/>
  <c r="N370" i="16"/>
  <c r="S369" i="16"/>
  <c r="T369" i="16" s="1"/>
  <c r="S368" i="16"/>
  <c r="T368" i="16" s="1"/>
  <c r="AD367" i="16"/>
  <c r="AE367" i="16" s="1"/>
  <c r="S367" i="16"/>
  <c r="T367" i="16" s="1"/>
  <c r="S366" i="16"/>
  <c r="T366" i="16" s="1"/>
  <c r="S365" i="16"/>
  <c r="T365" i="16" s="1"/>
  <c r="N365" i="16"/>
  <c r="S364" i="16"/>
  <c r="T364" i="16" s="1"/>
  <c r="N364" i="16"/>
  <c r="AD363" i="16"/>
  <c r="AE363" i="16" s="1"/>
  <c r="S363" i="16"/>
  <c r="T363" i="16" s="1"/>
  <c r="N363" i="16"/>
  <c r="AD362" i="16"/>
  <c r="AE362" i="16" s="1"/>
  <c r="S362" i="16"/>
  <c r="N362" i="16"/>
  <c r="S361" i="16"/>
  <c r="T361" i="16" s="1"/>
  <c r="N361" i="16"/>
  <c r="S360" i="16"/>
  <c r="T360" i="16" s="1"/>
  <c r="S359" i="16"/>
  <c r="T359" i="16" s="1"/>
  <c r="S358" i="16"/>
  <c r="T358" i="16" s="1"/>
  <c r="N358" i="16"/>
  <c r="W357" i="16"/>
  <c r="S357" i="16" s="1"/>
  <c r="T357" i="16" s="1"/>
  <c r="S356" i="16"/>
  <c r="T356" i="16" s="1"/>
  <c r="S355" i="16"/>
  <c r="T355" i="16" s="1"/>
  <c r="N355" i="16"/>
  <c r="S354" i="16"/>
  <c r="T354" i="16" s="1"/>
  <c r="N354" i="16"/>
  <c r="S353" i="16"/>
  <c r="T353" i="16" s="1"/>
  <c r="S352" i="16"/>
  <c r="T352" i="16" s="1"/>
  <c r="S351" i="16"/>
  <c r="T351" i="16" s="1"/>
  <c r="N351" i="16"/>
  <c r="S350" i="16"/>
  <c r="T350" i="16" s="1"/>
  <c r="S349" i="16"/>
  <c r="T349" i="16" s="1"/>
  <c r="S348" i="16"/>
  <c r="T348" i="16" s="1"/>
  <c r="N348" i="16"/>
  <c r="S347" i="16"/>
  <c r="T347" i="16" s="1"/>
  <c r="N347" i="16"/>
  <c r="AD346" i="16"/>
  <c r="AE346" i="16" s="1"/>
  <c r="S346" i="16"/>
  <c r="T346" i="16" s="1"/>
  <c r="N346" i="16"/>
  <c r="S345" i="16"/>
  <c r="T345" i="16" s="1"/>
  <c r="S344" i="16"/>
  <c r="T344" i="16" s="1"/>
  <c r="S343" i="16"/>
  <c r="T343" i="16" s="1"/>
  <c r="N343" i="16"/>
  <c r="S342" i="16"/>
  <c r="T342" i="16" s="1"/>
  <c r="N342" i="16"/>
  <c r="S341" i="16"/>
  <c r="T341" i="16" s="1"/>
  <c r="S340" i="16"/>
  <c r="T340" i="16" s="1"/>
  <c r="AD339" i="16"/>
  <c r="AE339" i="16" s="1"/>
  <c r="S339" i="16"/>
  <c r="T339" i="16" s="1"/>
  <c r="N339" i="16"/>
  <c r="S338" i="16"/>
  <c r="T338" i="16" s="1"/>
  <c r="S337" i="16"/>
  <c r="T337" i="16" s="1"/>
  <c r="N337" i="16"/>
  <c r="AD336" i="16"/>
  <c r="AE336" i="16" s="1"/>
  <c r="S336" i="16"/>
  <c r="T336" i="16" s="1"/>
  <c r="N336" i="16"/>
  <c r="S335" i="16"/>
  <c r="T335" i="16" s="1"/>
  <c r="S334" i="16"/>
  <c r="T334" i="16" s="1"/>
  <c r="N334" i="16"/>
  <c r="S333" i="16"/>
  <c r="T333" i="16" s="1"/>
  <c r="S332" i="16"/>
  <c r="T332" i="16" s="1"/>
  <c r="S331" i="16"/>
  <c r="T331" i="16" s="1"/>
  <c r="S330" i="16"/>
  <c r="T330" i="16" s="1"/>
  <c r="N330" i="16"/>
  <c r="S329" i="16"/>
  <c r="T329" i="16" s="1"/>
  <c r="N329" i="16"/>
  <c r="S328" i="16"/>
  <c r="T328" i="16" s="1"/>
  <c r="S327" i="16"/>
  <c r="T327" i="16" s="1"/>
  <c r="N327" i="16"/>
  <c r="S326" i="16"/>
  <c r="T326" i="16" s="1"/>
  <c r="N326" i="16"/>
  <c r="S325" i="16"/>
  <c r="T325" i="16" s="1"/>
  <c r="W324" i="16"/>
  <c r="S324" i="16" s="1"/>
  <c r="T324" i="16" s="1"/>
  <c r="N324" i="16"/>
  <c r="W323" i="16"/>
  <c r="S323" i="16" s="1"/>
  <c r="T323" i="16" s="1"/>
  <c r="AD322" i="16"/>
  <c r="AE322" i="16" s="1"/>
  <c r="S322" i="16"/>
  <c r="T322" i="16" s="1"/>
  <c r="N322" i="16"/>
  <c r="S321" i="16"/>
  <c r="T321" i="16" s="1"/>
  <c r="S320" i="16"/>
  <c r="T320" i="16" s="1"/>
  <c r="S319" i="16"/>
  <c r="T319" i="16" s="1"/>
  <c r="N319" i="16"/>
  <c r="S318" i="16"/>
  <c r="T318" i="16" s="1"/>
  <c r="N318" i="16"/>
  <c r="S317" i="16"/>
  <c r="T317" i="16" s="1"/>
  <c r="S316" i="16"/>
  <c r="T316" i="16" s="1"/>
  <c r="N316" i="16"/>
  <c r="S315" i="16"/>
  <c r="T315" i="16" s="1"/>
  <c r="N315" i="16"/>
  <c r="S314" i="16"/>
  <c r="T314" i="16" s="1"/>
  <c r="N314" i="16"/>
  <c r="S313" i="16"/>
  <c r="T313" i="16" s="1"/>
  <c r="S312" i="16"/>
  <c r="T312" i="16" s="1"/>
  <c r="S311" i="16"/>
  <c r="T311" i="16" s="1"/>
  <c r="N311" i="16"/>
  <c r="S310" i="16"/>
  <c r="T310" i="16" s="1"/>
  <c r="S309" i="16"/>
  <c r="T309" i="16" s="1"/>
  <c r="AD308" i="16"/>
  <c r="AE308" i="16" s="1"/>
  <c r="S308" i="16"/>
  <c r="T308" i="16" s="1"/>
  <c r="S307" i="16"/>
  <c r="T307" i="16" s="1"/>
  <c r="S306" i="16"/>
  <c r="T306" i="16" s="1"/>
  <c r="N306" i="16"/>
  <c r="S305" i="16"/>
  <c r="N305" i="16"/>
  <c r="S304" i="16"/>
  <c r="T304" i="16" s="1"/>
  <c r="N304" i="16"/>
  <c r="S303" i="16"/>
  <c r="T303" i="16" s="1"/>
  <c r="S302" i="16"/>
  <c r="T302" i="16" s="1"/>
  <c r="N302" i="16"/>
  <c r="S301" i="16"/>
  <c r="T301" i="16" s="1"/>
  <c r="N301" i="16"/>
  <c r="S300" i="16"/>
  <c r="T300" i="16" s="1"/>
  <c r="S299" i="16"/>
  <c r="T299" i="16" s="1"/>
  <c r="S298" i="16"/>
  <c r="T298" i="16" s="1"/>
  <c r="N298" i="16"/>
  <c r="S297" i="16"/>
  <c r="T297" i="16" s="1"/>
  <c r="N297" i="16"/>
  <c r="S296" i="16"/>
  <c r="T296" i="16" s="1"/>
  <c r="N296" i="16"/>
  <c r="S295" i="16"/>
  <c r="T295" i="16" s="1"/>
  <c r="AD294" i="16"/>
  <c r="AE294" i="16" s="1"/>
  <c r="S294" i="16"/>
  <c r="T294" i="16" s="1"/>
  <c r="S293" i="16"/>
  <c r="T293" i="16" s="1"/>
  <c r="S292" i="16"/>
  <c r="T292" i="16" s="1"/>
  <c r="N292" i="16"/>
  <c r="S291" i="16"/>
  <c r="T291" i="16" s="1"/>
  <c r="N291" i="16"/>
  <c r="S290" i="16"/>
  <c r="T290" i="16" s="1"/>
  <c r="N290" i="16"/>
  <c r="AD289" i="16"/>
  <c r="AE289" i="16" s="1"/>
  <c r="S289" i="16"/>
  <c r="T289" i="16" s="1"/>
  <c r="N289" i="16"/>
  <c r="S288" i="16"/>
  <c r="T288" i="16" s="1"/>
  <c r="N288" i="16"/>
  <c r="S287" i="16"/>
  <c r="T287" i="16" s="1"/>
  <c r="AD286" i="16"/>
  <c r="AE286" i="16" s="1"/>
  <c r="S286" i="16"/>
  <c r="T286" i="16" s="1"/>
  <c r="N286" i="16"/>
  <c r="AD285" i="16"/>
  <c r="AE285" i="16" s="1"/>
  <c r="S285" i="16"/>
  <c r="T285" i="16" s="1"/>
  <c r="N285" i="16"/>
  <c r="S284" i="16"/>
  <c r="T284" i="16" s="1"/>
  <c r="N284" i="16"/>
  <c r="S283" i="16"/>
  <c r="T283" i="16" s="1"/>
  <c r="S281" i="16"/>
  <c r="T281" i="16" s="1"/>
  <c r="N281" i="16"/>
  <c r="S280" i="16"/>
  <c r="T280" i="16" s="1"/>
  <c r="N280" i="16"/>
  <c r="S279" i="16"/>
  <c r="T279" i="16" s="1"/>
  <c r="S278" i="16"/>
  <c r="T278" i="16" s="1"/>
  <c r="S277" i="16"/>
  <c r="T277" i="16" s="1"/>
  <c r="N277" i="16"/>
  <c r="S276" i="16"/>
  <c r="T276" i="16" s="1"/>
  <c r="N276" i="16"/>
  <c r="S275" i="16"/>
  <c r="T275" i="16" s="1"/>
  <c r="S274" i="16"/>
  <c r="T274" i="16" s="1"/>
  <c r="AD273" i="16"/>
  <c r="AE273" i="16" s="1"/>
  <c r="S273" i="16"/>
  <c r="T273" i="16" s="1"/>
  <c r="AD272" i="16"/>
  <c r="AE272" i="16" s="1"/>
  <c r="S272" i="16"/>
  <c r="T272" i="16" s="1"/>
  <c r="N272" i="16"/>
  <c r="AD271" i="16"/>
  <c r="AE271" i="16" s="1"/>
  <c r="S271" i="16"/>
  <c r="T271" i="16" s="1"/>
  <c r="AD270" i="16"/>
  <c r="AE270" i="16" s="1"/>
  <c r="S270" i="16"/>
  <c r="T270" i="16" s="1"/>
  <c r="S269" i="16"/>
  <c r="T269" i="16" s="1"/>
  <c r="N269" i="16"/>
  <c r="S268" i="16"/>
  <c r="T268" i="16" s="1"/>
  <c r="N268" i="16"/>
  <c r="AD267" i="16"/>
  <c r="AE267" i="16" s="1"/>
  <c r="S267" i="16"/>
  <c r="T267" i="16" s="1"/>
  <c r="S266" i="16"/>
  <c r="T266" i="16" s="1"/>
  <c r="N266" i="16"/>
  <c r="S265" i="16"/>
  <c r="T265" i="16" s="1"/>
  <c r="N265" i="16"/>
  <c r="S264" i="16"/>
  <c r="T264" i="16" s="1"/>
  <c r="AD263" i="16"/>
  <c r="AE263" i="16" s="1"/>
  <c r="S263" i="16"/>
  <c r="T263" i="16" s="1"/>
  <c r="S262" i="16"/>
  <c r="T262" i="16" s="1"/>
  <c r="S261" i="16"/>
  <c r="T261" i="16" s="1"/>
  <c r="S260" i="16"/>
  <c r="T260" i="16" s="1"/>
  <c r="N260" i="16"/>
  <c r="S259" i="16"/>
  <c r="T259" i="16" s="1"/>
  <c r="N259" i="16"/>
  <c r="S257" i="16"/>
  <c r="T257" i="16" s="1"/>
  <c r="S255" i="16"/>
  <c r="T255" i="16" s="1"/>
  <c r="N255" i="16"/>
  <c r="S254" i="16"/>
  <c r="T254" i="16" s="1"/>
  <c r="S253" i="16"/>
  <c r="T253" i="16" s="1"/>
  <c r="AD252" i="16"/>
  <c r="AE252" i="16" s="1"/>
  <c r="S252" i="16"/>
  <c r="T252" i="16" s="1"/>
  <c r="S251" i="16"/>
  <c r="T251" i="16" s="1"/>
  <c r="S250" i="16"/>
  <c r="T250" i="16" s="1"/>
  <c r="N250" i="16"/>
  <c r="S249" i="16"/>
  <c r="T249" i="16" s="1"/>
  <c r="N249" i="16"/>
  <c r="AD246" i="16"/>
  <c r="AE246" i="16" s="1"/>
  <c r="S246" i="16"/>
  <c r="T246" i="16" s="1"/>
  <c r="S245" i="16"/>
  <c r="T245" i="16" s="1"/>
  <c r="N245" i="16"/>
  <c r="S244" i="16"/>
  <c r="T244" i="16" s="1"/>
  <c r="S243" i="16"/>
  <c r="T243" i="16" s="1"/>
  <c r="S242" i="16"/>
  <c r="T242" i="16" s="1"/>
  <c r="N242" i="16"/>
  <c r="S241" i="16"/>
  <c r="T241" i="16" s="1"/>
  <c r="N241" i="16"/>
  <c r="AD240" i="16"/>
  <c r="AE240" i="16" s="1"/>
  <c r="S240" i="16"/>
  <c r="T240" i="16" s="1"/>
  <c r="N240" i="16"/>
  <c r="AD239" i="16"/>
  <c r="AE239" i="16" s="1"/>
  <c r="S239" i="16"/>
  <c r="T239" i="16" s="1"/>
  <c r="S237" i="16"/>
  <c r="T237" i="16" s="1"/>
  <c r="N237" i="16"/>
  <c r="S236" i="16"/>
  <c r="T236" i="16" s="1"/>
  <c r="N236" i="16"/>
  <c r="S235" i="16"/>
  <c r="T235" i="16" s="1"/>
  <c r="N235" i="16"/>
  <c r="S234" i="16"/>
  <c r="T234" i="16" s="1"/>
  <c r="N234" i="16"/>
  <c r="S233" i="16"/>
  <c r="T233" i="16" s="1"/>
  <c r="S232" i="16"/>
  <c r="T232" i="16" s="1"/>
  <c r="N232" i="16"/>
  <c r="S231" i="16"/>
  <c r="T231" i="16" s="1"/>
  <c r="N231" i="16"/>
  <c r="S230" i="16"/>
  <c r="T230" i="16" s="1"/>
  <c r="N230" i="16"/>
  <c r="S229" i="16"/>
  <c r="T229" i="16" s="1"/>
  <c r="S228" i="16"/>
  <c r="T228" i="16" s="1"/>
  <c r="S227" i="16"/>
  <c r="T227" i="16" s="1"/>
  <c r="N227" i="16"/>
  <c r="S226" i="16"/>
  <c r="T226" i="16" s="1"/>
  <c r="S225" i="16"/>
  <c r="T225" i="16" s="1"/>
  <c r="S224" i="16"/>
  <c r="T224" i="16" s="1"/>
  <c r="S223" i="16"/>
  <c r="T223" i="16" s="1"/>
  <c r="S222" i="16"/>
  <c r="T222" i="16" s="1"/>
  <c r="N222" i="16"/>
  <c r="S221" i="16"/>
  <c r="T221" i="16" s="1"/>
  <c r="S220" i="16"/>
  <c r="T220" i="16" s="1"/>
  <c r="N220" i="16"/>
  <c r="S219" i="16"/>
  <c r="T219" i="16" s="1"/>
  <c r="N219" i="16"/>
  <c r="S218" i="16"/>
  <c r="T218" i="16" s="1"/>
  <c r="S217" i="16"/>
  <c r="T217" i="16" s="1"/>
  <c r="N217" i="16"/>
  <c r="S216" i="16"/>
  <c r="T216" i="16" s="1"/>
  <c r="S215" i="16"/>
  <c r="T215" i="16" s="1"/>
  <c r="S214" i="16"/>
  <c r="T214" i="16" s="1"/>
  <c r="S213" i="16"/>
  <c r="T213" i="16" s="1"/>
  <c r="S212" i="16"/>
  <c r="T212" i="16" s="1"/>
  <c r="S211" i="16"/>
  <c r="T211" i="16" s="1"/>
  <c r="S210" i="16"/>
  <c r="T210" i="16" s="1"/>
  <c r="S209" i="16"/>
  <c r="T209" i="16" s="1"/>
  <c r="N209" i="16"/>
  <c r="S208" i="16"/>
  <c r="T208" i="16" s="1"/>
  <c r="S207" i="16"/>
  <c r="T207" i="16" s="1"/>
  <c r="S206" i="16"/>
  <c r="T206" i="16" s="1"/>
  <c r="S205" i="16"/>
  <c r="T205" i="16" s="1"/>
  <c r="S204" i="16"/>
  <c r="T204" i="16" s="1"/>
  <c r="S203" i="16"/>
  <c r="T203" i="16" s="1"/>
  <c r="AD202" i="16"/>
  <c r="AE202" i="16" s="1"/>
  <c r="S202" i="16"/>
  <c r="T202" i="16" s="1"/>
  <c r="S201" i="16"/>
  <c r="T201" i="16" s="1"/>
  <c r="S200" i="16"/>
  <c r="T200" i="16" s="1"/>
  <c r="S199" i="16"/>
  <c r="T199" i="16" s="1"/>
  <c r="S197" i="16"/>
  <c r="T197" i="16" s="1"/>
  <c r="N197" i="16"/>
  <c r="AD196" i="16"/>
  <c r="AE196" i="16" s="1"/>
  <c r="S196" i="16"/>
  <c r="T196" i="16" s="1"/>
  <c r="S195" i="16"/>
  <c r="T195" i="16" s="1"/>
  <c r="N195" i="16"/>
  <c r="AD194" i="16"/>
  <c r="AE194" i="16" s="1"/>
  <c r="S194" i="16"/>
  <c r="T194" i="16" s="1"/>
  <c r="S193" i="16"/>
  <c r="T193" i="16" s="1"/>
  <c r="N193" i="16"/>
  <c r="U192" i="16"/>
  <c r="S192" i="16" s="1"/>
  <c r="T192" i="16" s="1"/>
  <c r="S191" i="16"/>
  <c r="T191" i="16" s="1"/>
  <c r="S190" i="16"/>
  <c r="T190" i="16" s="1"/>
  <c r="S189" i="16"/>
  <c r="T189" i="16" s="1"/>
  <c r="S188" i="16"/>
  <c r="T188" i="16" s="1"/>
  <c r="N188" i="16"/>
  <c r="S187" i="16"/>
  <c r="T187" i="16" s="1"/>
  <c r="S186" i="16"/>
  <c r="T186" i="16" s="1"/>
  <c r="S184" i="16"/>
  <c r="T184" i="16" s="1"/>
  <c r="S183" i="16"/>
  <c r="T183" i="16" s="1"/>
  <c r="S182" i="16"/>
  <c r="T182" i="16" s="1"/>
  <c r="S181" i="16"/>
  <c r="T181" i="16" s="1"/>
  <c r="S180" i="16"/>
  <c r="T180" i="16" s="1"/>
  <c r="N180" i="16"/>
  <c r="S179" i="16"/>
  <c r="T179" i="16" s="1"/>
  <c r="N179" i="16"/>
  <c r="S178" i="16"/>
  <c r="T178" i="16" s="1"/>
  <c r="N178" i="16"/>
  <c r="S177" i="16"/>
  <c r="T177" i="16" s="1"/>
  <c r="S176" i="16"/>
  <c r="T176" i="16" s="1"/>
  <c r="S174" i="16"/>
  <c r="T174" i="16" s="1"/>
  <c r="S172" i="16"/>
  <c r="T172" i="16" s="1"/>
  <c r="S171" i="16"/>
  <c r="T171" i="16" s="1"/>
  <c r="S170" i="16"/>
  <c r="T170" i="16" s="1"/>
  <c r="N170" i="16"/>
  <c r="S168" i="16"/>
  <c r="T168" i="16" s="1"/>
  <c r="S167" i="16"/>
  <c r="T167" i="16" s="1"/>
  <c r="AD166" i="16"/>
  <c r="AE166" i="16" s="1"/>
  <c r="S166" i="16"/>
  <c r="T166" i="16" s="1"/>
  <c r="AD165" i="16"/>
  <c r="AE165" i="16" s="1"/>
  <c r="S165" i="16"/>
  <c r="T165" i="16" s="1"/>
  <c r="N165" i="16"/>
  <c r="W164" i="16"/>
  <c r="S164" i="16" s="1"/>
  <c r="T164" i="16" s="1"/>
  <c r="S163" i="16"/>
  <c r="T163" i="16" s="1"/>
  <c r="S162" i="16"/>
  <c r="T162" i="16" s="1"/>
  <c r="S161" i="16"/>
  <c r="T161" i="16" s="1"/>
  <c r="S160" i="16"/>
  <c r="T160" i="16" s="1"/>
  <c r="S159" i="16"/>
  <c r="T159" i="16" s="1"/>
  <c r="S158" i="16"/>
  <c r="T158" i="16" s="1"/>
  <c r="S157" i="16"/>
  <c r="T157" i="16" s="1"/>
  <c r="S156" i="16"/>
  <c r="T156" i="16" s="1"/>
  <c r="S155" i="16"/>
  <c r="T155" i="16" s="1"/>
  <c r="S154" i="16"/>
  <c r="T154" i="16" s="1"/>
  <c r="S153" i="16"/>
  <c r="T153" i="16" s="1"/>
  <c r="N153" i="16"/>
  <c r="S152" i="16"/>
  <c r="T152" i="16" s="1"/>
  <c r="N152" i="16"/>
  <c r="S151" i="16"/>
  <c r="T151" i="16" s="1"/>
  <c r="S150" i="16"/>
  <c r="T150" i="16" s="1"/>
  <c r="N150" i="16"/>
  <c r="S149" i="16"/>
  <c r="T149" i="16" s="1"/>
  <c r="S148" i="16"/>
  <c r="T148" i="16" s="1"/>
  <c r="S147" i="16"/>
  <c r="T147" i="16" s="1"/>
  <c r="S146" i="16"/>
  <c r="T146" i="16" s="1"/>
  <c r="S145" i="16"/>
  <c r="T145" i="16" s="1"/>
  <c r="N145" i="16"/>
  <c r="S144" i="16"/>
  <c r="T144" i="16" s="1"/>
  <c r="S143" i="16"/>
  <c r="T143" i="16" s="1"/>
  <c r="S142" i="16"/>
  <c r="T142" i="16" s="1"/>
  <c r="S141" i="16"/>
  <c r="T141" i="16" s="1"/>
  <c r="N141" i="16"/>
  <c r="S140" i="16"/>
  <c r="T140" i="16" s="1"/>
  <c r="S139" i="16"/>
  <c r="T139" i="16" s="1"/>
  <c r="S138" i="16"/>
  <c r="T138" i="16" s="1"/>
  <c r="S137" i="16"/>
  <c r="T137" i="16" s="1"/>
  <c r="N137" i="16"/>
  <c r="S136" i="16"/>
  <c r="T136" i="16" s="1"/>
  <c r="AD135" i="16"/>
  <c r="AE135" i="16" s="1"/>
  <c r="U135" i="16"/>
  <c r="S135" i="16" s="1"/>
  <c r="T135" i="16" s="1"/>
  <c r="S134" i="16"/>
  <c r="T134" i="16" s="1"/>
  <c r="AD132" i="16"/>
  <c r="AE132" i="16" s="1"/>
  <c r="S132" i="16"/>
  <c r="T132" i="16" s="1"/>
  <c r="N132" i="16"/>
  <c r="S131" i="16"/>
  <c r="T131" i="16" s="1"/>
  <c r="S130" i="16"/>
  <c r="T130" i="16" s="1"/>
  <c r="AD129" i="16"/>
  <c r="AE129" i="16" s="1"/>
  <c r="S129" i="16"/>
  <c r="T129" i="16" s="1"/>
  <c r="AE128" i="16"/>
  <c r="W128" i="16"/>
  <c r="S128" i="16" s="1"/>
  <c r="T128" i="16" s="1"/>
  <c r="N128" i="16"/>
  <c r="U127" i="16"/>
  <c r="S127" i="16" s="1"/>
  <c r="T127" i="16" s="1"/>
  <c r="AD126" i="16"/>
  <c r="AE126" i="16" s="1"/>
  <c r="U126" i="16"/>
  <c r="S126" i="16" s="1"/>
  <c r="T126" i="16" s="1"/>
  <c r="S125" i="16"/>
  <c r="T125" i="16" s="1"/>
  <c r="S124" i="16"/>
  <c r="T124" i="16" s="1"/>
  <c r="S122" i="16"/>
  <c r="T122" i="16" s="1"/>
  <c r="N122" i="16"/>
  <c r="S120" i="16"/>
  <c r="T120" i="16" s="1"/>
  <c r="S119" i="16"/>
  <c r="T119" i="16" s="1"/>
  <c r="S118" i="16"/>
  <c r="T118" i="16" s="1"/>
  <c r="N118" i="16"/>
  <c r="S117" i="16"/>
  <c r="T117" i="16" s="1"/>
  <c r="U116" i="16"/>
  <c r="S116" i="16" s="1"/>
  <c r="T116" i="16" s="1"/>
  <c r="N116" i="16"/>
  <c r="S114" i="16"/>
  <c r="T114" i="16" s="1"/>
  <c r="S112" i="16"/>
  <c r="T112" i="16" s="1"/>
  <c r="S111" i="16"/>
  <c r="T111" i="16" s="1"/>
  <c r="N111" i="16"/>
  <c r="AD110" i="16"/>
  <c r="AE110" i="16" s="1"/>
  <c r="S110" i="16"/>
  <c r="T110" i="16" s="1"/>
  <c r="AD109" i="16"/>
  <c r="AE109" i="16" s="1"/>
  <c r="S109" i="16"/>
  <c r="T109" i="16" s="1"/>
  <c r="N109" i="16"/>
  <c r="AE108" i="16"/>
  <c r="W108" i="16"/>
  <c r="S108" i="16" s="1"/>
  <c r="T108" i="16" s="1"/>
  <c r="S107" i="16"/>
  <c r="T107" i="16" s="1"/>
  <c r="S106" i="16"/>
  <c r="T106" i="16" s="1"/>
  <c r="AD105" i="16"/>
  <c r="AE105" i="16" s="1"/>
  <c r="S105" i="16"/>
  <c r="T105" i="16" s="1"/>
  <c r="S104" i="16"/>
  <c r="T104" i="16" s="1"/>
  <c r="S103" i="16"/>
  <c r="T103" i="16" s="1"/>
  <c r="S102" i="16"/>
  <c r="T102" i="16" s="1"/>
  <c r="N102" i="16"/>
  <c r="S101" i="16"/>
  <c r="T101" i="16" s="1"/>
  <c r="N101" i="16"/>
  <c r="W100" i="16"/>
  <c r="S100" i="16" s="1"/>
  <c r="T100" i="16" s="1"/>
  <c r="N100" i="16"/>
  <c r="AD99" i="16"/>
  <c r="AE99" i="16" s="1"/>
  <c r="S99" i="16"/>
  <c r="T99" i="16" s="1"/>
  <c r="AD98" i="16"/>
  <c r="AE98" i="16" s="1"/>
  <c r="S98" i="16"/>
  <c r="T98" i="16" s="1"/>
  <c r="S97" i="16"/>
  <c r="T97" i="16" s="1"/>
  <c r="AE96" i="16"/>
  <c r="W96" i="16"/>
  <c r="S96" i="16" s="1"/>
  <c r="T96" i="16" s="1"/>
  <c r="S95" i="16"/>
  <c r="T95" i="16" s="1"/>
  <c r="AE94" i="16"/>
  <c r="W94" i="16"/>
  <c r="S94" i="16" s="1"/>
  <c r="T94" i="16" s="1"/>
  <c r="AD93" i="16"/>
  <c r="AE93" i="16" s="1"/>
  <c r="S93" i="16"/>
  <c r="T93" i="16" s="1"/>
  <c r="S92" i="16"/>
  <c r="T92" i="16" s="1"/>
  <c r="AE91" i="16"/>
  <c r="W91" i="16"/>
  <c r="S91" i="16" s="1"/>
  <c r="T91" i="16" s="1"/>
  <c r="S90" i="16"/>
  <c r="T90" i="16" s="1"/>
  <c r="W89" i="16"/>
  <c r="S89" i="16" s="1"/>
  <c r="T89" i="16" s="1"/>
  <c r="N89" i="16"/>
  <c r="S88" i="16"/>
  <c r="T88" i="16" s="1"/>
  <c r="S87" i="16"/>
  <c r="T87" i="16" s="1"/>
  <c r="AD86" i="16"/>
  <c r="AE86" i="16" s="1"/>
  <c r="S86" i="16"/>
  <c r="T86" i="16" s="1"/>
  <c r="S85" i="16"/>
  <c r="T85" i="16" s="1"/>
  <c r="S84" i="16"/>
  <c r="T84" i="16" s="1"/>
  <c r="S83" i="16"/>
  <c r="T83" i="16" s="1"/>
  <c r="S82" i="16"/>
  <c r="T82" i="16" s="1"/>
  <c r="S81" i="16"/>
  <c r="T81" i="16" s="1"/>
  <c r="S80" i="16"/>
  <c r="T80" i="16" s="1"/>
  <c r="N80" i="16"/>
  <c r="AE79" i="16"/>
  <c r="W79" i="16"/>
  <c r="S79" i="16" s="1"/>
  <c r="T79" i="16" s="1"/>
  <c r="S78" i="16"/>
  <c r="T78" i="16" s="1"/>
  <c r="S77" i="16"/>
  <c r="T77" i="16" s="1"/>
  <c r="S76" i="16"/>
  <c r="T76" i="16" s="1"/>
  <c r="AD75" i="16"/>
  <c r="AE75" i="16" s="1"/>
  <c r="S75" i="16"/>
  <c r="T75" i="16" s="1"/>
  <c r="S74" i="16"/>
  <c r="T74" i="16" s="1"/>
  <c r="S73" i="16"/>
  <c r="T73" i="16" s="1"/>
  <c r="AD72" i="16"/>
  <c r="AE72" i="16" s="1"/>
  <c r="S72" i="16"/>
  <c r="T72" i="16" s="1"/>
  <c r="S71" i="16"/>
  <c r="T71" i="16" s="1"/>
  <c r="S70" i="16"/>
  <c r="T70" i="16" s="1"/>
  <c r="AD69" i="16"/>
  <c r="AE69" i="16" s="1"/>
  <c r="S69" i="16"/>
  <c r="T69" i="16" s="1"/>
  <c r="U68" i="16"/>
  <c r="S68" i="16" s="1"/>
  <c r="T68" i="16" s="1"/>
  <c r="S67" i="16"/>
  <c r="T67" i="16" s="1"/>
  <c r="N67" i="16"/>
  <c r="AD66" i="16"/>
  <c r="AE66" i="16" s="1"/>
  <c r="S66" i="16"/>
  <c r="T66" i="16" s="1"/>
  <c r="AD65" i="16"/>
  <c r="AE65" i="16" s="1"/>
  <c r="S65" i="16"/>
  <c r="T65" i="16" s="1"/>
  <c r="S64" i="16"/>
  <c r="T64" i="16" s="1"/>
  <c r="S63" i="16"/>
  <c r="T63" i="16" s="1"/>
  <c r="N63" i="16"/>
  <c r="AD62" i="16"/>
  <c r="AE62" i="16" s="1"/>
  <c r="S62" i="16"/>
  <c r="T62" i="16" s="1"/>
  <c r="S61" i="16"/>
  <c r="T61" i="16" s="1"/>
  <c r="N61" i="16"/>
  <c r="S60" i="16"/>
  <c r="T60" i="16" s="1"/>
  <c r="N60" i="16"/>
  <c r="S59" i="16"/>
  <c r="T59" i="16" s="1"/>
  <c r="N59" i="16"/>
  <c r="S58" i="16"/>
  <c r="T58" i="16" s="1"/>
  <c r="S57" i="16"/>
  <c r="T57" i="16" s="1"/>
  <c r="S56" i="16"/>
  <c r="T56" i="16" s="1"/>
  <c r="S55" i="16"/>
  <c r="T55" i="16" s="1"/>
  <c r="S54" i="16"/>
  <c r="T54" i="16" s="1"/>
  <c r="S53" i="16"/>
  <c r="T53" i="16" s="1"/>
  <c r="N53" i="16"/>
  <c r="S52" i="16"/>
  <c r="T52" i="16" s="1"/>
  <c r="AD51" i="16"/>
  <c r="AE51" i="16" s="1"/>
  <c r="S51" i="16"/>
  <c r="T51" i="16" s="1"/>
  <c r="N51" i="16"/>
  <c r="S50" i="16"/>
  <c r="T50" i="16" s="1"/>
  <c r="AD49" i="16"/>
  <c r="AE49" i="16" s="1"/>
  <c r="S49" i="16"/>
  <c r="T49" i="16" s="1"/>
  <c r="N49" i="16"/>
  <c r="AD48" i="16"/>
  <c r="AE48" i="16" s="1"/>
  <c r="S48" i="16"/>
  <c r="T48" i="16" s="1"/>
  <c r="AD46" i="16"/>
  <c r="AE46" i="16" s="1"/>
  <c r="S46" i="16"/>
  <c r="T46" i="16" s="1"/>
  <c r="AE45" i="16"/>
  <c r="W45" i="16"/>
  <c r="S45" i="16" s="1"/>
  <c r="T45" i="16" s="1"/>
  <c r="S44" i="16"/>
  <c r="T44" i="16" s="1"/>
  <c r="S43" i="16"/>
  <c r="T43" i="16" s="1"/>
  <c r="S42" i="16"/>
  <c r="T42" i="16" s="1"/>
  <c r="S41" i="16"/>
  <c r="T41" i="16" s="1"/>
  <c r="S40" i="16"/>
  <c r="T40" i="16" s="1"/>
  <c r="S39" i="16"/>
  <c r="T39" i="16" s="1"/>
  <c r="N39" i="16"/>
  <c r="S38" i="16"/>
  <c r="T38" i="16" s="1"/>
  <c r="S37" i="16"/>
  <c r="T37" i="16" s="1"/>
  <c r="S35" i="16"/>
  <c r="T35" i="16" s="1"/>
  <c r="S33" i="16"/>
  <c r="T33" i="16" s="1"/>
  <c r="S31" i="16"/>
  <c r="T31" i="16" s="1"/>
  <c r="S30" i="16"/>
  <c r="T30" i="16" s="1"/>
  <c r="S29" i="16"/>
  <c r="T29" i="16" s="1"/>
  <c r="N29" i="16"/>
  <c r="S28" i="16"/>
  <c r="T28" i="16" s="1"/>
  <c r="N28" i="16"/>
  <c r="S27" i="16"/>
  <c r="T27" i="16" s="1"/>
  <c r="S26" i="16"/>
  <c r="T26" i="16" s="1"/>
  <c r="S24" i="16"/>
  <c r="T24" i="16" s="1"/>
  <c r="S23" i="16"/>
  <c r="T23" i="16" s="1"/>
  <c r="N23" i="16"/>
  <c r="S21" i="16"/>
  <c r="T21" i="16" s="1"/>
  <c r="S19" i="16"/>
  <c r="T19" i="16" s="1"/>
  <c r="AE18" i="16"/>
  <c r="W18" i="16"/>
  <c r="S18" i="16" s="1"/>
  <c r="T18" i="16" s="1"/>
  <c r="S17" i="16"/>
  <c r="T17" i="16" s="1"/>
  <c r="S16" i="16"/>
  <c r="T16" i="16" s="1"/>
  <c r="S14" i="16"/>
  <c r="T14" i="16" s="1"/>
  <c r="N14" i="16"/>
  <c r="S13" i="16"/>
  <c r="T13" i="16" s="1"/>
  <c r="N13" i="16"/>
  <c r="S12" i="16"/>
  <c r="T12" i="16" s="1"/>
  <c r="N12" i="16"/>
  <c r="S11" i="16"/>
  <c r="T11" i="16" s="1"/>
  <c r="S10" i="16"/>
  <c r="T10" i="16" s="1"/>
  <c r="S9" i="16"/>
  <c r="T9" i="16" s="1"/>
  <c r="S8" i="16"/>
  <c r="T8" i="16" s="1"/>
  <c r="S7" i="16"/>
  <c r="T7" i="16" s="1"/>
  <c r="N136" i="16" l="1"/>
  <c r="P136" i="16"/>
  <c r="S1713" i="16"/>
  <c r="T1713" i="16" s="1"/>
  <c r="S1303" i="16"/>
  <c r="T1303" i="16" s="1"/>
  <c r="S1798" i="16"/>
  <c r="T1798" i="16" s="1"/>
  <c r="P1678" i="16"/>
  <c r="N1678" i="16"/>
  <c r="Q1678" i="16" s="1"/>
  <c r="P1688" i="16"/>
  <c r="N1688" i="16"/>
  <c r="Q1688" i="16" s="1"/>
  <c r="P1696" i="16"/>
  <c r="N1696" i="16"/>
  <c r="Q1696" i="16" s="1"/>
  <c r="P1717" i="16"/>
  <c r="N1717" i="16"/>
  <c r="Q1717" i="16" s="1"/>
  <c r="P1955" i="16"/>
  <c r="N1955" i="16"/>
  <c r="Q1955" i="16" s="1"/>
  <c r="P1987" i="16"/>
  <c r="N1987" i="16"/>
  <c r="Q1987" i="16" s="1"/>
  <c r="P2003" i="16"/>
  <c r="N2003" i="16"/>
  <c r="Q2003" i="16" s="1"/>
  <c r="P48" i="16"/>
  <c r="N48" i="16"/>
  <c r="Q48" i="16" s="1"/>
  <c r="P69" i="16"/>
  <c r="N69" i="16"/>
  <c r="Q69" i="16" s="1"/>
  <c r="P84" i="16"/>
  <c r="N84" i="16"/>
  <c r="Q84" i="16" s="1"/>
  <c r="P106" i="16"/>
  <c r="N106" i="16"/>
  <c r="Q106" i="16" s="1"/>
  <c r="P140" i="16"/>
  <c r="N140" i="16"/>
  <c r="Q140" i="16" s="1"/>
  <c r="P210" i="16"/>
  <c r="N210" i="16"/>
  <c r="Q210" i="16" s="1"/>
  <c r="P218" i="16"/>
  <c r="N218" i="16"/>
  <c r="Q218" i="16" s="1"/>
  <c r="P239" i="16"/>
  <c r="N239" i="16"/>
  <c r="Q239" i="16" s="1"/>
  <c r="P246" i="16"/>
  <c r="N246" i="16"/>
  <c r="Q246" i="16" s="1"/>
  <c r="P262" i="16"/>
  <c r="N262" i="16"/>
  <c r="Q262" i="16" s="1"/>
  <c r="P308" i="16"/>
  <c r="N308" i="16"/>
  <c r="Q308" i="16" s="1"/>
  <c r="P333" i="16"/>
  <c r="N333" i="16"/>
  <c r="Q333" i="16" s="1"/>
  <c r="P344" i="16"/>
  <c r="N344" i="16"/>
  <c r="Q344" i="16" s="1"/>
  <c r="P381" i="16"/>
  <c r="N381" i="16"/>
  <c r="Q381" i="16" s="1"/>
  <c r="P444" i="16"/>
  <c r="N444" i="16"/>
  <c r="Q444" i="16" s="1"/>
  <c r="P458" i="16"/>
  <c r="N458" i="16"/>
  <c r="Q458" i="16" s="1"/>
  <c r="P486" i="16"/>
  <c r="N486" i="16"/>
  <c r="Q486" i="16" s="1"/>
  <c r="P503" i="16"/>
  <c r="N503" i="16"/>
  <c r="Q503" i="16" s="1"/>
  <c r="P647" i="16"/>
  <c r="N647" i="16"/>
  <c r="Q647" i="16" s="1"/>
  <c r="P832" i="16"/>
  <c r="N832" i="16"/>
  <c r="Q832" i="16" s="1"/>
  <c r="P857" i="16"/>
  <c r="N857" i="16"/>
  <c r="Q857" i="16" s="1"/>
  <c r="P866" i="16"/>
  <c r="N866" i="16"/>
  <c r="Q866" i="16" s="1"/>
  <c r="P871" i="16"/>
  <c r="N871" i="16"/>
  <c r="Q871" i="16" s="1"/>
  <c r="P906" i="16"/>
  <c r="N906" i="16"/>
  <c r="Q906" i="16" s="1"/>
  <c r="P914" i="16"/>
  <c r="N914" i="16"/>
  <c r="Q914" i="16" s="1"/>
  <c r="P974" i="16"/>
  <c r="N974" i="16"/>
  <c r="Q974" i="16" s="1"/>
  <c r="P1019" i="16"/>
  <c r="N1019" i="16"/>
  <c r="Q1019" i="16" s="1"/>
  <c r="P1034" i="16"/>
  <c r="N1034" i="16"/>
  <c r="Q1034" i="16" s="1"/>
  <c r="P1036" i="16"/>
  <c r="N1036" i="16"/>
  <c r="Q1036" i="16" s="1"/>
  <c r="P1046" i="16"/>
  <c r="N1046" i="16"/>
  <c r="Q1046" i="16" s="1"/>
  <c r="P1048" i="16"/>
  <c r="N1048" i="16"/>
  <c r="Q1048" i="16" s="1"/>
  <c r="P1106" i="16"/>
  <c r="N1106" i="16"/>
  <c r="Q1106" i="16" s="1"/>
  <c r="P1150" i="16"/>
  <c r="N1150" i="16"/>
  <c r="Q1150" i="16" s="1"/>
  <c r="P1155" i="16"/>
  <c r="N1155" i="16"/>
  <c r="Q1155" i="16" s="1"/>
  <c r="P1192" i="16"/>
  <c r="N1192" i="16"/>
  <c r="Q1192" i="16" s="1"/>
  <c r="P1202" i="16"/>
  <c r="N1202" i="16"/>
  <c r="Q1202" i="16" s="1"/>
  <c r="P1214" i="16"/>
  <c r="N1214" i="16"/>
  <c r="Q1214" i="16" s="1"/>
  <c r="P1228" i="16"/>
  <c r="N1228" i="16"/>
  <c r="Q1228" i="16" s="1"/>
  <c r="P1232" i="16"/>
  <c r="N1232" i="16"/>
  <c r="Q1232" i="16" s="1"/>
  <c r="P1273" i="16"/>
  <c r="N1273" i="16"/>
  <c r="Q1273" i="16" s="1"/>
  <c r="P1281" i="16"/>
  <c r="N1281" i="16"/>
  <c r="Q1281" i="16" s="1"/>
  <c r="P1307" i="16"/>
  <c r="N1307" i="16"/>
  <c r="Q1307" i="16" s="1"/>
  <c r="P1353" i="16"/>
  <c r="N1353" i="16"/>
  <c r="Q1353" i="16" s="1"/>
  <c r="P1382" i="16"/>
  <c r="N1382" i="16"/>
  <c r="Q1382" i="16" s="1"/>
  <c r="P1458" i="16"/>
  <c r="N1458" i="16"/>
  <c r="Q1458" i="16" s="1"/>
  <c r="P1462" i="16"/>
  <c r="N1462" i="16"/>
  <c r="Q1462" i="16" s="1"/>
  <c r="P1516" i="16"/>
  <c r="N1516" i="16"/>
  <c r="Q1516" i="16" s="1"/>
  <c r="P1520" i="16"/>
  <c r="N1520" i="16"/>
  <c r="Q1520" i="16" s="1"/>
  <c r="P1524" i="16"/>
  <c r="N1524" i="16"/>
  <c r="Q1524" i="16" s="1"/>
  <c r="P1528" i="16"/>
  <c r="N1528" i="16"/>
  <c r="Q1528" i="16" s="1"/>
  <c r="P1532" i="16"/>
  <c r="N1532" i="16"/>
  <c r="Q1532" i="16" s="1"/>
  <c r="P1536" i="16"/>
  <c r="N1536" i="16"/>
  <c r="Q1536" i="16" s="1"/>
  <c r="P1544" i="16"/>
  <c r="N1544" i="16"/>
  <c r="Q1544" i="16" s="1"/>
  <c r="P1552" i="16"/>
  <c r="N1552" i="16"/>
  <c r="Q1552" i="16" s="1"/>
  <c r="P1556" i="16"/>
  <c r="N1556" i="16"/>
  <c r="Q1556" i="16" s="1"/>
  <c r="P1581" i="16"/>
  <c r="N1581" i="16"/>
  <c r="Q1581" i="16" s="1"/>
  <c r="P1585" i="16"/>
  <c r="N1585" i="16"/>
  <c r="Q1585" i="16" s="1"/>
  <c r="P1597" i="16"/>
  <c r="N1597" i="16"/>
  <c r="Q1597" i="16" s="1"/>
  <c r="P1609" i="16"/>
  <c r="N1609" i="16"/>
  <c r="Q1609" i="16" s="1"/>
  <c r="P1617" i="16"/>
  <c r="N1617" i="16"/>
  <c r="Q1617" i="16" s="1"/>
  <c r="P1636" i="16"/>
  <c r="N1636" i="16"/>
  <c r="Q1636" i="16" s="1"/>
  <c r="P1646" i="16"/>
  <c r="N1646" i="16"/>
  <c r="P1649" i="16"/>
  <c r="N1649" i="16"/>
  <c r="Q1649" i="16" s="1"/>
  <c r="P1706" i="16"/>
  <c r="N1706" i="16"/>
  <c r="Q1706" i="16" s="1"/>
  <c r="P1708" i="16"/>
  <c r="N1708" i="16"/>
  <c r="Q1708" i="16" s="1"/>
  <c r="P1710" i="16"/>
  <c r="N1710" i="16"/>
  <c r="Q1710" i="16" s="1"/>
  <c r="P1713" i="16"/>
  <c r="N1713" i="16"/>
  <c r="Q1713" i="16" s="1"/>
  <c r="P1714" i="16"/>
  <c r="N1714" i="16"/>
  <c r="Q1714" i="16" s="1"/>
  <c r="P1725" i="16"/>
  <c r="N1725" i="16"/>
  <c r="Q1725" i="16" s="1"/>
  <c r="P1727" i="16"/>
  <c r="N1727" i="16"/>
  <c r="Q1727" i="16" s="1"/>
  <c r="P1729" i="16"/>
  <c r="N1729" i="16"/>
  <c r="Q1729" i="16" s="1"/>
  <c r="P1736" i="16"/>
  <c r="N1736" i="16"/>
  <c r="Q1736" i="16" s="1"/>
  <c r="P1740" i="16"/>
  <c r="N1740" i="16"/>
  <c r="Q1740" i="16" s="1"/>
  <c r="P1744" i="16"/>
  <c r="N1744" i="16"/>
  <c r="Q1744" i="16" s="1"/>
  <c r="P1751" i="16"/>
  <c r="N1751" i="16"/>
  <c r="Q1751" i="16" s="1"/>
  <c r="P1782" i="16"/>
  <c r="N1782" i="16"/>
  <c r="Q1782" i="16" s="1"/>
  <c r="P1784" i="16"/>
  <c r="N1784" i="16"/>
  <c r="Q1784" i="16" s="1"/>
  <c r="P1787" i="16"/>
  <c r="N1787" i="16"/>
  <c r="Q1787" i="16" s="1"/>
  <c r="P1789" i="16"/>
  <c r="N1789" i="16"/>
  <c r="Q1789" i="16" s="1"/>
  <c r="P1792" i="16"/>
  <c r="N1792" i="16"/>
  <c r="Q1792" i="16" s="1"/>
  <c r="P1794" i="16"/>
  <c r="N1794" i="16"/>
  <c r="Q1794" i="16" s="1"/>
  <c r="P1796" i="16"/>
  <c r="N1796" i="16"/>
  <c r="Q1796" i="16" s="1"/>
  <c r="P1798" i="16"/>
  <c r="N1798" i="16"/>
  <c r="Q1798" i="16" s="1"/>
  <c r="P1812" i="16"/>
  <c r="N1812" i="16"/>
  <c r="Q1812" i="16" s="1"/>
  <c r="P1816" i="16"/>
  <c r="N1816" i="16"/>
  <c r="Q1816" i="16" s="1"/>
  <c r="P1824" i="16"/>
  <c r="N1824" i="16"/>
  <c r="Q1824" i="16" s="1"/>
  <c r="P1826" i="16"/>
  <c r="N1826" i="16"/>
  <c r="Q1826" i="16" s="1"/>
  <c r="P1829" i="16"/>
  <c r="N1829" i="16"/>
  <c r="Q1829" i="16" s="1"/>
  <c r="P1846" i="16"/>
  <c r="N1846" i="16"/>
  <c r="Q1846" i="16" s="1"/>
  <c r="P1850" i="16"/>
  <c r="N1850" i="16"/>
  <c r="Q1850" i="16" s="1"/>
  <c r="P1863" i="16"/>
  <c r="N1863" i="16"/>
  <c r="Q1863" i="16" s="1"/>
  <c r="P1869" i="16"/>
  <c r="N1869" i="16"/>
  <c r="Q1869" i="16" s="1"/>
  <c r="P2059" i="16"/>
  <c r="N2059" i="16"/>
  <c r="Q2059" i="16" s="1"/>
  <c r="P26" i="16"/>
  <c r="N26" i="16"/>
  <c r="Q26" i="16" s="1"/>
  <c r="P54" i="16"/>
  <c r="N54" i="16"/>
  <c r="Q54" i="16" s="1"/>
  <c r="P58" i="16"/>
  <c r="N58" i="16"/>
  <c r="Q58" i="16" s="1"/>
  <c r="P62" i="16"/>
  <c r="N62" i="16"/>
  <c r="Q62" i="16" s="1"/>
  <c r="P72" i="16"/>
  <c r="N72" i="16"/>
  <c r="Q72" i="16" s="1"/>
  <c r="P79" i="16"/>
  <c r="N79" i="16"/>
  <c r="Q79" i="16" s="1"/>
  <c r="P94" i="16"/>
  <c r="N94" i="16"/>
  <c r="Q94" i="16" s="1"/>
  <c r="P104" i="16"/>
  <c r="N104" i="16"/>
  <c r="Q104" i="16" s="1"/>
  <c r="P112" i="16"/>
  <c r="N112" i="16"/>
  <c r="Q112" i="16" s="1"/>
  <c r="P126" i="16"/>
  <c r="N126" i="16"/>
  <c r="Q126" i="16" s="1"/>
  <c r="P129" i="16"/>
  <c r="N129" i="16"/>
  <c r="Q129" i="16" s="1"/>
  <c r="P149" i="16"/>
  <c r="N149" i="16"/>
  <c r="Q149" i="16" s="1"/>
  <c r="P151" i="16"/>
  <c r="N151" i="16"/>
  <c r="Q151" i="16" s="1"/>
  <c r="P155" i="16"/>
  <c r="N155" i="16"/>
  <c r="Q155" i="16" s="1"/>
  <c r="P159" i="16"/>
  <c r="N159" i="16"/>
  <c r="Q159" i="16" s="1"/>
  <c r="P162" i="16"/>
  <c r="N162" i="16"/>
  <c r="Q162" i="16" s="1"/>
  <c r="P163" i="16"/>
  <c r="N163" i="16"/>
  <c r="Q163" i="16" s="1"/>
  <c r="P168" i="16"/>
  <c r="N168" i="16"/>
  <c r="Q168" i="16" s="1"/>
  <c r="P174" i="16"/>
  <c r="N174" i="16"/>
  <c r="Q174" i="16" s="1"/>
  <c r="P183" i="16"/>
  <c r="N183" i="16"/>
  <c r="Q183" i="16" s="1"/>
  <c r="P187" i="16"/>
  <c r="N187" i="16"/>
  <c r="Q187" i="16" s="1"/>
  <c r="P199" i="16"/>
  <c r="N199" i="16"/>
  <c r="Q199" i="16" s="1"/>
  <c r="P202" i="16"/>
  <c r="N202" i="16"/>
  <c r="Q202" i="16" s="1"/>
  <c r="P221" i="16"/>
  <c r="N221" i="16"/>
  <c r="Q221" i="16" s="1"/>
  <c r="P251" i="16"/>
  <c r="N251" i="16"/>
  <c r="Q251" i="16" s="1"/>
  <c r="P267" i="16"/>
  <c r="N267" i="16"/>
  <c r="Q267" i="16" s="1"/>
  <c r="P312" i="16"/>
  <c r="N312" i="16"/>
  <c r="Q312" i="16" s="1"/>
  <c r="P338" i="16"/>
  <c r="N338" i="16"/>
  <c r="Q338" i="16" s="1"/>
  <c r="P366" i="16"/>
  <c r="N366" i="16"/>
  <c r="Q366" i="16" s="1"/>
  <c r="P384" i="16"/>
  <c r="N384" i="16"/>
  <c r="Q384" i="16" s="1"/>
  <c r="P388" i="16"/>
  <c r="N388" i="16"/>
  <c r="Q388" i="16" s="1"/>
  <c r="P392" i="16"/>
  <c r="N392" i="16"/>
  <c r="Q392" i="16" s="1"/>
  <c r="P402" i="16"/>
  <c r="N402" i="16"/>
  <c r="Q402" i="16" s="1"/>
  <c r="P463" i="16"/>
  <c r="N463" i="16"/>
  <c r="Q463" i="16" s="1"/>
  <c r="P513" i="16"/>
  <c r="N513" i="16"/>
  <c r="Q513" i="16" s="1"/>
  <c r="P665" i="16"/>
  <c r="N665" i="16"/>
  <c r="Q665" i="16" s="1"/>
  <c r="P721" i="16"/>
  <c r="N721" i="16"/>
  <c r="Q721" i="16" s="1"/>
  <c r="P737" i="16"/>
  <c r="N737" i="16"/>
  <c r="Q737" i="16" s="1"/>
  <c r="P820" i="16"/>
  <c r="N820" i="16"/>
  <c r="Q820" i="16" s="1"/>
  <c r="P935" i="16"/>
  <c r="N935" i="16"/>
  <c r="Q935" i="16" s="1"/>
  <c r="P939" i="16"/>
  <c r="N939" i="16"/>
  <c r="Q939" i="16" s="1"/>
  <c r="P951" i="16"/>
  <c r="N951" i="16"/>
  <c r="Q951" i="16" s="1"/>
  <c r="P965" i="16"/>
  <c r="N965" i="16"/>
  <c r="Q965" i="16" s="1"/>
  <c r="P1001" i="16"/>
  <c r="N1001" i="16"/>
  <c r="Q1001" i="16" s="1"/>
  <c r="P1128" i="16"/>
  <c r="N1128" i="16"/>
  <c r="Q1128" i="16" s="1"/>
  <c r="P1257" i="16"/>
  <c r="N1257" i="16"/>
  <c r="Q1257" i="16" s="1"/>
  <c r="P1654" i="16"/>
  <c r="N1654" i="16"/>
  <c r="Q1654" i="16" s="1"/>
  <c r="P1665" i="16"/>
  <c r="N1665" i="16"/>
  <c r="Q1665" i="16" s="1"/>
  <c r="P1692" i="16"/>
  <c r="N1692" i="16"/>
  <c r="Q1692" i="16" s="1"/>
  <c r="P1700" i="16"/>
  <c r="N1700" i="16"/>
  <c r="Q1700" i="16" s="1"/>
  <c r="P1719" i="16"/>
  <c r="N1719" i="16"/>
  <c r="Q1719" i="16" s="1"/>
  <c r="P1764" i="16"/>
  <c r="N1764" i="16"/>
  <c r="Q1764" i="16" s="1"/>
  <c r="P1780" i="16"/>
  <c r="N1780" i="16"/>
  <c r="Q1780" i="16" s="1"/>
  <c r="P1878" i="16"/>
  <c r="N1878" i="16"/>
  <c r="Q1878" i="16" s="1"/>
  <c r="P1884" i="16"/>
  <c r="N1884" i="16"/>
  <c r="Q1884" i="16" s="1"/>
  <c r="P1993" i="16"/>
  <c r="N1993" i="16"/>
  <c r="Q1993" i="16" s="1"/>
  <c r="P11" i="16"/>
  <c r="N11" i="16"/>
  <c r="Q11" i="16" s="1"/>
  <c r="P18" i="16"/>
  <c r="N18" i="16"/>
  <c r="Q18" i="16" s="1"/>
  <c r="P31" i="16"/>
  <c r="N31" i="16"/>
  <c r="Q31" i="16" s="1"/>
  <c r="P42" i="16"/>
  <c r="N42" i="16"/>
  <c r="Q42" i="16" s="1"/>
  <c r="P44" i="16"/>
  <c r="N44" i="16"/>
  <c r="Q44" i="16" s="1"/>
  <c r="P64" i="16"/>
  <c r="N64" i="16"/>
  <c r="Q64" i="16" s="1"/>
  <c r="P74" i="16"/>
  <c r="N74" i="16"/>
  <c r="Q74" i="16" s="1"/>
  <c r="P83" i="16"/>
  <c r="N83" i="16"/>
  <c r="Q83" i="16" s="1"/>
  <c r="P93" i="16"/>
  <c r="N93" i="16"/>
  <c r="Q93" i="16" s="1"/>
  <c r="P99" i="16"/>
  <c r="N99" i="16"/>
  <c r="Q99" i="16" s="1"/>
  <c r="P131" i="16"/>
  <c r="N131" i="16"/>
  <c r="Q131" i="16" s="1"/>
  <c r="P142" i="16"/>
  <c r="N142" i="16"/>
  <c r="Q142" i="16" s="1"/>
  <c r="P204" i="16"/>
  <c r="N204" i="16"/>
  <c r="Q204" i="16" s="1"/>
  <c r="P208" i="16"/>
  <c r="N208" i="16"/>
  <c r="Q208" i="16" s="1"/>
  <c r="P214" i="16"/>
  <c r="N214" i="16"/>
  <c r="Q214" i="16" s="1"/>
  <c r="P257" i="16"/>
  <c r="N257" i="16"/>
  <c r="Q257" i="16" s="1"/>
  <c r="P275" i="16"/>
  <c r="N275" i="16"/>
  <c r="Q275" i="16" s="1"/>
  <c r="P287" i="16"/>
  <c r="N287" i="16"/>
  <c r="Q287" i="16" s="1"/>
  <c r="P300" i="16"/>
  <c r="N300" i="16"/>
  <c r="Q300" i="16" s="1"/>
  <c r="P331" i="16"/>
  <c r="N331" i="16"/>
  <c r="Q331" i="16" s="1"/>
  <c r="P340" i="16"/>
  <c r="N340" i="16"/>
  <c r="Q340" i="16" s="1"/>
  <c r="P368" i="16"/>
  <c r="N368" i="16"/>
  <c r="Q368" i="16" s="1"/>
  <c r="P375" i="16"/>
  <c r="N375" i="16"/>
  <c r="Q375" i="16" s="1"/>
  <c r="P379" i="16"/>
  <c r="N379" i="16"/>
  <c r="Q379" i="16" s="1"/>
  <c r="P484" i="16"/>
  <c r="N484" i="16"/>
  <c r="Q484" i="16" s="1"/>
  <c r="P492" i="16"/>
  <c r="N492" i="16"/>
  <c r="Q492" i="16" s="1"/>
  <c r="P506" i="16"/>
  <c r="N506" i="16"/>
  <c r="Q506" i="16" s="1"/>
  <c r="P509" i="16"/>
  <c r="N509" i="16"/>
  <c r="Q509" i="16" s="1"/>
  <c r="P519" i="16"/>
  <c r="N519" i="16"/>
  <c r="Q519" i="16" s="1"/>
  <c r="P537" i="16"/>
  <c r="N537" i="16"/>
  <c r="Q537" i="16" s="1"/>
  <c r="P586" i="16"/>
  <c r="N586" i="16"/>
  <c r="Q586" i="16" s="1"/>
  <c r="P592" i="16"/>
  <c r="N592" i="16"/>
  <c r="Q592" i="16" s="1"/>
  <c r="P594" i="16"/>
  <c r="N594" i="16"/>
  <c r="Q594" i="16" s="1"/>
  <c r="P632" i="16"/>
  <c r="N632" i="16"/>
  <c r="Q632" i="16" s="1"/>
  <c r="P652" i="16"/>
  <c r="N652" i="16"/>
  <c r="Q652" i="16" s="1"/>
  <c r="P755" i="16"/>
  <c r="N755" i="16"/>
  <c r="Q755" i="16" s="1"/>
  <c r="P829" i="16"/>
  <c r="N829" i="16"/>
  <c r="Q829" i="16" s="1"/>
  <c r="P844" i="16"/>
  <c r="N844" i="16"/>
  <c r="Q844" i="16" s="1"/>
  <c r="P853" i="16"/>
  <c r="N853" i="16"/>
  <c r="Q853" i="16" s="1"/>
  <c r="P21" i="16"/>
  <c r="N21" i="16"/>
  <c r="Q21" i="16" s="1"/>
  <c r="P24" i="16"/>
  <c r="N24" i="16"/>
  <c r="Q24" i="16" s="1"/>
  <c r="P27" i="16"/>
  <c r="N27" i="16"/>
  <c r="Q27" i="16" s="1"/>
  <c r="P46" i="16"/>
  <c r="N46" i="16"/>
  <c r="Q46" i="16" s="1"/>
  <c r="P55" i="16"/>
  <c r="N55" i="16"/>
  <c r="Q55" i="16" s="1"/>
  <c r="P57" i="16"/>
  <c r="N57" i="16"/>
  <c r="Q57" i="16" s="1"/>
  <c r="P66" i="16"/>
  <c r="N66" i="16"/>
  <c r="Q66" i="16" s="1"/>
  <c r="P71" i="16"/>
  <c r="N71" i="16"/>
  <c r="Q71" i="16" s="1"/>
  <c r="P76" i="16"/>
  <c r="N76" i="16"/>
  <c r="Q76" i="16" s="1"/>
  <c r="P78" i="16"/>
  <c r="N78" i="16"/>
  <c r="Q78" i="16" s="1"/>
  <c r="N88" i="16"/>
  <c r="Q88" i="16" s="1"/>
  <c r="P90" i="16"/>
  <c r="N90" i="16"/>
  <c r="Q90" i="16" s="1"/>
  <c r="P98" i="16"/>
  <c r="N98" i="16"/>
  <c r="Q98" i="16" s="1"/>
  <c r="P103" i="16"/>
  <c r="N103" i="16"/>
  <c r="Q103" i="16" s="1"/>
  <c r="P105" i="16"/>
  <c r="N105" i="16"/>
  <c r="Q105" i="16" s="1"/>
  <c r="P114" i="16"/>
  <c r="N114" i="16"/>
  <c r="Q114" i="16" s="1"/>
  <c r="P117" i="16"/>
  <c r="N117" i="16"/>
  <c r="Q117" i="16" s="1"/>
  <c r="P120" i="16"/>
  <c r="N120" i="16"/>
  <c r="Q120" i="16" s="1"/>
  <c r="P124" i="16"/>
  <c r="N124" i="16"/>
  <c r="Q124" i="16" s="1"/>
  <c r="P125" i="16"/>
  <c r="N125" i="16"/>
  <c r="Q125" i="16" s="1"/>
  <c r="P134" i="16"/>
  <c r="N134" i="16"/>
  <c r="Q134" i="16" s="1"/>
  <c r="P144" i="16"/>
  <c r="N144" i="16"/>
  <c r="Q144" i="16" s="1"/>
  <c r="P146" i="16"/>
  <c r="N146" i="16"/>
  <c r="Q146" i="16" s="1"/>
  <c r="P148" i="16"/>
  <c r="N148" i="16"/>
  <c r="Q148" i="16" s="1"/>
  <c r="P154" i="16"/>
  <c r="N154" i="16"/>
  <c r="Q154" i="16" s="1"/>
  <c r="P156" i="16"/>
  <c r="N156" i="16"/>
  <c r="Q156" i="16" s="1"/>
  <c r="P158" i="16"/>
  <c r="N158" i="16"/>
  <c r="Q158" i="16" s="1"/>
  <c r="P160" i="16"/>
  <c r="N160" i="16"/>
  <c r="Q160" i="16" s="1"/>
  <c r="P164" i="16"/>
  <c r="N164" i="16"/>
  <c r="Q164" i="16" s="1"/>
  <c r="P167" i="16"/>
  <c r="N167" i="16"/>
  <c r="Q167" i="16" s="1"/>
  <c r="P172" i="16"/>
  <c r="N172" i="16"/>
  <c r="Q172" i="16" s="1"/>
  <c r="P176" i="16"/>
  <c r="N176" i="16"/>
  <c r="Q176" i="16" s="1"/>
  <c r="P182" i="16"/>
  <c r="N182" i="16"/>
  <c r="Q182" i="16" s="1"/>
  <c r="P186" i="16"/>
  <c r="N186" i="16"/>
  <c r="Q186" i="16" s="1"/>
  <c r="P190" i="16"/>
  <c r="N190" i="16"/>
  <c r="Q190" i="16" s="1"/>
  <c r="P192" i="16"/>
  <c r="N192" i="16"/>
  <c r="Q192" i="16" s="1"/>
  <c r="P194" i="16"/>
  <c r="N194" i="16"/>
  <c r="Q194" i="16" s="1"/>
  <c r="P201" i="16"/>
  <c r="N201" i="16"/>
  <c r="Q201" i="16" s="1"/>
  <c r="P226" i="16"/>
  <c r="N226" i="16"/>
  <c r="Q226" i="16" s="1"/>
  <c r="P228" i="16"/>
  <c r="N228" i="16"/>
  <c r="Q228" i="16" s="1"/>
  <c r="P252" i="16"/>
  <c r="N252" i="16"/>
  <c r="Q252" i="16" s="1"/>
  <c r="P264" i="16"/>
  <c r="N264" i="16"/>
  <c r="Q264" i="16" s="1"/>
  <c r="P271" i="16"/>
  <c r="N271" i="16"/>
  <c r="Q271" i="16" s="1"/>
  <c r="P293" i="16"/>
  <c r="N293" i="16"/>
  <c r="Q293" i="16" s="1"/>
  <c r="P310" i="16"/>
  <c r="N310" i="16"/>
  <c r="Q310" i="16" s="1"/>
  <c r="P313" i="16"/>
  <c r="N313" i="16"/>
  <c r="Q313" i="16" s="1"/>
  <c r="P317" i="16"/>
  <c r="N317" i="16"/>
  <c r="Q317" i="16" s="1"/>
  <c r="P321" i="16"/>
  <c r="N321" i="16"/>
  <c r="Q321" i="16" s="1"/>
  <c r="P350" i="16"/>
  <c r="N350" i="16"/>
  <c r="Q350" i="16" s="1"/>
  <c r="P353" i="16"/>
  <c r="N353" i="16"/>
  <c r="Q353" i="16" s="1"/>
  <c r="P357" i="16"/>
  <c r="N357" i="16"/>
  <c r="Q357" i="16" s="1"/>
  <c r="P359" i="16"/>
  <c r="N359" i="16"/>
  <c r="Q359" i="16" s="1"/>
  <c r="P367" i="16"/>
  <c r="N367" i="16"/>
  <c r="Q367" i="16" s="1"/>
  <c r="P387" i="16"/>
  <c r="N387" i="16"/>
  <c r="Q387" i="16" s="1"/>
  <c r="P391" i="16"/>
  <c r="N391" i="16"/>
  <c r="Q391" i="16" s="1"/>
  <c r="P397" i="16"/>
  <c r="N397" i="16"/>
  <c r="Q397" i="16" s="1"/>
  <c r="P399" i="16"/>
  <c r="N399" i="16"/>
  <c r="Q399" i="16" s="1"/>
  <c r="P401" i="16"/>
  <c r="N401" i="16"/>
  <c r="Q401" i="16" s="1"/>
  <c r="P408" i="16"/>
  <c r="N408" i="16"/>
  <c r="Q408" i="16" s="1"/>
  <c r="P415" i="16"/>
  <c r="N415" i="16"/>
  <c r="Q415" i="16" s="1"/>
  <c r="P416" i="16"/>
  <c r="N416" i="16"/>
  <c r="Q416" i="16" s="1"/>
  <c r="P437" i="16"/>
  <c r="N437" i="16"/>
  <c r="Q437" i="16" s="1"/>
  <c r="P446" i="16"/>
  <c r="N446" i="16"/>
  <c r="Q446" i="16" s="1"/>
  <c r="P462" i="16"/>
  <c r="N462" i="16"/>
  <c r="Q462" i="16" s="1"/>
  <c r="P465" i="16"/>
  <c r="N465" i="16"/>
  <c r="Q465" i="16" s="1"/>
  <c r="P474" i="16"/>
  <c r="N474" i="16"/>
  <c r="Q474" i="16" s="1"/>
  <c r="P479" i="16"/>
  <c r="N479" i="16"/>
  <c r="Q479" i="16" s="1"/>
  <c r="P516" i="16"/>
  <c r="N516" i="16"/>
  <c r="Q516" i="16" s="1"/>
  <c r="P532" i="16"/>
  <c r="N532" i="16"/>
  <c r="Q532" i="16" s="1"/>
  <c r="P656" i="16"/>
  <c r="N656" i="16"/>
  <c r="Q656" i="16" s="1"/>
  <c r="P678" i="16"/>
  <c r="N678" i="16"/>
  <c r="Q678" i="16" s="1"/>
  <c r="P786" i="16"/>
  <c r="N786" i="16"/>
  <c r="Q786" i="16" s="1"/>
  <c r="P816" i="16"/>
  <c r="N816" i="16"/>
  <c r="Q816" i="16" s="1"/>
  <c r="P819" i="16"/>
  <c r="N819" i="16"/>
  <c r="Q819" i="16" s="1"/>
  <c r="P863" i="16"/>
  <c r="N863" i="16"/>
  <c r="Q863" i="16" s="1"/>
  <c r="P932" i="16"/>
  <c r="N932" i="16"/>
  <c r="Q932" i="16" s="1"/>
  <c r="P936" i="16"/>
  <c r="N936" i="16"/>
  <c r="Q936" i="16" s="1"/>
  <c r="P940" i="16"/>
  <c r="N940" i="16"/>
  <c r="Q940" i="16" s="1"/>
  <c r="P956" i="16"/>
  <c r="N956" i="16"/>
  <c r="Q956" i="16" s="1"/>
  <c r="P976" i="16"/>
  <c r="N976" i="16"/>
  <c r="Q976" i="16" s="1"/>
  <c r="P1119" i="16"/>
  <c r="N1119" i="16"/>
  <c r="Q1119" i="16" s="1"/>
  <c r="P1123" i="16"/>
  <c r="N1123" i="16"/>
  <c r="Q1123" i="16" s="1"/>
  <c r="P1127" i="16"/>
  <c r="N1127" i="16"/>
  <c r="Q1127" i="16" s="1"/>
  <c r="P1135" i="16"/>
  <c r="N1135" i="16"/>
  <c r="Q1135" i="16" s="1"/>
  <c r="P1143" i="16"/>
  <c r="N1143" i="16"/>
  <c r="Q1143" i="16" s="1"/>
  <c r="P1161" i="16"/>
  <c r="N1161" i="16"/>
  <c r="Q1161" i="16" s="1"/>
  <c r="P1170" i="16"/>
  <c r="N1170" i="16"/>
  <c r="Q1170" i="16" s="1"/>
  <c r="P1174" i="16"/>
  <c r="N1174" i="16"/>
  <c r="Q1174" i="16" s="1"/>
  <c r="P1176" i="16"/>
  <c r="N1176" i="16"/>
  <c r="Q1176" i="16" s="1"/>
  <c r="P1178" i="16"/>
  <c r="N1178" i="16"/>
  <c r="Q1178" i="16" s="1"/>
  <c r="P1238" i="16"/>
  <c r="N1238" i="16"/>
  <c r="Q1238" i="16" s="1"/>
  <c r="P1242" i="16"/>
  <c r="N1242" i="16"/>
  <c r="Q1242" i="16" s="1"/>
  <c r="P1246" i="16"/>
  <c r="N1246" i="16"/>
  <c r="Q1246" i="16" s="1"/>
  <c r="P1250" i="16"/>
  <c r="N1250" i="16"/>
  <c r="Q1250" i="16" s="1"/>
  <c r="P1254" i="16"/>
  <c r="N1254" i="16"/>
  <c r="Q1254" i="16" s="1"/>
  <c r="P1258" i="16"/>
  <c r="N1258" i="16"/>
  <c r="Q1258" i="16" s="1"/>
  <c r="P1262" i="16"/>
  <c r="N1262" i="16"/>
  <c r="Q1262" i="16" s="1"/>
  <c r="P1292" i="16"/>
  <c r="N1292" i="16"/>
  <c r="Q1292" i="16" s="1"/>
  <c r="P1300" i="16"/>
  <c r="N1300" i="16"/>
  <c r="Q1300" i="16" s="1"/>
  <c r="P1312" i="16"/>
  <c r="N1312" i="16"/>
  <c r="Q1312" i="16" s="1"/>
  <c r="P1348" i="16"/>
  <c r="N1348" i="16"/>
  <c r="Q1348" i="16" s="1"/>
  <c r="P1363" i="16"/>
  <c r="N1363" i="16"/>
  <c r="Q1363" i="16" s="1"/>
  <c r="P1567" i="16"/>
  <c r="N1567" i="16"/>
  <c r="Q1567" i="16" s="1"/>
  <c r="P1655" i="16"/>
  <c r="N1655" i="16"/>
  <c r="Q1655" i="16" s="1"/>
  <c r="P1666" i="16"/>
  <c r="N1666" i="16"/>
  <c r="Q1666" i="16" s="1"/>
  <c r="P1677" i="16"/>
  <c r="N1677" i="16"/>
  <c r="Q1677" i="16" s="1"/>
  <c r="P1687" i="16"/>
  <c r="N1687" i="16"/>
  <c r="Q1687" i="16" s="1"/>
  <c r="P1697" i="16"/>
  <c r="N1697" i="16"/>
  <c r="Q1697" i="16" s="1"/>
  <c r="P1701" i="16"/>
  <c r="N1701" i="16"/>
  <c r="Q1701" i="16" s="1"/>
  <c r="P1718" i="16"/>
  <c r="N1718" i="16"/>
  <c r="Q1718" i="16" s="1"/>
  <c r="P1720" i="16"/>
  <c r="N1720" i="16"/>
  <c r="Q1720" i="16" s="1"/>
  <c r="P1750" i="16"/>
  <c r="N1750" i="16"/>
  <c r="Q1750" i="16" s="1"/>
  <c r="P1759" i="16"/>
  <c r="N1759" i="16"/>
  <c r="Q1759" i="16" s="1"/>
  <c r="P1763" i="16"/>
  <c r="N1763" i="16"/>
  <c r="Q1763" i="16" s="1"/>
  <c r="P1765" i="16"/>
  <c r="N1765" i="16"/>
  <c r="Q1765" i="16" s="1"/>
  <c r="P1767" i="16"/>
  <c r="N1767" i="16"/>
  <c r="Q1767" i="16" s="1"/>
  <c r="P1769" i="16"/>
  <c r="N1769" i="16"/>
  <c r="Q1769" i="16" s="1"/>
  <c r="P1771" i="16"/>
  <c r="N1771" i="16"/>
  <c r="Q1771" i="16" s="1"/>
  <c r="P1773" i="16"/>
  <c r="N1773" i="16"/>
  <c r="Q1773" i="16" s="1"/>
  <c r="P1775" i="16"/>
  <c r="N1775" i="16"/>
  <c r="Q1775" i="16" s="1"/>
  <c r="P1779" i="16"/>
  <c r="N1779" i="16"/>
  <c r="Q1779" i="16" s="1"/>
  <c r="P1873" i="16"/>
  <c r="N1873" i="16"/>
  <c r="Q1873" i="16" s="1"/>
  <c r="P1877" i="16"/>
  <c r="N1877" i="16"/>
  <c r="Q1877" i="16" s="1"/>
  <c r="P1881" i="16"/>
  <c r="N1881" i="16"/>
  <c r="Q1881" i="16" s="1"/>
  <c r="P1885" i="16"/>
  <c r="N1885" i="16"/>
  <c r="Q1885" i="16" s="1"/>
  <c r="P1889" i="16"/>
  <c r="N1889" i="16"/>
  <c r="Q1889" i="16" s="1"/>
  <c r="P1950" i="16"/>
  <c r="N1950" i="16"/>
  <c r="Q1950" i="16" s="1"/>
  <c r="P1952" i="16"/>
  <c r="N1952" i="16"/>
  <c r="Q1952" i="16" s="1"/>
  <c r="P1954" i="16"/>
  <c r="N1954" i="16"/>
  <c r="Q1954" i="16" s="1"/>
  <c r="P1958" i="16"/>
  <c r="N1958" i="16"/>
  <c r="Q1958" i="16" s="1"/>
  <c r="P1962" i="16"/>
  <c r="N1962" i="16"/>
  <c r="Q1962" i="16" s="1"/>
  <c r="P1966" i="16"/>
  <c r="N1966" i="16"/>
  <c r="Q1966" i="16" s="1"/>
  <c r="P1970" i="16"/>
  <c r="N1970" i="16"/>
  <c r="Q1970" i="16" s="1"/>
  <c r="P1974" i="16"/>
  <c r="N1974" i="16"/>
  <c r="Q1974" i="16" s="1"/>
  <c r="P1976" i="16"/>
  <c r="N1976" i="16"/>
  <c r="Q1976" i="16" s="1"/>
  <c r="P1978" i="16"/>
  <c r="N1978" i="16"/>
  <c r="Q1978" i="16" s="1"/>
  <c r="P1980" i="16"/>
  <c r="N1980" i="16"/>
  <c r="Q1980" i="16" s="1"/>
  <c r="P2026" i="16"/>
  <c r="N2026" i="16"/>
  <c r="Q2026" i="16" s="1"/>
  <c r="P2034" i="16"/>
  <c r="N2034" i="16"/>
  <c r="Q2034" i="16" s="1"/>
  <c r="P2046" i="16"/>
  <c r="N2046" i="16"/>
  <c r="Q2046" i="16" s="1"/>
  <c r="P2053" i="16"/>
  <c r="N2053" i="16"/>
  <c r="Q2053" i="16" s="1"/>
  <c r="P2057" i="16"/>
  <c r="N2057" i="16"/>
  <c r="Q2057" i="16" s="1"/>
  <c r="P19" i="16"/>
  <c r="N19" i="16"/>
  <c r="Q19" i="16" s="1"/>
  <c r="P52" i="16"/>
  <c r="N52" i="16"/>
  <c r="Q52" i="16" s="1"/>
  <c r="P56" i="16"/>
  <c r="N56" i="16"/>
  <c r="Q56" i="16" s="1"/>
  <c r="P70" i="16"/>
  <c r="N70" i="16"/>
  <c r="Q70" i="16" s="1"/>
  <c r="P77" i="16"/>
  <c r="Q77" i="16"/>
  <c r="P87" i="16"/>
  <c r="N87" i="16"/>
  <c r="Q87" i="16" s="1"/>
  <c r="N91" i="16"/>
  <c r="Q91" i="16" s="1"/>
  <c r="P97" i="16"/>
  <c r="N97" i="16"/>
  <c r="Q97" i="16" s="1"/>
  <c r="P119" i="16"/>
  <c r="N119" i="16"/>
  <c r="Q119" i="16" s="1"/>
  <c r="P135" i="16"/>
  <c r="N135" i="16"/>
  <c r="Q135" i="16" s="1"/>
  <c r="P147" i="16"/>
  <c r="N147" i="16"/>
  <c r="Q147" i="16" s="1"/>
  <c r="P157" i="16"/>
  <c r="N157" i="16"/>
  <c r="Q157" i="16" s="1"/>
  <c r="P161" i="16"/>
  <c r="N161" i="16"/>
  <c r="Q161" i="16" s="1"/>
  <c r="P171" i="16"/>
  <c r="N171" i="16"/>
  <c r="Q171" i="16" s="1"/>
  <c r="P177" i="16"/>
  <c r="N177" i="16"/>
  <c r="Q177" i="16" s="1"/>
  <c r="P181" i="16"/>
  <c r="N181" i="16"/>
  <c r="Q181" i="16" s="1"/>
  <c r="P184" i="16"/>
  <c r="N184" i="16"/>
  <c r="Q184" i="16" s="1"/>
  <c r="P189" i="16"/>
  <c r="N189" i="16"/>
  <c r="Q189" i="16" s="1"/>
  <c r="P191" i="16"/>
  <c r="N191" i="16"/>
  <c r="Q191" i="16" s="1"/>
  <c r="P200" i="16"/>
  <c r="N200" i="16"/>
  <c r="Q200" i="16" s="1"/>
  <c r="P225" i="16"/>
  <c r="N225" i="16"/>
  <c r="Q225" i="16" s="1"/>
  <c r="P273" i="16"/>
  <c r="N273" i="16"/>
  <c r="Q273" i="16" s="1"/>
  <c r="P294" i="16"/>
  <c r="N294" i="16"/>
  <c r="Q294" i="16" s="1"/>
  <c r="P309" i="16"/>
  <c r="N309" i="16"/>
  <c r="Q309" i="16" s="1"/>
  <c r="P320" i="16"/>
  <c r="N320" i="16"/>
  <c r="Q320" i="16" s="1"/>
  <c r="P349" i="16"/>
  <c r="N349" i="16"/>
  <c r="Q349" i="16" s="1"/>
  <c r="P352" i="16"/>
  <c r="N352" i="16"/>
  <c r="Q352" i="16" s="1"/>
  <c r="P356" i="16"/>
  <c r="N356" i="16"/>
  <c r="Q356" i="16" s="1"/>
  <c r="P360" i="16"/>
  <c r="N360" i="16"/>
  <c r="Q360" i="16" s="1"/>
  <c r="P409" i="16"/>
  <c r="N409" i="16"/>
  <c r="Q409" i="16" s="1"/>
  <c r="P421" i="16"/>
  <c r="N421" i="16"/>
  <c r="Q421" i="16" s="1"/>
  <c r="P426" i="16"/>
  <c r="N426" i="16"/>
  <c r="Q426" i="16" s="1"/>
  <c r="P438" i="16"/>
  <c r="N438" i="16"/>
  <c r="Q438" i="16" s="1"/>
  <c r="P451" i="16"/>
  <c r="N451" i="16"/>
  <c r="Q451" i="16" s="1"/>
  <c r="P454" i="16"/>
  <c r="N454" i="16"/>
  <c r="Q454" i="16" s="1"/>
  <c r="P504" i="16"/>
  <c r="N504" i="16"/>
  <c r="Q504" i="16" s="1"/>
  <c r="P512" i="16"/>
  <c r="N512" i="16"/>
  <c r="Q512" i="16" s="1"/>
  <c r="P515" i="16"/>
  <c r="N515" i="16"/>
  <c r="Q515" i="16" s="1"/>
  <c r="P530" i="16"/>
  <c r="N530" i="16"/>
  <c r="Q530" i="16" s="1"/>
  <c r="P620" i="16"/>
  <c r="N620" i="16"/>
  <c r="Q620" i="16" s="1"/>
  <c r="P717" i="16"/>
  <c r="N717" i="16"/>
  <c r="Q717" i="16" s="1"/>
  <c r="P729" i="16"/>
  <c r="N729" i="16"/>
  <c r="Q729" i="16" s="1"/>
  <c r="P813" i="16"/>
  <c r="N813" i="16"/>
  <c r="Q813" i="16" s="1"/>
  <c r="P923" i="16"/>
  <c r="N923" i="16"/>
  <c r="Q923" i="16" s="1"/>
  <c r="P927" i="16"/>
  <c r="N927" i="16"/>
  <c r="Q927" i="16" s="1"/>
  <c r="P931" i="16"/>
  <c r="N931" i="16"/>
  <c r="Q931" i="16" s="1"/>
  <c r="P943" i="16"/>
  <c r="N943" i="16"/>
  <c r="Q943" i="16" s="1"/>
  <c r="P947" i="16"/>
  <c r="N947" i="16"/>
  <c r="Q947" i="16" s="1"/>
  <c r="P955" i="16"/>
  <c r="N955" i="16"/>
  <c r="Q955" i="16" s="1"/>
  <c r="P958" i="16"/>
  <c r="N958" i="16"/>
  <c r="Q958" i="16" s="1"/>
  <c r="P962" i="16"/>
  <c r="N962" i="16"/>
  <c r="Q962" i="16" s="1"/>
  <c r="P1122" i="16"/>
  <c r="N1122" i="16"/>
  <c r="Q1122" i="16" s="1"/>
  <c r="P1126" i="16"/>
  <c r="N1126" i="16"/>
  <c r="Q1126" i="16" s="1"/>
  <c r="P1134" i="16"/>
  <c r="N1134" i="16"/>
  <c r="Q1134" i="16" s="1"/>
  <c r="P1157" i="16"/>
  <c r="N1157" i="16"/>
  <c r="Q1157" i="16" s="1"/>
  <c r="P1237" i="16"/>
  <c r="N1237" i="16"/>
  <c r="Q1237" i="16" s="1"/>
  <c r="P1259" i="16"/>
  <c r="N1259" i="16"/>
  <c r="Q1259" i="16" s="1"/>
  <c r="P1417" i="16"/>
  <c r="N1417" i="16"/>
  <c r="Q1417" i="16" s="1"/>
  <c r="P1575" i="16"/>
  <c r="N1575" i="16"/>
  <c r="Q1575" i="16" s="1"/>
  <c r="P1702" i="16"/>
  <c r="N1702" i="16"/>
  <c r="Q1702" i="16" s="1"/>
  <c r="P1721" i="16"/>
  <c r="N1721" i="16"/>
  <c r="Q1721" i="16" s="1"/>
  <c r="P1768" i="16"/>
  <c r="N1768" i="16"/>
  <c r="Q1768" i="16" s="1"/>
  <c r="P1772" i="16"/>
  <c r="N1772" i="16"/>
  <c r="Q1772" i="16" s="1"/>
  <c r="P1799" i="16"/>
  <c r="N1799" i="16"/>
  <c r="Q1799" i="16" s="1"/>
  <c r="P1803" i="16"/>
  <c r="N1803" i="16"/>
  <c r="Q1803" i="16" s="1"/>
  <c r="P1892" i="16"/>
  <c r="N1892" i="16"/>
  <c r="Q1892" i="16" s="1"/>
  <c r="P1951" i="16"/>
  <c r="N1951" i="16"/>
  <c r="Q1951" i="16" s="1"/>
  <c r="P1959" i="16"/>
  <c r="N1959" i="16"/>
  <c r="Q1959" i="16" s="1"/>
  <c r="P1975" i="16"/>
  <c r="N1975" i="16"/>
  <c r="Q1975" i="16" s="1"/>
  <c r="P9" i="16"/>
  <c r="N9" i="16"/>
  <c r="Q9" i="16" s="1"/>
  <c r="P16" i="16"/>
  <c r="N16" i="16"/>
  <c r="Q16" i="16" s="1"/>
  <c r="P35" i="16"/>
  <c r="N35" i="16"/>
  <c r="Q35" i="16" s="1"/>
  <c r="P40" i="16"/>
  <c r="N40" i="16"/>
  <c r="Q40" i="16" s="1"/>
  <c r="P81" i="16"/>
  <c r="N81" i="16"/>
  <c r="Q81" i="16" s="1"/>
  <c r="P86" i="16"/>
  <c r="N86" i="16"/>
  <c r="Q86" i="16" s="1"/>
  <c r="P96" i="16"/>
  <c r="N96" i="16"/>
  <c r="Q96" i="16" s="1"/>
  <c r="P108" i="16"/>
  <c r="N108" i="16"/>
  <c r="Q108" i="16" s="1"/>
  <c r="P138" i="16"/>
  <c r="N138" i="16"/>
  <c r="Q138" i="16" s="1"/>
  <c r="P206" i="16"/>
  <c r="N206" i="16"/>
  <c r="Q206" i="16" s="1"/>
  <c r="P216" i="16"/>
  <c r="N216" i="16"/>
  <c r="Q216" i="16" s="1"/>
  <c r="P229" i="16"/>
  <c r="N229" i="16"/>
  <c r="Q229" i="16" s="1"/>
  <c r="P244" i="16"/>
  <c r="N244" i="16"/>
  <c r="Q244" i="16" s="1"/>
  <c r="P253" i="16"/>
  <c r="N253" i="16"/>
  <c r="Q253" i="16" s="1"/>
  <c r="P279" i="16"/>
  <c r="N279" i="16"/>
  <c r="Q279" i="16" s="1"/>
  <c r="P328" i="16"/>
  <c r="N328" i="16"/>
  <c r="Q328" i="16" s="1"/>
  <c r="P377" i="16"/>
  <c r="N377" i="16"/>
  <c r="Q377" i="16" s="1"/>
  <c r="P398" i="16"/>
  <c r="N398" i="16"/>
  <c r="Q398" i="16" s="1"/>
  <c r="P404" i="16"/>
  <c r="N404" i="16"/>
  <c r="Q404" i="16" s="1"/>
  <c r="P449" i="16"/>
  <c r="N449" i="16"/>
  <c r="Q449" i="16" s="1"/>
  <c r="P468" i="16"/>
  <c r="N468" i="16"/>
  <c r="Q468" i="16" s="1"/>
  <c r="P475" i="16"/>
  <c r="N475" i="16"/>
  <c r="Q475" i="16" s="1"/>
  <c r="P494" i="16"/>
  <c r="N494" i="16"/>
  <c r="Q494" i="16" s="1"/>
  <c r="P546" i="16"/>
  <c r="N546" i="16"/>
  <c r="Q546" i="16" s="1"/>
  <c r="P624" i="16"/>
  <c r="N624" i="16"/>
  <c r="Q624" i="16" s="1"/>
  <c r="P640" i="16"/>
  <c r="N640" i="16"/>
  <c r="Q640" i="16" s="1"/>
  <c r="P836" i="16"/>
  <c r="N836" i="16"/>
  <c r="Q836" i="16" s="1"/>
  <c r="P850" i="16"/>
  <c r="N850" i="16"/>
  <c r="Q850" i="16" s="1"/>
  <c r="P910" i="16"/>
  <c r="N910" i="16"/>
  <c r="Q910" i="16" s="1"/>
  <c r="P8" i="16"/>
  <c r="N8" i="16"/>
  <c r="Q8" i="16" s="1"/>
  <c r="P10" i="16"/>
  <c r="N10" i="16"/>
  <c r="Q10" i="16" s="1"/>
  <c r="P17" i="16"/>
  <c r="N17" i="16"/>
  <c r="Q17" i="16" s="1"/>
  <c r="P30" i="16"/>
  <c r="N30" i="16"/>
  <c r="Q30" i="16" s="1"/>
  <c r="P33" i="16"/>
  <c r="N33" i="16"/>
  <c r="Q33" i="16" s="1"/>
  <c r="P37" i="16"/>
  <c r="N37" i="16"/>
  <c r="Q37" i="16" s="1"/>
  <c r="P38" i="16"/>
  <c r="N38" i="16"/>
  <c r="Q38" i="16" s="1"/>
  <c r="P41" i="16"/>
  <c r="N41" i="16"/>
  <c r="Q41" i="16" s="1"/>
  <c r="P43" i="16"/>
  <c r="N43" i="16"/>
  <c r="Q43" i="16" s="1"/>
  <c r="P45" i="16"/>
  <c r="N45" i="16"/>
  <c r="Q45" i="16" s="1"/>
  <c r="P50" i="16"/>
  <c r="N50" i="16"/>
  <c r="Q50" i="16" s="1"/>
  <c r="P65" i="16"/>
  <c r="N65" i="16"/>
  <c r="Q65" i="16" s="1"/>
  <c r="P68" i="16"/>
  <c r="N68" i="16"/>
  <c r="Q68" i="16" s="1"/>
  <c r="P73" i="16"/>
  <c r="N73" i="16"/>
  <c r="Q73" i="16" s="1"/>
  <c r="P75" i="16"/>
  <c r="N75" i="16"/>
  <c r="Q75" i="16" s="1"/>
  <c r="P82" i="16"/>
  <c r="N82" i="16"/>
  <c r="Q82" i="16" s="1"/>
  <c r="P85" i="16"/>
  <c r="N85" i="16"/>
  <c r="Q85" i="16" s="1"/>
  <c r="P92" i="16"/>
  <c r="N92" i="16"/>
  <c r="Q92" i="16" s="1"/>
  <c r="P95" i="16"/>
  <c r="N95" i="16"/>
  <c r="Q95" i="16" s="1"/>
  <c r="P107" i="16"/>
  <c r="N107" i="16"/>
  <c r="Q107" i="16" s="1"/>
  <c r="P110" i="16"/>
  <c r="N110" i="16"/>
  <c r="Q110" i="16" s="1"/>
  <c r="P127" i="16"/>
  <c r="N127" i="16"/>
  <c r="Q127" i="16" s="1"/>
  <c r="P130" i="16"/>
  <c r="N130" i="16"/>
  <c r="Q130" i="16" s="1"/>
  <c r="P139" i="16"/>
  <c r="N139" i="16"/>
  <c r="Q139" i="16" s="1"/>
  <c r="P143" i="16"/>
  <c r="N143" i="16"/>
  <c r="Q143" i="16" s="1"/>
  <c r="P166" i="16"/>
  <c r="N166" i="16"/>
  <c r="Q166" i="16" s="1"/>
  <c r="P196" i="16"/>
  <c r="N196" i="16"/>
  <c r="Q196" i="16" s="1"/>
  <c r="P203" i="16"/>
  <c r="N203" i="16"/>
  <c r="Q203" i="16" s="1"/>
  <c r="P205" i="16"/>
  <c r="N205" i="16"/>
  <c r="Q205" i="16" s="1"/>
  <c r="P207" i="16"/>
  <c r="N207" i="16"/>
  <c r="Q207" i="16" s="1"/>
  <c r="P211" i="16"/>
  <c r="N211" i="16"/>
  <c r="Q211" i="16" s="1"/>
  <c r="P212" i="16"/>
  <c r="N212" i="16"/>
  <c r="Q212" i="16" s="1"/>
  <c r="P215" i="16"/>
  <c r="N215" i="16"/>
  <c r="Q215" i="16" s="1"/>
  <c r="P223" i="16"/>
  <c r="N223" i="16"/>
  <c r="Q223" i="16" s="1"/>
  <c r="P224" i="16"/>
  <c r="N224" i="16"/>
  <c r="Q224" i="16" s="1"/>
  <c r="P233" i="16"/>
  <c r="N233" i="16"/>
  <c r="Q233" i="16" s="1"/>
  <c r="P243" i="16"/>
  <c r="N243" i="16"/>
  <c r="Q243" i="16" s="1"/>
  <c r="P254" i="16"/>
  <c r="N254" i="16"/>
  <c r="Q254" i="16" s="1"/>
  <c r="P261" i="16"/>
  <c r="N261" i="16"/>
  <c r="Q261" i="16" s="1"/>
  <c r="P263" i="16"/>
  <c r="N263" i="16"/>
  <c r="Q263" i="16" s="1"/>
  <c r="P270" i="16"/>
  <c r="N270" i="16"/>
  <c r="Q270" i="16" s="1"/>
  <c r="P274" i="16"/>
  <c r="N274" i="16"/>
  <c r="Q274" i="16" s="1"/>
  <c r="P278" i="16"/>
  <c r="N278" i="16"/>
  <c r="Q278" i="16" s="1"/>
  <c r="P283" i="16"/>
  <c r="N283" i="16"/>
  <c r="Q283" i="16" s="1"/>
  <c r="P295" i="16"/>
  <c r="N295" i="16"/>
  <c r="Q295" i="16" s="1"/>
  <c r="P299" i="16"/>
  <c r="N299" i="16"/>
  <c r="Q299" i="16" s="1"/>
  <c r="P303" i="16"/>
  <c r="N303" i="16"/>
  <c r="Q303" i="16" s="1"/>
  <c r="P307" i="16"/>
  <c r="N307" i="16"/>
  <c r="Q307" i="16" s="1"/>
  <c r="P323" i="16"/>
  <c r="N323" i="16"/>
  <c r="Q323" i="16" s="1"/>
  <c r="P325" i="16"/>
  <c r="N325" i="16"/>
  <c r="Q325" i="16" s="1"/>
  <c r="P332" i="16"/>
  <c r="N332" i="16"/>
  <c r="Q332" i="16" s="1"/>
  <c r="P335" i="16"/>
  <c r="N335" i="16"/>
  <c r="Q335" i="16" s="1"/>
  <c r="P341" i="16"/>
  <c r="N341" i="16"/>
  <c r="Q341" i="16" s="1"/>
  <c r="P345" i="16"/>
  <c r="N345" i="16"/>
  <c r="Q345" i="16" s="1"/>
  <c r="P369" i="16"/>
  <c r="N369" i="16"/>
  <c r="Q369" i="16" s="1"/>
  <c r="P378" i="16"/>
  <c r="N378" i="16"/>
  <c r="Q378" i="16" s="1"/>
  <c r="P400" i="16"/>
  <c r="N400" i="16"/>
  <c r="Q400" i="16" s="1"/>
  <c r="P407" i="16"/>
  <c r="N407" i="16"/>
  <c r="Q407" i="16" s="1"/>
  <c r="P448" i="16"/>
  <c r="N448" i="16"/>
  <c r="Q448" i="16" s="1"/>
  <c r="P467" i="16"/>
  <c r="N467" i="16"/>
  <c r="Q467" i="16" s="1"/>
  <c r="P471" i="16"/>
  <c r="N471" i="16"/>
  <c r="Q471" i="16" s="1"/>
  <c r="P476" i="16"/>
  <c r="N476" i="16"/>
  <c r="Q476" i="16" s="1"/>
  <c r="P487" i="16"/>
  <c r="N487" i="16"/>
  <c r="Q487" i="16" s="1"/>
  <c r="P488" i="16"/>
  <c r="N488" i="16"/>
  <c r="Q488" i="16" s="1"/>
  <c r="P491" i="16"/>
  <c r="N491" i="16"/>
  <c r="Q491" i="16" s="1"/>
  <c r="P510" i="16"/>
  <c r="N510" i="16"/>
  <c r="Q510" i="16" s="1"/>
  <c r="P536" i="16"/>
  <c r="N536" i="16"/>
  <c r="Q536" i="16" s="1"/>
  <c r="P545" i="16"/>
  <c r="N545" i="16"/>
  <c r="Q545" i="16" s="1"/>
  <c r="P561" i="16"/>
  <c r="N561" i="16"/>
  <c r="Q561" i="16" s="1"/>
  <c r="P567" i="16"/>
  <c r="N567" i="16"/>
  <c r="Q567" i="16" s="1"/>
  <c r="P680" i="16"/>
  <c r="N680" i="16"/>
  <c r="Q680" i="16" s="1"/>
  <c r="P682" i="16"/>
  <c r="N682" i="16"/>
  <c r="Q682" i="16" s="1"/>
  <c r="P687" i="16"/>
  <c r="N687" i="16"/>
  <c r="Q687" i="16" s="1"/>
  <c r="P706" i="16"/>
  <c r="N706" i="16"/>
  <c r="Q706" i="16" s="1"/>
  <c r="P798" i="16"/>
  <c r="N798" i="16"/>
  <c r="Q798" i="16" s="1"/>
  <c r="P807" i="16"/>
  <c r="N807" i="16"/>
  <c r="Q807" i="16" s="1"/>
  <c r="P828" i="16"/>
  <c r="N828" i="16"/>
  <c r="Q828" i="16" s="1"/>
  <c r="P835" i="16"/>
  <c r="N835" i="16"/>
  <c r="Q835" i="16" s="1"/>
  <c r="P839" i="16"/>
  <c r="N839" i="16"/>
  <c r="Q839" i="16" s="1"/>
  <c r="P843" i="16"/>
  <c r="N843" i="16"/>
  <c r="Q843" i="16" s="1"/>
  <c r="P847" i="16"/>
  <c r="N847" i="16"/>
  <c r="Q847" i="16" s="1"/>
  <c r="P849" i="16"/>
  <c r="N849" i="16"/>
  <c r="Q849" i="16" s="1"/>
  <c r="P854" i="16"/>
  <c r="N854" i="16"/>
  <c r="Q854" i="16" s="1"/>
  <c r="P858" i="16"/>
  <c r="N858" i="16"/>
  <c r="Q858" i="16" s="1"/>
  <c r="P865" i="16"/>
  <c r="N865" i="16"/>
  <c r="Q865" i="16" s="1"/>
  <c r="P870" i="16"/>
  <c r="N870" i="16"/>
  <c r="Q870" i="16" s="1"/>
  <c r="P874" i="16"/>
  <c r="N874" i="16"/>
  <c r="Q874" i="16" s="1"/>
  <c r="P878" i="16"/>
  <c r="N878" i="16"/>
  <c r="Q878" i="16" s="1"/>
  <c r="P886" i="16"/>
  <c r="N886" i="16"/>
  <c r="Q886" i="16" s="1"/>
  <c r="P890" i="16"/>
  <c r="N890" i="16"/>
  <c r="Q890" i="16" s="1"/>
  <c r="P898" i="16"/>
  <c r="N898" i="16"/>
  <c r="Q898" i="16" s="1"/>
  <c r="P902" i="16"/>
  <c r="N902" i="16"/>
  <c r="Q902" i="16" s="1"/>
  <c r="P905" i="16"/>
  <c r="N905" i="16"/>
  <c r="Q905" i="16" s="1"/>
  <c r="P909" i="16"/>
  <c r="N909" i="16"/>
  <c r="Q909" i="16" s="1"/>
  <c r="P913" i="16"/>
  <c r="N913" i="16"/>
  <c r="Q913" i="16" s="1"/>
  <c r="P921" i="16"/>
  <c r="N921" i="16"/>
  <c r="Q921" i="16" s="1"/>
  <c r="P1223" i="16"/>
  <c r="N1223" i="16"/>
  <c r="Q1223" i="16" s="1"/>
  <c r="P1233" i="16"/>
  <c r="N1233" i="16"/>
  <c r="Q1233" i="16" s="1"/>
  <c r="P1337" i="16"/>
  <c r="N1337" i="16"/>
  <c r="Q1337" i="16" s="1"/>
  <c r="P1391" i="16"/>
  <c r="N1391" i="16"/>
  <c r="Q1391" i="16" s="1"/>
  <c r="P1399" i="16"/>
  <c r="N1399" i="16"/>
  <c r="Q1399" i="16" s="1"/>
  <c r="P1415" i="16"/>
  <c r="N1415" i="16"/>
  <c r="Q1415" i="16" s="1"/>
  <c r="P1434" i="16"/>
  <c r="N1434" i="16"/>
  <c r="Q1434" i="16" s="1"/>
  <c r="P1459" i="16"/>
  <c r="N1459" i="16"/>
  <c r="Q1459" i="16" s="1"/>
  <c r="P1467" i="16"/>
  <c r="N1467" i="16"/>
  <c r="Q1467" i="16" s="1"/>
  <c r="P1469" i="16"/>
  <c r="N1469" i="16"/>
  <c r="Q1469" i="16" s="1"/>
  <c r="P1485" i="16"/>
  <c r="N1485" i="16"/>
  <c r="Q1485" i="16" s="1"/>
  <c r="P1489" i="16"/>
  <c r="N1489" i="16"/>
  <c r="Q1489" i="16" s="1"/>
  <c r="P1509" i="16"/>
  <c r="N1509" i="16"/>
  <c r="Q1509" i="16" s="1"/>
  <c r="P1513" i="16"/>
  <c r="N1513" i="16"/>
  <c r="Q1513" i="16" s="1"/>
  <c r="P1517" i="16"/>
  <c r="N1517" i="16"/>
  <c r="Q1517" i="16" s="1"/>
  <c r="P1525" i="16"/>
  <c r="N1525" i="16"/>
  <c r="Q1525" i="16" s="1"/>
  <c r="P1529" i="16"/>
  <c r="N1529" i="16"/>
  <c r="Q1529" i="16" s="1"/>
  <c r="P1533" i="16"/>
  <c r="N1533" i="16"/>
  <c r="Q1533" i="16" s="1"/>
  <c r="P1537" i="16"/>
  <c r="N1537" i="16"/>
  <c r="Q1537" i="16" s="1"/>
  <c r="P1545" i="16"/>
  <c r="N1545" i="16"/>
  <c r="Q1545" i="16" s="1"/>
  <c r="P1553" i="16"/>
  <c r="N1553" i="16"/>
  <c r="Q1553" i="16" s="1"/>
  <c r="P1557" i="16"/>
  <c r="N1557" i="16"/>
  <c r="Q1557" i="16" s="1"/>
  <c r="P1580" i="16"/>
  <c r="N1580" i="16"/>
  <c r="Q1580" i="16" s="1"/>
  <c r="P1584" i="16"/>
  <c r="N1584" i="16"/>
  <c r="Q1584" i="16" s="1"/>
  <c r="P1596" i="16"/>
  <c r="N1596" i="16"/>
  <c r="Q1596" i="16" s="1"/>
  <c r="P1608" i="16"/>
  <c r="N1608" i="16"/>
  <c r="Q1608" i="16" s="1"/>
  <c r="P1616" i="16"/>
  <c r="N1616" i="16"/>
  <c r="Q1616" i="16" s="1"/>
  <c r="P1632" i="16"/>
  <c r="N1632" i="16"/>
  <c r="Q1632" i="16" s="1"/>
  <c r="P1635" i="16"/>
  <c r="N1635" i="16"/>
  <c r="Q1635" i="16" s="1"/>
  <c r="P1707" i="16"/>
  <c r="N1707" i="16"/>
  <c r="Q1707" i="16" s="1"/>
  <c r="P1709" i="16"/>
  <c r="N1709" i="16"/>
  <c r="Q1709" i="16" s="1"/>
  <c r="P1715" i="16"/>
  <c r="N1715" i="16"/>
  <c r="Q1715" i="16" s="1"/>
  <c r="P1726" i="16"/>
  <c r="N1726" i="16"/>
  <c r="Q1726" i="16" s="1"/>
  <c r="P1730" i="16"/>
  <c r="N1730" i="16"/>
  <c r="Q1730" i="16" s="1"/>
  <c r="P1745" i="16"/>
  <c r="N1745" i="16"/>
  <c r="Q1745" i="16" s="1"/>
  <c r="P1781" i="16"/>
  <c r="N1781" i="16"/>
  <c r="Q1781" i="16" s="1"/>
  <c r="P1788" i="16"/>
  <c r="N1788" i="16"/>
  <c r="Q1788" i="16" s="1"/>
  <c r="P1793" i="16"/>
  <c r="N1793" i="16"/>
  <c r="Q1793" i="16" s="1"/>
  <c r="P1797" i="16"/>
  <c r="N1797" i="16"/>
  <c r="Q1797" i="16" s="1"/>
  <c r="P1825" i="16"/>
  <c r="N1825" i="16"/>
  <c r="Q1825" i="16" s="1"/>
  <c r="P1832" i="16"/>
  <c r="N1832" i="16"/>
  <c r="Q1832" i="16" s="1"/>
  <c r="P1855" i="16"/>
  <c r="N1855" i="16"/>
  <c r="Q1855" i="16" s="1"/>
  <c r="P1864" i="16"/>
  <c r="N1864" i="16"/>
  <c r="Q1864" i="16" s="1"/>
  <c r="P1868" i="16"/>
  <c r="N1868" i="16"/>
  <c r="Q1868" i="16" s="1"/>
  <c r="P2006" i="16"/>
  <c r="N2006" i="16"/>
  <c r="Q2006" i="16" s="1"/>
  <c r="P2027" i="16"/>
  <c r="N2027" i="16"/>
  <c r="Q2027" i="16" s="1"/>
  <c r="P2035" i="16"/>
  <c r="N2035" i="16"/>
  <c r="Q2035" i="16" s="1"/>
  <c r="P2039" i="16"/>
  <c r="N2039" i="16"/>
  <c r="Q2039" i="16" s="1"/>
  <c r="P2043" i="16"/>
  <c r="N2043" i="16"/>
  <c r="Q2043" i="16" s="1"/>
  <c r="P2047" i="16"/>
  <c r="N2047" i="16"/>
  <c r="Q2047" i="16" s="1"/>
  <c r="P2050" i="16"/>
  <c r="N2050" i="16"/>
  <c r="Q2050" i="16" s="1"/>
  <c r="P2054" i="16"/>
  <c r="N2054" i="16"/>
  <c r="Q2054" i="16" s="1"/>
  <c r="S619" i="16"/>
  <c r="T619" i="16" s="1"/>
  <c r="AD323" i="16"/>
  <c r="AE323" i="16" s="1"/>
  <c r="AD324" i="16"/>
  <c r="AE324" i="16" s="1"/>
  <c r="AD522" i="16"/>
  <c r="AE522" i="16" s="1"/>
  <c r="AD527" i="16"/>
  <c r="AE527" i="16" s="1"/>
  <c r="AD528" i="16"/>
  <c r="AE528" i="16" s="1"/>
  <c r="T595" i="16"/>
  <c r="P988" i="16"/>
  <c r="P989" i="16"/>
  <c r="P1465" i="16"/>
  <c r="P1724" i="16"/>
  <c r="Q403" i="16"/>
  <c r="AD406" i="16"/>
  <c r="AE406" i="16" s="1"/>
  <c r="AD482" i="16"/>
  <c r="AE482" i="16" s="1"/>
  <c r="Q750" i="16"/>
  <c r="S822" i="16"/>
  <c r="T822" i="16" s="1"/>
  <c r="T1734" i="16"/>
  <c r="T1735" i="16"/>
  <c r="AD164" i="16"/>
  <c r="AE164" i="16" s="1"/>
  <c r="AD357" i="16"/>
  <c r="AE357" i="16" s="1"/>
  <c r="Q132" i="16"/>
  <c r="S615" i="16"/>
  <c r="T615" i="16" s="1"/>
  <c r="Q128" i="16"/>
  <c r="Q739" i="16"/>
  <c r="Q758" i="16"/>
  <c r="Q1755" i="16"/>
  <c r="Q2010" i="16"/>
  <c r="Q386" i="16"/>
  <c r="Q390" i="16"/>
  <c r="Q418" i="16"/>
  <c r="P1208" i="16"/>
  <c r="Q1981" i="16"/>
  <c r="P281" i="16"/>
  <c r="P851" i="16"/>
  <c r="Q708" i="16"/>
  <c r="P937" i="16"/>
  <c r="Q1523" i="16"/>
  <c r="P237" i="16"/>
  <c r="P259" i="16"/>
  <c r="P302" i="16"/>
  <c r="Q363" i="16"/>
  <c r="P429" i="16"/>
  <c r="P726" i="16"/>
  <c r="P735" i="16"/>
  <c r="Q827" i="16"/>
  <c r="Q846" i="16"/>
  <c r="Q855" i="16"/>
  <c r="Q883" i="16"/>
  <c r="P1272" i="16"/>
  <c r="Q1511" i="16"/>
  <c r="P322" i="16"/>
  <c r="P733" i="16"/>
  <c r="P977" i="16"/>
  <c r="P1361" i="16"/>
  <c r="P1383" i="16"/>
  <c r="P1413" i="16"/>
  <c r="P1683" i="16"/>
  <c r="P1690" i="16"/>
  <c r="P2029" i="16"/>
  <c r="P128" i="16"/>
  <c r="P132" i="16"/>
  <c r="Q319" i="16"/>
  <c r="Q455" i="16"/>
  <c r="P555" i="16"/>
  <c r="P768" i="16"/>
  <c r="P1129" i="16"/>
  <c r="P1227" i="16"/>
  <c r="P1418" i="16"/>
  <c r="Q1426" i="16"/>
  <c r="P1412" i="16"/>
  <c r="Q1129" i="16"/>
  <c r="Q534" i="16"/>
  <c r="P534" i="16"/>
  <c r="Q596" i="16"/>
  <c r="P596" i="16"/>
  <c r="Q663" i="16"/>
  <c r="P663" i="16"/>
  <c r="Q753" i="16"/>
  <c r="P753" i="16"/>
  <c r="P774" i="16"/>
  <c r="Q774" i="16"/>
  <c r="Q957" i="16"/>
  <c r="P957" i="16"/>
  <c r="P1332" i="16"/>
  <c r="Q1332" i="16"/>
  <c r="Q1445" i="16"/>
  <c r="P1445" i="16"/>
  <c r="P1746" i="16"/>
  <c r="Q1746" i="16"/>
  <c r="P80" i="16"/>
  <c r="P116" i="16"/>
  <c r="P152" i="16"/>
  <c r="Q152" i="16"/>
  <c r="Q269" i="16"/>
  <c r="P269" i="16"/>
  <c r="Q370" i="16"/>
  <c r="P370" i="16"/>
  <c r="Q628" i="16"/>
  <c r="P628" i="16"/>
  <c r="P686" i="16"/>
  <c r="Q686" i="16"/>
  <c r="P711" i="16"/>
  <c r="Q711" i="16"/>
  <c r="P948" i="16"/>
  <c r="Q948" i="16"/>
  <c r="Q984" i="16"/>
  <c r="P984" i="16"/>
  <c r="P2038" i="16"/>
  <c r="P153" i="16"/>
  <c r="Q153" i="16"/>
  <c r="P489" i="16"/>
  <c r="Q489" i="16"/>
  <c r="P540" i="16"/>
  <c r="P970" i="16"/>
  <c r="Q970" i="16"/>
  <c r="P1022" i="16"/>
  <c r="P1243" i="16"/>
  <c r="Q1243" i="16"/>
  <c r="Q1554" i="16"/>
  <c r="P1554" i="16"/>
  <c r="P109" i="16"/>
  <c r="P141" i="16"/>
  <c r="Q141" i="16"/>
  <c r="P395" i="16"/>
  <c r="Q395" i="16"/>
  <c r="Q644" i="16"/>
  <c r="P644" i="16"/>
  <c r="Q691" i="16"/>
  <c r="P691" i="16"/>
  <c r="P713" i="16"/>
  <c r="Q713" i="16"/>
  <c r="Q741" i="16"/>
  <c r="P741" i="16"/>
  <c r="Q1009" i="16"/>
  <c r="P1009" i="16"/>
  <c r="Q1338" i="16"/>
  <c r="P1338" i="16"/>
  <c r="P1749" i="16"/>
  <c r="Q1749" i="16"/>
  <c r="P2008" i="16"/>
  <c r="Q2008" i="16"/>
  <c r="Q111" i="16"/>
  <c r="Q197" i="16"/>
  <c r="P235" i="16"/>
  <c r="Q314" i="16"/>
  <c r="P425" i="16"/>
  <c r="Q440" i="16"/>
  <c r="P636" i="16"/>
  <c r="Q707" i="16"/>
  <c r="P715" i="16"/>
  <c r="Q719" i="16"/>
  <c r="P743" i="16"/>
  <c r="P794" i="16"/>
  <c r="Q805" i="16"/>
  <c r="Q830" i="16"/>
  <c r="Q831" i="16"/>
  <c r="Q833" i="16"/>
  <c r="Q842" i="16"/>
  <c r="P861" i="16"/>
  <c r="P868" i="16"/>
  <c r="P891" i="16"/>
  <c r="P1224" i="16"/>
  <c r="Q1247" i="16"/>
  <c r="Q1248" i="16"/>
  <c r="P1264" i="16"/>
  <c r="P1400" i="16"/>
  <c r="P1506" i="16"/>
  <c r="P1630" i="16"/>
  <c r="P1643" i="16"/>
  <c r="Q2040" i="16"/>
  <c r="Q1491" i="16"/>
  <c r="Q1690" i="16"/>
  <c r="Q1872" i="16"/>
  <c r="P111" i="16"/>
  <c r="P197" i="16"/>
  <c r="Q230" i="16"/>
  <c r="Q330" i="16"/>
  <c r="P334" i="16"/>
  <c r="Q380" i="16"/>
  <c r="Q456" i="16"/>
  <c r="Q511" i="16"/>
  <c r="Q605" i="16"/>
  <c r="Q908" i="16"/>
  <c r="Q911" i="16"/>
  <c r="Q1011" i="16"/>
  <c r="T1156" i="16"/>
  <c r="Q1630" i="16"/>
  <c r="Q1643" i="16"/>
  <c r="Q1852" i="16"/>
  <c r="Q916" i="16"/>
  <c r="Q885" i="16"/>
  <c r="Q250" i="16"/>
  <c r="P250" i="16"/>
  <c r="P441" i="16"/>
  <c r="Q441" i="16"/>
  <c r="Q470" i="16"/>
  <c r="P470" i="16"/>
  <c r="P860" i="16"/>
  <c r="Q860" i="16"/>
  <c r="P12" i="16"/>
  <c r="Q12" i="16"/>
  <c r="Q23" i="16"/>
  <c r="P23" i="16"/>
  <c r="Q53" i="16"/>
  <c r="P53" i="16"/>
  <c r="P89" i="16"/>
  <c r="Q89" i="16"/>
  <c r="Q227" i="16"/>
  <c r="P227" i="16"/>
  <c r="P240" i="16"/>
  <c r="Q240" i="16"/>
  <c r="Q286" i="16"/>
  <c r="P286" i="16"/>
  <c r="P698" i="16"/>
  <c r="Q698" i="16"/>
  <c r="Q705" i="16"/>
  <c r="P705" i="16"/>
  <c r="Q1890" i="16"/>
  <c r="P1890" i="16"/>
  <c r="Q2060" i="16"/>
  <c r="Q51" i="16"/>
  <c r="P51" i="16"/>
  <c r="Q170" i="16"/>
  <c r="P170" i="16"/>
  <c r="Q284" i="16"/>
  <c r="P284" i="16"/>
  <c r="P305" i="16"/>
  <c r="P311" i="16"/>
  <c r="Q311" i="16"/>
  <c r="Q364" i="16"/>
  <c r="P364" i="16"/>
  <c r="Q423" i="16"/>
  <c r="P423" i="16"/>
  <c r="P439" i="16"/>
  <c r="Q439" i="16"/>
  <c r="Q447" i="16"/>
  <c r="P447" i="16"/>
  <c r="Q469" i="16"/>
  <c r="P469" i="16"/>
  <c r="P483" i="16"/>
  <c r="Q483" i="16"/>
  <c r="P611" i="16"/>
  <c r="Q611" i="16"/>
  <c r="Q770" i="16"/>
  <c r="P770" i="16"/>
  <c r="P1357" i="16"/>
  <c r="Q1357" i="16"/>
  <c r="P1570" i="16"/>
  <c r="Q1570" i="16"/>
  <c r="P1601" i="16"/>
  <c r="Q1601" i="16"/>
  <c r="Q1618" i="16"/>
  <c r="P1618" i="16"/>
  <c r="P1650" i="16"/>
  <c r="Q1650" i="16"/>
  <c r="P1712" i="16"/>
  <c r="Q1712" i="16"/>
  <c r="P1862" i="16"/>
  <c r="Q1862" i="16"/>
  <c r="P14" i="16"/>
  <c r="Q14" i="16"/>
  <c r="Q118" i="16"/>
  <c r="P118" i="16"/>
  <c r="P165" i="16"/>
  <c r="Q165" i="16"/>
  <c r="P277" i="16"/>
  <c r="Q277" i="16"/>
  <c r="Q304" i="16"/>
  <c r="P304" i="16"/>
  <c r="P361" i="16"/>
  <c r="P626" i="16"/>
  <c r="Q626" i="16"/>
  <c r="Q660" i="16"/>
  <c r="P660" i="16"/>
  <c r="Q709" i="16"/>
  <c r="P709" i="16"/>
  <c r="Q1316" i="16"/>
  <c r="P1316" i="16"/>
  <c r="P1321" i="16"/>
  <c r="Q1321" i="16"/>
  <c r="P1451" i="16"/>
  <c r="Q1451" i="16"/>
  <c r="P13" i="16"/>
  <c r="Q13" i="16"/>
  <c r="P63" i="16"/>
  <c r="Q63" i="16"/>
  <c r="Q242" i="16"/>
  <c r="P242" i="16"/>
  <c r="Q255" i="16"/>
  <c r="P255" i="16"/>
  <c r="P288" i="16"/>
  <c r="Q288" i="16"/>
  <c r="P298" i="16"/>
  <c r="Q298" i="16"/>
  <c r="Q351" i="16"/>
  <c r="P351" i="16"/>
  <c r="P373" i="16"/>
  <c r="Q373" i="16"/>
  <c r="P442" i="16"/>
  <c r="Q442" i="16"/>
  <c r="Q590" i="16"/>
  <c r="P590" i="16"/>
  <c r="Q724" i="16"/>
  <c r="P724" i="16"/>
  <c r="P1044" i="16"/>
  <c r="Q1044" i="16"/>
  <c r="P1110" i="16"/>
  <c r="Q1110" i="16"/>
  <c r="P542" i="16"/>
  <c r="Q542" i="16"/>
  <c r="P763" i="16"/>
  <c r="Q763" i="16"/>
  <c r="Q919" i="16"/>
  <c r="P919" i="16"/>
  <c r="P1159" i="16"/>
  <c r="Q1159" i="16"/>
  <c r="P1283" i="16"/>
  <c r="Q1283" i="16"/>
  <c r="P1294" i="16"/>
  <c r="Q1294" i="16"/>
  <c r="P1463" i="16"/>
  <c r="Q1463" i="16"/>
  <c r="P1600" i="16"/>
  <c r="Q1600" i="16"/>
  <c r="P1871" i="16"/>
  <c r="Q1871" i="16"/>
  <c r="Q265" i="16"/>
  <c r="P265" i="16"/>
  <c r="Q326" i="16"/>
  <c r="P326" i="16"/>
  <c r="Q327" i="16"/>
  <c r="Q365" i="16"/>
  <c r="Q372" i="16"/>
  <c r="P372" i="16"/>
  <c r="Q376" i="16"/>
  <c r="Q478" i="16"/>
  <c r="P478" i="16"/>
  <c r="Q557" i="16"/>
  <c r="P557" i="16"/>
  <c r="P609" i="16"/>
  <c r="Q609" i="16"/>
  <c r="Q649" i="16"/>
  <c r="P649" i="16"/>
  <c r="P658" i="16"/>
  <c r="Q658" i="16"/>
  <c r="P694" i="16"/>
  <c r="Q694" i="16"/>
  <c r="Q703" i="16"/>
  <c r="P703" i="16"/>
  <c r="P722" i="16"/>
  <c r="Q722" i="16"/>
  <c r="P800" i="16"/>
  <c r="Q800" i="16"/>
  <c r="P1625" i="16"/>
  <c r="Q1625" i="16"/>
  <c r="P1652" i="16"/>
  <c r="Q1652" i="16"/>
  <c r="Q1806" i="16"/>
  <c r="P1806" i="16"/>
  <c r="P1967" i="16"/>
  <c r="Q1967" i="16"/>
  <c r="P1982" i="16"/>
  <c r="Q1982" i="16"/>
  <c r="Q2044" i="16"/>
  <c r="P2044" i="16"/>
  <c r="Q80" i="16"/>
  <c r="Q116" i="16"/>
  <c r="P296" i="16"/>
  <c r="Q296" i="16"/>
  <c r="Q411" i="16"/>
  <c r="Q477" i="16"/>
  <c r="P477" i="16"/>
  <c r="Q540" i="16"/>
  <c r="Q570" i="16"/>
  <c r="P570" i="16"/>
  <c r="P579" i="16"/>
  <c r="Q579" i="16"/>
  <c r="P615" i="16"/>
  <c r="Q622" i="16"/>
  <c r="P622" i="16"/>
  <c r="P677" i="16"/>
  <c r="Q809" i="16"/>
  <c r="Q834" i="16"/>
  <c r="Q838" i="16"/>
  <c r="Q856" i="16"/>
  <c r="P1011" i="16"/>
  <c r="P1021" i="16"/>
  <c r="P1050" i="16"/>
  <c r="Q1050" i="16"/>
  <c r="P1111" i="16"/>
  <c r="Q1111" i="16"/>
  <c r="P1130" i="16"/>
  <c r="Q1130" i="16"/>
  <c r="P1132" i="16"/>
  <c r="P1139" i="16"/>
  <c r="P1145" i="16"/>
  <c r="P1204" i="16"/>
  <c r="P1205" i="16"/>
  <c r="P1213" i="16"/>
  <c r="Q1213" i="16"/>
  <c r="P1218" i="16"/>
  <c r="Q1218" i="16"/>
  <c r="P1278" i="16"/>
  <c r="Q1278" i="16"/>
  <c r="P1325" i="16"/>
  <c r="P1328" i="16"/>
  <c r="Q1328" i="16"/>
  <c r="P1359" i="16"/>
  <c r="Q1359" i="16"/>
  <c r="P1379" i="16"/>
  <c r="P1380" i="16"/>
  <c r="P1395" i="16"/>
  <c r="Q1395" i="16"/>
  <c r="P1411" i="16"/>
  <c r="Q1411" i="16"/>
  <c r="P1483" i="16"/>
  <c r="Q1483" i="16"/>
  <c r="P1498" i="16"/>
  <c r="P1505" i="16"/>
  <c r="Q1505" i="16"/>
  <c r="Q1519" i="16"/>
  <c r="P1548" i="16"/>
  <c r="Q1548" i="16"/>
  <c r="P1566" i="16"/>
  <c r="Q1566" i="16"/>
  <c r="P1571" i="16"/>
  <c r="Q1571" i="16"/>
  <c r="P1624" i="16"/>
  <c r="Q1624" i="16"/>
  <c r="P1651" i="16"/>
  <c r="Q1651" i="16"/>
  <c r="P1716" i="16"/>
  <c r="P1805" i="16"/>
  <c r="Q1805" i="16"/>
  <c r="P1880" i="16"/>
  <c r="Q2041" i="16"/>
  <c r="P2041" i="16"/>
  <c r="Q342" i="16"/>
  <c r="Q343" i="16"/>
  <c r="Q414" i="16"/>
  <c r="Q457" i="16"/>
  <c r="Q812" i="16"/>
  <c r="P1030" i="16"/>
  <c r="Q1030" i="16"/>
  <c r="P1131" i="16"/>
  <c r="Q1131" i="16"/>
  <c r="P1188" i="16"/>
  <c r="Q1188" i="16"/>
  <c r="P1378" i="16"/>
  <c r="Q1378" i="16"/>
  <c r="P1398" i="16"/>
  <c r="Q1398" i="16"/>
  <c r="P1497" i="16"/>
  <c r="Q1497" i="16"/>
  <c r="P1549" i="16"/>
  <c r="Q1549" i="16"/>
  <c r="P1804" i="16"/>
  <c r="Q1804" i="16"/>
  <c r="P1830" i="16"/>
  <c r="Q1830" i="16"/>
  <c r="P1960" i="16"/>
  <c r="Q1960" i="16"/>
  <c r="P1968" i="16"/>
  <c r="Q1968" i="16"/>
  <c r="P1979" i="16"/>
  <c r="Q1979" i="16"/>
  <c r="P1983" i="16"/>
  <c r="Q1983" i="16"/>
  <c r="Q1147" i="16"/>
  <c r="Q1216" i="16"/>
  <c r="P1333" i="16"/>
  <c r="P1334" i="16"/>
  <c r="Q1361" i="16"/>
  <c r="Q1429" i="16"/>
  <c r="Q1430" i="16"/>
  <c r="Q1433" i="16"/>
  <c r="P1453" i="16"/>
  <c r="P1454" i="16"/>
  <c r="P1455" i="16"/>
  <c r="P1471" i="16"/>
  <c r="Q1499" i="16"/>
  <c r="P1510" i="16"/>
  <c r="P1594" i="16"/>
  <c r="P1606" i="16"/>
  <c r="P1633" i="16"/>
  <c r="P1699" i="16"/>
  <c r="Q1848" i="16"/>
  <c r="Q1853" i="16"/>
  <c r="P1953" i="16"/>
  <c r="P1977" i="16"/>
  <c r="P2014" i="16"/>
  <c r="Q2032" i="16"/>
  <c r="Q2051" i="16"/>
  <c r="Q1016" i="16"/>
  <c r="Q1039" i="16"/>
  <c r="P1162" i="16"/>
  <c r="P1175" i="16"/>
  <c r="P1190" i="16"/>
  <c r="P1195" i="16"/>
  <c r="Q1208" i="16"/>
  <c r="P1216" i="16"/>
  <c r="P1248" i="16"/>
  <c r="P1280" i="16"/>
  <c r="Q1290" i="16"/>
  <c r="Q1453" i="16"/>
  <c r="Q1471" i="16"/>
  <c r="P1490" i="16"/>
  <c r="Q1507" i="16"/>
  <c r="P1518" i="16"/>
  <c r="P1530" i="16"/>
  <c r="P1582" i="16"/>
  <c r="Q1606" i="16"/>
  <c r="T1722" i="16"/>
  <c r="P1766" i="16"/>
  <c r="P1791" i="16"/>
  <c r="Q1866" i="16"/>
  <c r="Q1879" i="16"/>
  <c r="P1882" i="16"/>
  <c r="P1956" i="16"/>
  <c r="P1999" i="16"/>
  <c r="Q2014" i="16"/>
  <c r="P2018" i="16"/>
  <c r="Q2048" i="16"/>
  <c r="P59" i="16"/>
  <c r="Q59" i="16"/>
  <c r="P180" i="16"/>
  <c r="Q180" i="16"/>
  <c r="Q209" i="16"/>
  <c r="P209" i="16"/>
  <c r="Q354" i="16"/>
  <c r="P354" i="16"/>
  <c r="Q383" i="16"/>
  <c r="P383" i="16"/>
  <c r="P412" i="16"/>
  <c r="Q412" i="16"/>
  <c r="Q498" i="16"/>
  <c r="P498" i="16"/>
  <c r="P1475" i="16"/>
  <c r="Q1475" i="16"/>
  <c r="Q1671" i="16"/>
  <c r="P1671" i="16"/>
  <c r="P1679" i="16"/>
  <c r="Q1679" i="16"/>
  <c r="Q1693" i="16"/>
  <c r="P1693" i="16"/>
  <c r="P1704" i="16"/>
  <c r="Q1704" i="16"/>
  <c r="P1737" i="16"/>
  <c r="Q1737" i="16"/>
  <c r="P1752" i="16"/>
  <c r="Q1752" i="16"/>
  <c r="P1860" i="16"/>
  <c r="Q1860" i="16"/>
  <c r="P1874" i="16"/>
  <c r="Q1874" i="16"/>
  <c r="Q1893" i="16"/>
  <c r="P1893" i="16"/>
  <c r="P2015" i="16"/>
  <c r="Q2015" i="16"/>
  <c r="Q2028" i="16"/>
  <c r="P2028" i="16"/>
  <c r="Q2056" i="16"/>
  <c r="P2056" i="16"/>
  <c r="P29" i="16"/>
  <c r="Q29" i="16"/>
  <c r="P61" i="16"/>
  <c r="Q61" i="16"/>
  <c r="P101" i="16"/>
  <c r="Q101" i="16"/>
  <c r="Q145" i="16"/>
  <c r="P145" i="16"/>
  <c r="P179" i="16"/>
  <c r="Q179" i="16"/>
  <c r="P219" i="16"/>
  <c r="Q219" i="16"/>
  <c r="P292" i="16"/>
  <c r="Q292" i="16"/>
  <c r="P316" i="16"/>
  <c r="Q336" i="16"/>
  <c r="P336" i="16"/>
  <c r="Q348" i="16"/>
  <c r="P348" i="16"/>
  <c r="P382" i="16"/>
  <c r="Q382" i="16"/>
  <c r="P410" i="16"/>
  <c r="Q410" i="16"/>
  <c r="P427" i="16"/>
  <c r="P435" i="16"/>
  <c r="Q435" i="16"/>
  <c r="P496" i="16"/>
  <c r="Q496" i="16"/>
  <c r="Q551" i="16"/>
  <c r="P551" i="16"/>
  <c r="Q598" i="16"/>
  <c r="P598" i="16"/>
  <c r="Q607" i="16"/>
  <c r="P607" i="16"/>
  <c r="Q617" i="16"/>
  <c r="P617" i="16"/>
  <c r="P879" i="16"/>
  <c r="Q879" i="16"/>
  <c r="P884" i="16"/>
  <c r="Q884" i="16"/>
  <c r="Q1108" i="16"/>
  <c r="P1108" i="16"/>
  <c r="Q1138" i="16"/>
  <c r="P1138" i="16"/>
  <c r="P1167" i="16"/>
  <c r="Q1167" i="16"/>
  <c r="Q39" i="16"/>
  <c r="P39" i="16"/>
  <c r="Q49" i="16"/>
  <c r="P49" i="16"/>
  <c r="P102" i="16"/>
  <c r="Q102" i="16"/>
  <c r="Q136" i="16"/>
  <c r="Q150" i="16"/>
  <c r="P150" i="16"/>
  <c r="Q195" i="16"/>
  <c r="P195" i="16"/>
  <c r="Q436" i="16"/>
  <c r="P436" i="16"/>
  <c r="Q565" i="16"/>
  <c r="P565" i="16"/>
  <c r="Q638" i="16"/>
  <c r="P638" i="16"/>
  <c r="P1402" i="16"/>
  <c r="Q1402" i="16"/>
  <c r="P1406" i="16"/>
  <c r="Q1406" i="16"/>
  <c r="P1481" i="16"/>
  <c r="Q1481" i="16"/>
  <c r="P28" i="16"/>
  <c r="Q28" i="16"/>
  <c r="P60" i="16"/>
  <c r="Q60" i="16"/>
  <c r="Q67" i="16"/>
  <c r="P67" i="16"/>
  <c r="Q100" i="16"/>
  <c r="P100" i="16"/>
  <c r="P178" i="16"/>
  <c r="Q178" i="16"/>
  <c r="Q188" i="16"/>
  <c r="P188" i="16"/>
  <c r="P339" i="16"/>
  <c r="Q339" i="16"/>
  <c r="Q347" i="16"/>
  <c r="P347" i="16"/>
  <c r="P432" i="16"/>
  <c r="Q432" i="16"/>
  <c r="Q433" i="16"/>
  <c r="P433" i="16"/>
  <c r="P445" i="16"/>
  <c r="Q445" i="16"/>
  <c r="Q684" i="16"/>
  <c r="P684" i="16"/>
  <c r="Q788" i="16"/>
  <c r="P788" i="16"/>
  <c r="Q817" i="16"/>
  <c r="P817" i="16"/>
  <c r="Q821" i="16"/>
  <c r="P821" i="16"/>
  <c r="P1291" i="16"/>
  <c r="Q1291" i="16"/>
  <c r="P1343" i="16"/>
  <c r="Q1343" i="16"/>
  <c r="P1621" i="16"/>
  <c r="Q1621" i="16"/>
  <c r="P137" i="16"/>
  <c r="Q137" i="16"/>
  <c r="P290" i="16"/>
  <c r="Q290" i="16"/>
  <c r="P318" i="16"/>
  <c r="Q318" i="16"/>
  <c r="Q355" i="16"/>
  <c r="P355" i="16"/>
  <c r="P385" i="16"/>
  <c r="Q431" i="16"/>
  <c r="P431" i="16"/>
  <c r="Q443" i="16"/>
  <c r="P443" i="16"/>
  <c r="P459" i="16"/>
  <c r="Q459" i="16"/>
  <c r="Q524" i="16"/>
  <c r="P524" i="16"/>
  <c r="Q526" i="16"/>
  <c r="P526" i="16"/>
  <c r="Q575" i="16"/>
  <c r="P575" i="16"/>
  <c r="Q651" i="16"/>
  <c r="P651" i="16"/>
  <c r="Q887" i="16"/>
  <c r="P887" i="16"/>
  <c r="Q903" i="16"/>
  <c r="P903" i="16"/>
  <c r="P952" i="16"/>
  <c r="Q952" i="16"/>
  <c r="Q1015" i="16"/>
  <c r="P1015" i="16"/>
  <c r="P1341" i="16"/>
  <c r="Q1341" i="16"/>
  <c r="Q1407" i="16"/>
  <c r="P1407" i="16"/>
  <c r="P1423" i="16"/>
  <c r="Q1423" i="16"/>
  <c r="P1494" i="16"/>
  <c r="P122" i="16"/>
  <c r="P193" i="16"/>
  <c r="P389" i="16"/>
  <c r="Q389" i="16"/>
  <c r="P413" i="16"/>
  <c r="Q413" i="16"/>
  <c r="P549" i="16"/>
  <c r="Q549" i="16"/>
  <c r="P559" i="16"/>
  <c r="Q559" i="16"/>
  <c r="P573" i="16"/>
  <c r="Q573" i="16"/>
  <c r="Q581" i="16"/>
  <c r="P581" i="16"/>
  <c r="Q588" i="16"/>
  <c r="P588" i="16"/>
  <c r="Q603" i="16"/>
  <c r="P603" i="16"/>
  <c r="Q689" i="16"/>
  <c r="P689" i="16"/>
  <c r="Q751" i="16"/>
  <c r="P751" i="16"/>
  <c r="Q759" i="16"/>
  <c r="P759" i="16"/>
  <c r="Q781" i="16"/>
  <c r="P781" i="16"/>
  <c r="Q825" i="16"/>
  <c r="P825" i="16"/>
  <c r="Q941" i="16"/>
  <c r="P941" i="16"/>
  <c r="Q968" i="16"/>
  <c r="P968" i="16"/>
  <c r="P1013" i="16"/>
  <c r="Q1013" i="16"/>
  <c r="Q1028" i="16"/>
  <c r="P1028" i="16"/>
  <c r="P1137" i="16"/>
  <c r="Q1137" i="16"/>
  <c r="P1165" i="16"/>
  <c r="Q1165" i="16"/>
  <c r="P1221" i="16"/>
  <c r="Q1256" i="16"/>
  <c r="P1256" i="16"/>
  <c r="Q1276" i="16"/>
  <c r="P1276" i="16"/>
  <c r="Q1352" i="16"/>
  <c r="P1352" i="16"/>
  <c r="Q1365" i="16"/>
  <c r="P1365" i="16"/>
  <c r="Q1375" i="16"/>
  <c r="P1375" i="16"/>
  <c r="Q1389" i="16"/>
  <c r="P1389" i="16"/>
  <c r="Q1396" i="16"/>
  <c r="P1396" i="16"/>
  <c r="Q1487" i="16"/>
  <c r="P1487" i="16"/>
  <c r="P1493" i="16"/>
  <c r="Q1493" i="16"/>
  <c r="Q1522" i="16"/>
  <c r="P1522" i="16"/>
  <c r="P1620" i="16"/>
  <c r="Q1620" i="16"/>
  <c r="P1640" i="16"/>
  <c r="Q1640" i="16"/>
  <c r="Q1661" i="16"/>
  <c r="P1661" i="16"/>
  <c r="P1703" i="16"/>
  <c r="Q1703" i="16"/>
  <c r="P1733" i="16"/>
  <c r="Q1733" i="16"/>
  <c r="P1742" i="16"/>
  <c r="Q1742" i="16"/>
  <c r="Q1786" i="16"/>
  <c r="P1786" i="16"/>
  <c r="P1815" i="16"/>
  <c r="Q1815" i="16"/>
  <c r="P1847" i="16"/>
  <c r="Q1847" i="16"/>
  <c r="P1991" i="16"/>
  <c r="Q1991" i="16"/>
  <c r="P2005" i="16"/>
  <c r="Q2005" i="16"/>
  <c r="Q2023" i="16"/>
  <c r="P2023" i="16"/>
  <c r="P2049" i="16"/>
  <c r="Q2049" i="16"/>
  <c r="Q2062" i="16"/>
  <c r="P2062" i="16"/>
  <c r="Q268" i="16"/>
  <c r="Q280" i="16"/>
  <c r="Q281" i="16"/>
  <c r="Q301" i="16"/>
  <c r="Q302" i="16"/>
  <c r="Q329" i="16"/>
  <c r="Q396" i="16"/>
  <c r="P405" i="16"/>
  <c r="Q405" i="16"/>
  <c r="Q428" i="16"/>
  <c r="Q464" i="16"/>
  <c r="Q571" i="16"/>
  <c r="P571" i="16"/>
  <c r="Q578" i="16"/>
  <c r="P578" i="16"/>
  <c r="Q642" i="16"/>
  <c r="Q765" i="16"/>
  <c r="P765" i="16"/>
  <c r="Q780" i="16"/>
  <c r="P780" i="16"/>
  <c r="Q796" i="16"/>
  <c r="P796" i="16"/>
  <c r="P810" i="16"/>
  <c r="Q810" i="16"/>
  <c r="Q823" i="16"/>
  <c r="P823" i="16"/>
  <c r="Q845" i="16"/>
  <c r="Q848" i="16"/>
  <c r="Q896" i="16"/>
  <c r="Q900" i="16"/>
  <c r="P900" i="16"/>
  <c r="Q924" i="16"/>
  <c r="P924" i="16"/>
  <c r="P967" i="16"/>
  <c r="Q967" i="16"/>
  <c r="Q1017" i="16"/>
  <c r="P1017" i="16"/>
  <c r="P1026" i="16"/>
  <c r="Q1026" i="16"/>
  <c r="Q1113" i="16"/>
  <c r="P1113" i="16"/>
  <c r="Q1154" i="16"/>
  <c r="P1154" i="16"/>
  <c r="P1198" i="16"/>
  <c r="Q1220" i="16"/>
  <c r="P1220" i="16"/>
  <c r="Q1231" i="16"/>
  <c r="P1231" i="16"/>
  <c r="P1286" i="16"/>
  <c r="Q1286" i="16"/>
  <c r="Q1473" i="16"/>
  <c r="P1473" i="16"/>
  <c r="Q109" i="16"/>
  <c r="Q122" i="16"/>
  <c r="Q193" i="16"/>
  <c r="Q235" i="16"/>
  <c r="Q241" i="16"/>
  <c r="Q249" i="16"/>
  <c r="Q289" i="16"/>
  <c r="T305" i="16"/>
  <c r="P314" i="16"/>
  <c r="Q322" i="16"/>
  <c r="Q346" i="16"/>
  <c r="Q371" i="16"/>
  <c r="P452" i="16"/>
  <c r="P485" i="16"/>
  <c r="Q485" i="16"/>
  <c r="P499" i="16"/>
  <c r="Q499" i="16"/>
  <c r="Q583" i="16"/>
  <c r="P583" i="16"/>
  <c r="Q630" i="16"/>
  <c r="P630" i="16"/>
  <c r="Q654" i="16"/>
  <c r="P654" i="16"/>
  <c r="Q720" i="16"/>
  <c r="P720" i="16"/>
  <c r="P728" i="16"/>
  <c r="Q731" i="16"/>
  <c r="P731" i="16"/>
  <c r="Q747" i="16"/>
  <c r="P747" i="16"/>
  <c r="Q761" i="16"/>
  <c r="P761" i="16"/>
  <c r="Q778" i="16"/>
  <c r="P778" i="16"/>
  <c r="Q783" i="16"/>
  <c r="P783" i="16"/>
  <c r="Q880" i="16"/>
  <c r="P880" i="16"/>
  <c r="Q888" i="16"/>
  <c r="P888" i="16"/>
  <c r="Q907" i="16"/>
  <c r="Q912" i="16"/>
  <c r="Q953" i="16"/>
  <c r="P953" i="16"/>
  <c r="Q971" i="16"/>
  <c r="P971" i="16"/>
  <c r="Q980" i="16"/>
  <c r="P980" i="16"/>
  <c r="Q1112" i="16"/>
  <c r="P1112" i="16"/>
  <c r="Q1175" i="16"/>
  <c r="Q1182" i="16"/>
  <c r="P1182" i="16"/>
  <c r="Q1211" i="16"/>
  <c r="P1211" i="16"/>
  <c r="Q424" i="16"/>
  <c r="Q450" i="16"/>
  <c r="Q480" i="16"/>
  <c r="Q497" i="16"/>
  <c r="Q500" i="16"/>
  <c r="Q501" i="16"/>
  <c r="Q508" i="16"/>
  <c r="Q521" i="16"/>
  <c r="Q555" i="16"/>
  <c r="Q563" i="16"/>
  <c r="Q595" i="16"/>
  <c r="Q636" i="16"/>
  <c r="Q714" i="16"/>
  <c r="Q715" i="16"/>
  <c r="Q790" i="16"/>
  <c r="Q794" i="16"/>
  <c r="Q822" i="16"/>
  <c r="Q837" i="16"/>
  <c r="Q859" i="16"/>
  <c r="Q899" i="16"/>
  <c r="Q915" i="16"/>
  <c r="Q1002" i="16"/>
  <c r="Q1012" i="16"/>
  <c r="P1024" i="16"/>
  <c r="Q1024" i="16"/>
  <c r="P1042" i="16"/>
  <c r="Q1042" i="16"/>
  <c r="P1141" i="16"/>
  <c r="Q1141" i="16"/>
  <c r="Q1206" i="16"/>
  <c r="P1206" i="16"/>
  <c r="Q1240" i="16"/>
  <c r="P1240" i="16"/>
  <c r="Q1252" i="16"/>
  <c r="P1252" i="16"/>
  <c r="Q1274" i="16"/>
  <c r="P1274" i="16"/>
  <c r="P1330" i="16"/>
  <c r="Q1351" i="16"/>
  <c r="P1351" i="16"/>
  <c r="Q1388" i="16"/>
  <c r="P1388" i="16"/>
  <c r="Q1393" i="16"/>
  <c r="P1393" i="16"/>
  <c r="Q1404" i="16"/>
  <c r="P1404" i="16"/>
  <c r="P1452" i="16"/>
  <c r="Q1457" i="16"/>
  <c r="P1457" i="16"/>
  <c r="Q1479" i="16"/>
  <c r="P1479" i="16"/>
  <c r="P1589" i="16"/>
  <c r="Q1589" i="16"/>
  <c r="Q517" i="16"/>
  <c r="Q553" i="16"/>
  <c r="Q619" i="16"/>
  <c r="Q635" i="16"/>
  <c r="Q700" i="16"/>
  <c r="Q701" i="16"/>
  <c r="Q743" i="16"/>
  <c r="Q744" i="16"/>
  <c r="Q768" i="16"/>
  <c r="Q841" i="16"/>
  <c r="Q988" i="16"/>
  <c r="Q989" i="16"/>
  <c r="P1168" i="16"/>
  <c r="Q1168" i="16"/>
  <c r="Q1229" i="16"/>
  <c r="P1229" i="16"/>
  <c r="Q1235" i="16"/>
  <c r="P1235" i="16"/>
  <c r="Q1329" i="16"/>
  <c r="P1329" i="16"/>
  <c r="P1387" i="16"/>
  <c r="Q1387" i="16"/>
  <c r="Q1392" i="16"/>
  <c r="P1392" i="16"/>
  <c r="Q1403" i="16"/>
  <c r="P1403" i="16"/>
  <c r="Q1408" i="16"/>
  <c r="P1408" i="16"/>
  <c r="Q1424" i="16"/>
  <c r="P1424" i="16"/>
  <c r="Q1439" i="16"/>
  <c r="P1439" i="16"/>
  <c r="Q1461" i="16"/>
  <c r="P1461" i="16"/>
  <c r="P1477" i="16"/>
  <c r="Q1477" i="16"/>
  <c r="Q1546" i="16"/>
  <c r="P1546" i="16"/>
  <c r="P1588" i="16"/>
  <c r="Q1588" i="16"/>
  <c r="Q1021" i="16"/>
  <c r="Q1035" i="16"/>
  <c r="Q1132" i="16"/>
  <c r="Q1162" i="16"/>
  <c r="Q1190" i="16"/>
  <c r="Q1195" i="16"/>
  <c r="Q1227" i="16"/>
  <c r="Q1264" i="16"/>
  <c r="Q1272" i="16"/>
  <c r="Q1502" i="16"/>
  <c r="P1502" i="16"/>
  <c r="P1521" i="16"/>
  <c r="Q1521" i="16"/>
  <c r="Q1526" i="16"/>
  <c r="P1526" i="16"/>
  <c r="Q1542" i="16"/>
  <c r="P1542" i="16"/>
  <c r="Q1598" i="16"/>
  <c r="P1598" i="16"/>
  <c r="Q1614" i="16"/>
  <c r="P1614" i="16"/>
  <c r="P1668" i="16"/>
  <c r="Q1668" i="16"/>
  <c r="P1732" i="16"/>
  <c r="Q1732" i="16"/>
  <c r="P1741" i="16"/>
  <c r="Q1741" i="16"/>
  <c r="Q1778" i="16"/>
  <c r="P1778" i="16"/>
  <c r="Q1802" i="16"/>
  <c r="P1802" i="16"/>
  <c r="P1814" i="16"/>
  <c r="Q1814" i="16"/>
  <c r="P1859" i="16"/>
  <c r="Q1859" i="16"/>
  <c r="P1876" i="16"/>
  <c r="Q1876" i="16"/>
  <c r="P2009" i="16"/>
  <c r="Q2009" i="16"/>
  <c r="Q1183" i="16"/>
  <c r="Q1334" i="16"/>
  <c r="P1501" i="16"/>
  <c r="Q1501" i="16"/>
  <c r="Q1514" i="16"/>
  <c r="P1514" i="16"/>
  <c r="Q1515" i="16"/>
  <c r="P1574" i="16"/>
  <c r="Q1574" i="16"/>
  <c r="P1642" i="16"/>
  <c r="Q1642" i="16"/>
  <c r="P1645" i="16"/>
  <c r="Q1645" i="16"/>
  <c r="P1656" i="16"/>
  <c r="Q1656" i="16"/>
  <c r="P1731" i="16"/>
  <c r="Q1731" i="16"/>
  <c r="P1738" i="16"/>
  <c r="Q1738" i="16"/>
  <c r="P1753" i="16"/>
  <c r="Q1753" i="16"/>
  <c r="P1762" i="16"/>
  <c r="P1813" i="16"/>
  <c r="Q1813" i="16"/>
  <c r="P1823" i="16"/>
  <c r="Q1823" i="16"/>
  <c r="Q1977" i="16"/>
  <c r="P1997" i="16"/>
  <c r="Q1997" i="16"/>
  <c r="Q2058" i="16"/>
  <c r="P2058" i="16"/>
  <c r="P2019" i="16"/>
  <c r="Q1495" i="16"/>
  <c r="Q1503" i="16"/>
  <c r="T1646" i="16"/>
  <c r="Q1594" i="16"/>
  <c r="T1716" i="16"/>
  <c r="Q1724" i="16"/>
  <c r="P1811" i="16"/>
  <c r="P1872" i="16"/>
  <c r="Q1887" i="16"/>
  <c r="Q1957" i="16"/>
  <c r="P1964" i="16"/>
  <c r="P1995" i="16"/>
  <c r="P2010" i="16"/>
  <c r="P2045" i="16"/>
  <c r="P826" i="16"/>
  <c r="Q826" i="16"/>
  <c r="Q1152" i="16"/>
  <c r="P1152" i="16"/>
  <c r="Q1568" i="16"/>
  <c r="P1568" i="16"/>
  <c r="Q1578" i="16"/>
  <c r="P1578" i="16"/>
  <c r="Q337" i="16"/>
  <c r="Q358" i="16"/>
  <c r="P493" i="16"/>
  <c r="Q493" i="16"/>
  <c r="P495" i="16"/>
  <c r="Q495" i="16"/>
  <c r="Q514" i="16"/>
  <c r="P514" i="16"/>
  <c r="Q775" i="16"/>
  <c r="P775" i="16"/>
  <c r="Q784" i="16"/>
  <c r="P784" i="16"/>
  <c r="P792" i="16"/>
  <c r="Q792" i="16"/>
  <c r="P803" i="16"/>
  <c r="Q803" i="16"/>
  <c r="Q818" i="16"/>
  <c r="P818" i="16"/>
  <c r="P875" i="16"/>
  <c r="Q875" i="16"/>
  <c r="Q895" i="16"/>
  <c r="P895" i="16"/>
  <c r="P918" i="16"/>
  <c r="Q918" i="16"/>
  <c r="P959" i="16"/>
  <c r="Q959" i="16"/>
  <c r="Q987" i="16"/>
  <c r="P987" i="16"/>
  <c r="Q1005" i="16"/>
  <c r="P1005" i="16"/>
  <c r="P1114" i="16"/>
  <c r="Q1114" i="16"/>
  <c r="Q1133" i="16"/>
  <c r="P1133" i="16"/>
  <c r="P1151" i="16"/>
  <c r="Q1151" i="16"/>
  <c r="Q1186" i="16"/>
  <c r="P1186" i="16"/>
  <c r="Q1431" i="16"/>
  <c r="P1431" i="16"/>
  <c r="Q1432" i="16"/>
  <c r="P1432" i="16"/>
  <c r="P1437" i="16"/>
  <c r="Q1437" i="16"/>
  <c r="P502" i="16"/>
  <c r="Q502" i="16"/>
  <c r="Q787" i="16"/>
  <c r="P787" i="16"/>
  <c r="Q876" i="16"/>
  <c r="P876" i="16"/>
  <c r="Q920" i="16"/>
  <c r="P920" i="16"/>
  <c r="P996" i="16"/>
  <c r="Q996" i="16"/>
  <c r="P1117" i="16"/>
  <c r="Q1117" i="16"/>
  <c r="P1579" i="16"/>
  <c r="Q1579" i="16"/>
  <c r="Q2007" i="16"/>
  <c r="P2007" i="16"/>
  <c r="Q2033" i="16"/>
  <c r="P2033" i="16"/>
  <c r="Q236" i="16"/>
  <c r="Q272" i="16"/>
  <c r="Q315" i="16"/>
  <c r="P380" i="16"/>
  <c r="P386" i="16"/>
  <c r="P390" i="16"/>
  <c r="P396" i="16"/>
  <c r="P424" i="16"/>
  <c r="Q430" i="16"/>
  <c r="Q453" i="16"/>
  <c r="Q461" i="16"/>
  <c r="Q473" i="16"/>
  <c r="P500" i="16"/>
  <c r="P517" i="16"/>
  <c r="P553" i="16"/>
  <c r="P605" i="16"/>
  <c r="P642" i="16"/>
  <c r="P708" i="16"/>
  <c r="P719" i="16"/>
  <c r="Q733" i="16"/>
  <c r="Q735" i="16"/>
  <c r="Q736" i="16"/>
  <c r="P749" i="16"/>
  <c r="Q749" i="16"/>
  <c r="P882" i="16"/>
  <c r="Q882" i="16"/>
  <c r="P894" i="16"/>
  <c r="Q894" i="16"/>
  <c r="P904" i="16"/>
  <c r="Q904" i="16"/>
  <c r="P1003" i="16"/>
  <c r="Q1003" i="16"/>
  <c r="Q1040" i="16"/>
  <c r="P1040" i="16"/>
  <c r="Q1169" i="16"/>
  <c r="P1169" i="16"/>
  <c r="Q1372" i="16"/>
  <c r="P1372" i="16"/>
  <c r="Q1420" i="16"/>
  <c r="P1420" i="16"/>
  <c r="Q804" i="16"/>
  <c r="P804" i="16"/>
  <c r="Q815" i="16"/>
  <c r="P815" i="16"/>
  <c r="P852" i="16"/>
  <c r="Q852" i="16"/>
  <c r="Q892" i="16"/>
  <c r="P892" i="16"/>
  <c r="Q1104" i="16"/>
  <c r="P1104" i="16"/>
  <c r="Q1212" i="16"/>
  <c r="P1212" i="16"/>
  <c r="Q1344" i="16"/>
  <c r="P1344" i="16"/>
  <c r="Q1534" i="16"/>
  <c r="P1534" i="16"/>
  <c r="Q1538" i="16"/>
  <c r="P1538" i="16"/>
  <c r="P1561" i="16"/>
  <c r="Q1561" i="16"/>
  <c r="Q1572" i="16"/>
  <c r="P1572" i="16"/>
  <c r="Q237" i="16"/>
  <c r="Q245" i="16"/>
  <c r="Q259" i="16"/>
  <c r="Q260" i="16"/>
  <c r="Q266" i="16"/>
  <c r="Q276" i="16"/>
  <c r="Q291" i="16"/>
  <c r="Q297" i="16"/>
  <c r="Q306" i="16"/>
  <c r="Q316" i="16"/>
  <c r="P324" i="16"/>
  <c r="Q334" i="16"/>
  <c r="Q361" i="16"/>
  <c r="P418" i="16"/>
  <c r="Q425" i="16"/>
  <c r="Q429" i="16"/>
  <c r="P456" i="16"/>
  <c r="P464" i="16"/>
  <c r="Q472" i="16"/>
  <c r="P482" i="16"/>
  <c r="Q490" i="16"/>
  <c r="P490" i="16"/>
  <c r="P507" i="16"/>
  <c r="P521" i="16"/>
  <c r="P563" i="16"/>
  <c r="Q615" i="16"/>
  <c r="P619" i="16"/>
  <c r="P635" i="16"/>
  <c r="Q677" i="16"/>
  <c r="P701" i="16"/>
  <c r="Q726" i="16"/>
  <c r="Q728" i="16"/>
  <c r="P739" i="16"/>
  <c r="P745" i="16"/>
  <c r="Q745" i="16"/>
  <c r="P757" i="16"/>
  <c r="Q757" i="16"/>
  <c r="P772" i="16"/>
  <c r="Q772" i="16"/>
  <c r="P776" i="16"/>
  <c r="Q776" i="16"/>
  <c r="Q801" i="16"/>
  <c r="P801" i="16"/>
  <c r="P928" i="16"/>
  <c r="Q928" i="16"/>
  <c r="Q978" i="16"/>
  <c r="P978" i="16"/>
  <c r="Q979" i="16"/>
  <c r="P979" i="16"/>
  <c r="Q1194" i="16"/>
  <c r="P1194" i="16"/>
  <c r="Q1239" i="16"/>
  <c r="P1239" i="16"/>
  <c r="P1255" i="16"/>
  <c r="Q1255" i="16"/>
  <c r="Q1270" i="16"/>
  <c r="P1270" i="16"/>
  <c r="P1287" i="16"/>
  <c r="Q1287" i="16"/>
  <c r="Q1296" i="16"/>
  <c r="P1296" i="16"/>
  <c r="P1302" i="16"/>
  <c r="Q1302" i="16"/>
  <c r="P1371" i="16"/>
  <c r="Q1371" i="16"/>
  <c r="P917" i="16"/>
  <c r="Q917" i="16"/>
  <c r="P926" i="16"/>
  <c r="Q926" i="16"/>
  <c r="Q933" i="16"/>
  <c r="P933" i="16"/>
  <c r="Q945" i="16"/>
  <c r="P945" i="16"/>
  <c r="Q963" i="16"/>
  <c r="P963" i="16"/>
  <c r="P986" i="16"/>
  <c r="Q986" i="16"/>
  <c r="P1038" i="16"/>
  <c r="Q1038" i="16"/>
  <c r="P1102" i="16"/>
  <c r="Q1102" i="16"/>
  <c r="Q1124" i="16"/>
  <c r="P1124" i="16"/>
  <c r="P1172" i="16"/>
  <c r="Q1172" i="16"/>
  <c r="Q1179" i="16"/>
  <c r="P1179" i="16"/>
  <c r="P1184" i="16"/>
  <c r="Q1184" i="16"/>
  <c r="P1241" i="16"/>
  <c r="Q1241" i="16"/>
  <c r="Q1268" i="16"/>
  <c r="P1268" i="16"/>
  <c r="Q1285" i="16"/>
  <c r="P1285" i="16"/>
  <c r="Q1303" i="16"/>
  <c r="P1303" i="16"/>
  <c r="Q1326" i="16"/>
  <c r="P1326" i="16"/>
  <c r="Q1339" i="16"/>
  <c r="P1339" i="16"/>
  <c r="Q1355" i="16"/>
  <c r="P1355" i="16"/>
  <c r="Q1419" i="16"/>
  <c r="P1419" i="16"/>
  <c r="P1560" i="16"/>
  <c r="Q1560" i="16"/>
  <c r="P1639" i="16"/>
  <c r="Q1639" i="16"/>
  <c r="P1647" i="16"/>
  <c r="Q1647" i="16"/>
  <c r="Q1680" i="16"/>
  <c r="P1680" i="16"/>
  <c r="Q1739" i="16"/>
  <c r="P1739" i="16"/>
  <c r="Q1743" i="16"/>
  <c r="P1743" i="16"/>
  <c r="Q1754" i="16"/>
  <c r="P1754" i="16"/>
  <c r="P1756" i="16"/>
  <c r="Q1756" i="16"/>
  <c r="P1760" i="16"/>
  <c r="Q925" i="16"/>
  <c r="P925" i="16"/>
  <c r="P944" i="16"/>
  <c r="Q944" i="16"/>
  <c r="Q972" i="16"/>
  <c r="P972" i="16"/>
  <c r="Q983" i="16"/>
  <c r="P983" i="16"/>
  <c r="Q993" i="16"/>
  <c r="P993" i="16"/>
  <c r="P1164" i="16"/>
  <c r="Q1164" i="16"/>
  <c r="Q1191" i="16"/>
  <c r="P1191" i="16"/>
  <c r="P1210" i="16"/>
  <c r="Q1210" i="16"/>
  <c r="Q1217" i="16"/>
  <c r="P1217" i="16"/>
  <c r="Q1236" i="16"/>
  <c r="P1236" i="16"/>
  <c r="P1249" i="16"/>
  <c r="Q1249" i="16"/>
  <c r="P1253" i="16"/>
  <c r="Q1253" i="16"/>
  <c r="Q1260" i="16"/>
  <c r="P1260" i="16"/>
  <c r="Q1284" i="16"/>
  <c r="P1284" i="16"/>
  <c r="Q1298" i="16"/>
  <c r="P1298" i="16"/>
  <c r="Q1314" i="16"/>
  <c r="P1314" i="16"/>
  <c r="Q1354" i="16"/>
  <c r="P1354" i="16"/>
  <c r="Q1368" i="16"/>
  <c r="P1368" i="16"/>
  <c r="Q1369" i="16"/>
  <c r="P1369" i="16"/>
  <c r="Q1374" i="16"/>
  <c r="P1374" i="16"/>
  <c r="Q1376" i="16"/>
  <c r="P1376" i="16"/>
  <c r="Q1450" i="16"/>
  <c r="P1450" i="16"/>
  <c r="P1675" i="16"/>
  <c r="Q1675" i="16"/>
  <c r="Q505" i="16"/>
  <c r="T766" i="16"/>
  <c r="P773" i="16"/>
  <c r="P790" i="16"/>
  <c r="P793" i="16"/>
  <c r="P805" i="16"/>
  <c r="P809" i="16"/>
  <c r="P812" i="16"/>
  <c r="P830" i="16"/>
  <c r="P833" i="16"/>
  <c r="P837" i="16"/>
  <c r="P841" i="16"/>
  <c r="P845" i="16"/>
  <c r="P855" i="16"/>
  <c r="P859" i="16"/>
  <c r="P872" i="16"/>
  <c r="P885" i="16"/>
  <c r="Q891" i="16"/>
  <c r="P896" i="16"/>
  <c r="P899" i="16"/>
  <c r="P907" i="16"/>
  <c r="P911" i="16"/>
  <c r="P915" i="16"/>
  <c r="P922" i="16"/>
  <c r="Q922" i="16"/>
  <c r="Q929" i="16"/>
  <c r="P929" i="16"/>
  <c r="Q949" i="16"/>
  <c r="P949" i="16"/>
  <c r="Q960" i="16"/>
  <c r="P960" i="16"/>
  <c r="P982" i="16"/>
  <c r="Q982" i="16"/>
  <c r="P991" i="16"/>
  <c r="Q991" i="16"/>
  <c r="Q999" i="16"/>
  <c r="P999" i="16"/>
  <c r="Q1025" i="16"/>
  <c r="Q1051" i="16"/>
  <c r="P1115" i="16"/>
  <c r="Q1115" i="16"/>
  <c r="Q1120" i="16"/>
  <c r="P1120" i="16"/>
  <c r="P1163" i="16"/>
  <c r="Q1163" i="16"/>
  <c r="Q1166" i="16"/>
  <c r="P1166" i="16"/>
  <c r="P1209" i="16"/>
  <c r="Q1209" i="16"/>
  <c r="Q1224" i="16"/>
  <c r="Q1225" i="16"/>
  <c r="P1225" i="16"/>
  <c r="Q1244" i="16"/>
  <c r="P1244" i="16"/>
  <c r="P1247" i="16"/>
  <c r="Q1288" i="16"/>
  <c r="P1288" i="16"/>
  <c r="Q1289" i="16"/>
  <c r="P1289" i="16"/>
  <c r="Q1318" i="16"/>
  <c r="P1318" i="16"/>
  <c r="Q1346" i="16"/>
  <c r="P1346" i="16"/>
  <c r="P1367" i="16"/>
  <c r="Q1367" i="16"/>
  <c r="Q1373" i="16"/>
  <c r="P1373" i="16"/>
  <c r="Q1438" i="16"/>
  <c r="P1438" i="16"/>
  <c r="P1448" i="16"/>
  <c r="Q1448" i="16"/>
  <c r="P1540" i="16"/>
  <c r="Q1540" i="16"/>
  <c r="P1564" i="16"/>
  <c r="Q1564" i="16"/>
  <c r="P1674" i="16"/>
  <c r="Q1674" i="16"/>
  <c r="P1723" i="16"/>
  <c r="Q1723" i="16"/>
  <c r="P1629" i="16"/>
  <c r="Q1629" i="16"/>
  <c r="Q1637" i="16"/>
  <c r="P1637" i="16"/>
  <c r="P1660" i="16"/>
  <c r="Q1660" i="16"/>
  <c r="Q1672" i="16"/>
  <c r="P1672" i="16"/>
  <c r="P1689" i="16"/>
  <c r="Q1689" i="16"/>
  <c r="P1757" i="16"/>
  <c r="Q1757" i="16"/>
  <c r="P1963" i="16"/>
  <c r="Q1963" i="16"/>
  <c r="Q1972" i="16"/>
  <c r="P1972" i="16"/>
  <c r="Q2022" i="16"/>
  <c r="P2022" i="16"/>
  <c r="Q2025" i="16"/>
  <c r="P2025" i="16"/>
  <c r="Q1029" i="16"/>
  <c r="Q1043" i="16"/>
  <c r="Q1345" i="16"/>
  <c r="P1345" i="16"/>
  <c r="Q1350" i="16"/>
  <c r="P1350" i="16"/>
  <c r="Q1364" i="16"/>
  <c r="P1364" i="16"/>
  <c r="Q1397" i="16"/>
  <c r="P1397" i="16"/>
  <c r="Q1428" i="16"/>
  <c r="P1428" i="16"/>
  <c r="Q1443" i="16"/>
  <c r="P1443" i="16"/>
  <c r="Q1558" i="16"/>
  <c r="P1558" i="16"/>
  <c r="Q1562" i="16"/>
  <c r="P1562" i="16"/>
  <c r="Q1586" i="16"/>
  <c r="P1586" i="16"/>
  <c r="Q1590" i="16"/>
  <c r="P1590" i="16"/>
  <c r="P1612" i="16"/>
  <c r="Q1612" i="16"/>
  <c r="P1801" i="16"/>
  <c r="Q1801" i="16"/>
  <c r="P1822" i="16"/>
  <c r="Q1822" i="16"/>
  <c r="P1851" i="16"/>
  <c r="Q1851" i="16"/>
  <c r="Q1888" i="16"/>
  <c r="P1888" i="16"/>
  <c r="Q1961" i="16"/>
  <c r="P1961" i="16"/>
  <c r="P1971" i="16"/>
  <c r="Q1971" i="16"/>
  <c r="Q977" i="16"/>
  <c r="Q1022" i="16"/>
  <c r="Q1032" i="16"/>
  <c r="Q1047" i="16"/>
  <c r="Q1199" i="16"/>
  <c r="Q1221" i="16"/>
  <c r="Q1280" i="16"/>
  <c r="P1305" i="16"/>
  <c r="Q1305" i="16"/>
  <c r="Q1330" i="16"/>
  <c r="Q1349" i="16"/>
  <c r="P1349" i="16"/>
  <c r="P1360" i="16"/>
  <c r="Q1421" i="16"/>
  <c r="Q1422" i="16"/>
  <c r="Q1425" i="16"/>
  <c r="P1425" i="16"/>
  <c r="P1441" i="16"/>
  <c r="Q1441" i="16"/>
  <c r="P1541" i="16"/>
  <c r="Q1541" i="16"/>
  <c r="Q1550" i="16"/>
  <c r="P1550" i="16"/>
  <c r="P1576" i="16"/>
  <c r="Q1576" i="16"/>
  <c r="P1605" i="16"/>
  <c r="Q1605" i="16"/>
  <c r="Q1610" i="16"/>
  <c r="P1610" i="16"/>
  <c r="P1705" i="16"/>
  <c r="Q1705" i="16"/>
  <c r="P1728" i="16"/>
  <c r="Q1728" i="16"/>
  <c r="P1761" i="16"/>
  <c r="Q1761" i="16"/>
  <c r="P1777" i="16"/>
  <c r="Q1777" i="16"/>
  <c r="Q1795" i="16"/>
  <c r="P1795" i="16"/>
  <c r="P1800" i="16"/>
  <c r="Q1800" i="16"/>
  <c r="P1810" i="16"/>
  <c r="Q1810" i="16"/>
  <c r="P1821" i="16"/>
  <c r="Q1821" i="16"/>
  <c r="Q1828" i="16"/>
  <c r="P1828" i="16"/>
  <c r="Q1867" i="16"/>
  <c r="P1867" i="16"/>
  <c r="Q1325" i="16"/>
  <c r="Q1333" i="16"/>
  <c r="Q1379" i="16"/>
  <c r="Q1412" i="16"/>
  <c r="Q1436" i="16"/>
  <c r="Q1440" i="16"/>
  <c r="Q1447" i="16"/>
  <c r="Q1454" i="16"/>
  <c r="Q1490" i="16"/>
  <c r="Q1494" i="16"/>
  <c r="Q1498" i="16"/>
  <c r="Q1506" i="16"/>
  <c r="Q1510" i="16"/>
  <c r="Q1518" i="16"/>
  <c r="P1593" i="16"/>
  <c r="Q1602" i="16"/>
  <c r="P1602" i="16"/>
  <c r="P1604" i="16"/>
  <c r="Q1604" i="16"/>
  <c r="P1628" i="16"/>
  <c r="Q1628" i="16"/>
  <c r="P1659" i="16"/>
  <c r="Q1659" i="16"/>
  <c r="P1670" i="16"/>
  <c r="Q1670" i="16"/>
  <c r="P1711" i="16"/>
  <c r="Q1711" i="16"/>
  <c r="P1722" i="16"/>
  <c r="Q1758" i="16"/>
  <c r="P1758" i="16"/>
  <c r="P1776" i="16"/>
  <c r="Q1776" i="16"/>
  <c r="P1785" i="16"/>
  <c r="Q1785" i="16"/>
  <c r="Q1857" i="16"/>
  <c r="P1857" i="16"/>
  <c r="P1865" i="16"/>
  <c r="Q1865" i="16"/>
  <c r="P1886" i="16"/>
  <c r="Q1886" i="16"/>
  <c r="P1989" i="16"/>
  <c r="Q1989" i="16"/>
  <c r="P2011" i="16"/>
  <c r="Q2011" i="16"/>
  <c r="Q1380" i="16"/>
  <c r="Q1383" i="16"/>
  <c r="Q1400" i="16"/>
  <c r="Q1405" i="16"/>
  <c r="Q1410" i="16"/>
  <c r="Q1413" i="16"/>
  <c r="Q1414" i="16"/>
  <c r="Q1416" i="16"/>
  <c r="Q1418" i="16"/>
  <c r="Q1452" i="16"/>
  <c r="Q1455" i="16"/>
  <c r="Q1456" i="16"/>
  <c r="Q1460" i="16"/>
  <c r="Q1464" i="16"/>
  <c r="Q1465" i="16"/>
  <c r="Q1530" i="16"/>
  <c r="P1592" i="16"/>
  <c r="Q1592" i="16"/>
  <c r="P1613" i="16"/>
  <c r="Q1613" i="16"/>
  <c r="Q1622" i="16"/>
  <c r="P1622" i="16"/>
  <c r="Q1626" i="16"/>
  <c r="P1626" i="16"/>
  <c r="P1682" i="16"/>
  <c r="Q1682" i="16"/>
  <c r="P1698" i="16"/>
  <c r="Q1698" i="16"/>
  <c r="Q1699" i="16"/>
  <c r="Q1770" i="16"/>
  <c r="P1770" i="16"/>
  <c r="Q1774" i="16"/>
  <c r="P1774" i="16"/>
  <c r="Q1783" i="16"/>
  <c r="P1783" i="16"/>
  <c r="P1985" i="16"/>
  <c r="Q1985" i="16"/>
  <c r="Q1999" i="16"/>
  <c r="Q2013" i="16"/>
  <c r="P2013" i="16"/>
  <c r="Q2036" i="16"/>
  <c r="P2036" i="16"/>
  <c r="Q1734" i="16"/>
  <c r="Q1762" i="16"/>
  <c r="Q1969" i="16"/>
  <c r="P1969" i="16"/>
  <c r="Q2037" i="16"/>
  <c r="P2037" i="16"/>
  <c r="P2042" i="16"/>
  <c r="Q2042" i="16"/>
  <c r="Q1582" i="16"/>
  <c r="Q1633" i="16"/>
  <c r="Q1735" i="16"/>
  <c r="Q1766" i="16"/>
  <c r="Q1827" i="16"/>
  <c r="P1827" i="16"/>
  <c r="Q1831" i="16"/>
  <c r="P1849" i="16"/>
  <c r="Q1849" i="16"/>
  <c r="Q2001" i="16"/>
  <c r="P2001" i="16"/>
  <c r="P2030" i="16"/>
  <c r="Q2030" i="16"/>
  <c r="Q2055" i="16"/>
  <c r="Q362" i="16"/>
  <c r="Q1811" i="16"/>
  <c r="Q1894" i="16"/>
  <c r="Q1953" i="16"/>
  <c r="P2048" i="16"/>
  <c r="P2052" i="16"/>
  <c r="Q1791" i="16"/>
  <c r="Q1870" i="16"/>
  <c r="Q1875" i="16"/>
  <c r="Q1882" i="16"/>
  <c r="Q1883" i="16"/>
  <c r="Q1891" i="16"/>
  <c r="Q1965" i="16"/>
  <c r="Q1973" i="16"/>
  <c r="Q2017" i="16"/>
  <c r="Q2020" i="16"/>
  <c r="P2051" i="16"/>
  <c r="Q481" i="16"/>
  <c r="Q324" i="16"/>
  <c r="Q285" i="16"/>
  <c r="Q851" i="16"/>
  <c r="Q1880" i="16"/>
  <c r="Q482" i="16"/>
  <c r="Q406" i="16"/>
  <c r="Q427" i="16"/>
  <c r="T362" i="16"/>
  <c r="P232" i="16"/>
  <c r="Q232" i="16"/>
  <c r="Q7" i="16"/>
  <c r="P220" i="16"/>
  <c r="Q220" i="16"/>
  <c r="Q217" i="16"/>
  <c r="P217" i="16"/>
  <c r="Q222" i="16"/>
  <c r="P222" i="16"/>
  <c r="Q231" i="16"/>
  <c r="P231" i="16"/>
  <c r="Q234" i="16"/>
  <c r="P234" i="16"/>
  <c r="P450" i="16"/>
  <c r="P576" i="16"/>
  <c r="Q576" i="16"/>
  <c r="P791" i="16"/>
  <c r="Q791" i="16"/>
  <c r="Q869" i="16"/>
  <c r="P869" i="16"/>
  <c r="Q873" i="16"/>
  <c r="P873" i="16"/>
  <c r="Q881" i="16"/>
  <c r="P881" i="16"/>
  <c r="P1116" i="16"/>
  <c r="Q1116" i="16"/>
  <c r="Q527" i="16"/>
  <c r="P527" i="16"/>
  <c r="P699" i="16"/>
  <c r="Q699" i="16"/>
  <c r="P712" i="16"/>
  <c r="Q712" i="16"/>
  <c r="P742" i="16"/>
  <c r="Q742" i="16"/>
  <c r="P1020" i="16"/>
  <c r="Q1020" i="16"/>
  <c r="AD89" i="16"/>
  <c r="AE89" i="16" s="1"/>
  <c r="AD100" i="16"/>
  <c r="AE100" i="16" s="1"/>
  <c r="E2068" i="16"/>
  <c r="N213" i="16"/>
  <c r="P230" i="16"/>
  <c r="P236" i="16"/>
  <c r="P241" i="16"/>
  <c r="P245" i="16"/>
  <c r="P249" i="16"/>
  <c r="P260" i="16"/>
  <c r="P266" i="16"/>
  <c r="P268" i="16"/>
  <c r="P272" i="16"/>
  <c r="P276" i="16"/>
  <c r="P280" i="16"/>
  <c r="P285" i="16"/>
  <c r="P289" i="16"/>
  <c r="P291" i="16"/>
  <c r="P297" i="16"/>
  <c r="P301" i="16"/>
  <c r="P306" i="16"/>
  <c r="P315" i="16"/>
  <c r="P319" i="16"/>
  <c r="P337" i="16"/>
  <c r="P343" i="16"/>
  <c r="P358" i="16"/>
  <c r="P362" i="16"/>
  <c r="P365" i="16"/>
  <c r="Q385" i="16"/>
  <c r="P403" i="16"/>
  <c r="P430" i="16"/>
  <c r="P461" i="16"/>
  <c r="P473" i="16"/>
  <c r="P481" i="16"/>
  <c r="P505" i="16"/>
  <c r="P508" i="16"/>
  <c r="P511" i="16"/>
  <c r="Q518" i="16"/>
  <c r="P518" i="16"/>
  <c r="Q520" i="16"/>
  <c r="P520" i="16"/>
  <c r="Q529" i="16"/>
  <c r="P529" i="16"/>
  <c r="Q538" i="16"/>
  <c r="P538" i="16"/>
  <c r="Q552" i="16"/>
  <c r="P552" i="16"/>
  <c r="Q554" i="16"/>
  <c r="P554" i="16"/>
  <c r="Q558" i="16"/>
  <c r="P558" i="16"/>
  <c r="Q580" i="16"/>
  <c r="P580" i="16"/>
  <c r="Q584" i="16"/>
  <c r="P584" i="16"/>
  <c r="Q587" i="16"/>
  <c r="P587" i="16"/>
  <c r="Q591" i="16"/>
  <c r="P591" i="16"/>
  <c r="P600" i="16"/>
  <c r="Q600" i="16"/>
  <c r="P608" i="16"/>
  <c r="Q608" i="16"/>
  <c r="P612" i="16"/>
  <c r="Q612" i="16"/>
  <c r="P614" i="16"/>
  <c r="Q614" i="16"/>
  <c r="P618" i="16"/>
  <c r="Q618" i="16"/>
  <c r="P623" i="16"/>
  <c r="Q623" i="16"/>
  <c r="P627" i="16"/>
  <c r="Q627" i="16"/>
  <c r="P631" i="16"/>
  <c r="Q631" i="16"/>
  <c r="P634" i="16"/>
  <c r="Q634" i="16"/>
  <c r="P637" i="16"/>
  <c r="Q637" i="16"/>
  <c r="P641" i="16"/>
  <c r="Q641" i="16"/>
  <c r="P645" i="16"/>
  <c r="Q645" i="16"/>
  <c r="Q650" i="16"/>
  <c r="P650" i="16"/>
  <c r="P653" i="16"/>
  <c r="Q653" i="16"/>
  <c r="P657" i="16"/>
  <c r="Q657" i="16"/>
  <c r="P661" i="16"/>
  <c r="Q661" i="16"/>
  <c r="S677" i="16"/>
  <c r="T677" i="16" s="1"/>
  <c r="P679" i="16"/>
  <c r="Q679" i="16"/>
  <c r="P681" i="16"/>
  <c r="Q681" i="16"/>
  <c r="P683" i="16"/>
  <c r="Q683" i="16"/>
  <c r="P690" i="16"/>
  <c r="Q690" i="16"/>
  <c r="P693" i="16"/>
  <c r="Q693" i="16"/>
  <c r="P696" i="16"/>
  <c r="Q696" i="16"/>
  <c r="Q704" i="16"/>
  <c r="P723" i="16"/>
  <c r="Q723" i="16"/>
  <c r="Q732" i="16"/>
  <c r="P738" i="16"/>
  <c r="Q738" i="16"/>
  <c r="Q748" i="16"/>
  <c r="P752" i="16"/>
  <c r="Q752" i="16"/>
  <c r="Q762" i="16"/>
  <c r="Q771" i="16"/>
  <c r="P777" i="16"/>
  <c r="Q777" i="16"/>
  <c r="P785" i="16"/>
  <c r="Q785" i="16"/>
  <c r="Q793" i="16"/>
  <c r="P799" i="16"/>
  <c r="Q799" i="16"/>
  <c r="P893" i="16"/>
  <c r="Q893" i="16"/>
  <c r="P969" i="16"/>
  <c r="Q969" i="16"/>
  <c r="P1105" i="16"/>
  <c r="Q1105" i="16"/>
  <c r="T466" i="16"/>
  <c r="Q466" i="16"/>
  <c r="P547" i="16"/>
  <c r="Q547" i="16"/>
  <c r="Q560" i="16"/>
  <c r="P560" i="16"/>
  <c r="Q566" i="16"/>
  <c r="P566" i="16"/>
  <c r="P664" i="16"/>
  <c r="Q664" i="16"/>
  <c r="P676" i="16"/>
  <c r="Q676" i="16"/>
  <c r="P727" i="16"/>
  <c r="Q727" i="16"/>
  <c r="P756" i="16"/>
  <c r="Q756" i="16"/>
  <c r="P797" i="16"/>
  <c r="Q797" i="16"/>
  <c r="Q864" i="16"/>
  <c r="P864" i="16"/>
  <c r="Q877" i="16"/>
  <c r="P877" i="16"/>
  <c r="P889" i="16"/>
  <c r="Q889" i="16"/>
  <c r="P342" i="16"/>
  <c r="P346" i="16"/>
  <c r="P406" i="16"/>
  <c r="P453" i="16"/>
  <c r="P455" i="16"/>
  <c r="P457" i="16"/>
  <c r="P466" i="16"/>
  <c r="P472" i="16"/>
  <c r="P480" i="16"/>
  <c r="Q523" i="16"/>
  <c r="P523" i="16"/>
  <c r="P528" i="16"/>
  <c r="Q528" i="16"/>
  <c r="P531" i="16"/>
  <c r="Q531" i="16"/>
  <c r="P533" i="16"/>
  <c r="Q533" i="16"/>
  <c r="P535" i="16"/>
  <c r="Q535" i="16"/>
  <c r="P543" i="16"/>
  <c r="Q543" i="16"/>
  <c r="P548" i="16"/>
  <c r="Q548" i="16"/>
  <c r="P564" i="16"/>
  <c r="Q564" i="16"/>
  <c r="Q574" i="16"/>
  <c r="P574" i="16"/>
  <c r="Q648" i="16"/>
  <c r="P648" i="16"/>
  <c r="Q675" i="16"/>
  <c r="P675" i="16"/>
  <c r="P734" i="16"/>
  <c r="Q734" i="16"/>
  <c r="P766" i="16"/>
  <c r="P789" i="16"/>
  <c r="Q789" i="16"/>
  <c r="P795" i="16"/>
  <c r="Q795" i="16"/>
  <c r="P802" i="16"/>
  <c r="Q802" i="16"/>
  <c r="P897" i="16"/>
  <c r="Q897" i="16"/>
  <c r="Q930" i="16"/>
  <c r="P930" i="16"/>
  <c r="Q934" i="16"/>
  <c r="P934" i="16"/>
  <c r="Q938" i="16"/>
  <c r="P938" i="16"/>
  <c r="Q942" i="16"/>
  <c r="P942" i="16"/>
  <c r="Q946" i="16"/>
  <c r="P946" i="16"/>
  <c r="Q950" i="16"/>
  <c r="P950" i="16"/>
  <c r="Q954" i="16"/>
  <c r="P954" i="16"/>
  <c r="Q961" i="16"/>
  <c r="P961" i="16"/>
  <c r="P1010" i="16"/>
  <c r="Q1010" i="16"/>
  <c r="Q1171" i="16"/>
  <c r="P1171" i="16"/>
  <c r="P1180" i="16"/>
  <c r="Q1180" i="16"/>
  <c r="Q544" i="16"/>
  <c r="P544" i="16"/>
  <c r="Q562" i="16"/>
  <c r="P562" i="16"/>
  <c r="P572" i="16"/>
  <c r="Q572" i="16"/>
  <c r="P7" i="16"/>
  <c r="P327" i="16"/>
  <c r="P329" i="16"/>
  <c r="P330" i="16"/>
  <c r="P363" i="16"/>
  <c r="P371" i="16"/>
  <c r="P376" i="16"/>
  <c r="P411" i="16"/>
  <c r="P414" i="16"/>
  <c r="P428" i="16"/>
  <c r="P440" i="16"/>
  <c r="Q452" i="16"/>
  <c r="P497" i="16"/>
  <c r="P501" i="16"/>
  <c r="Q507" i="16"/>
  <c r="P522" i="16"/>
  <c r="Q522" i="16"/>
  <c r="P525" i="16"/>
  <c r="Q525" i="16"/>
  <c r="P539" i="16"/>
  <c r="Q539" i="16"/>
  <c r="P541" i="16"/>
  <c r="Q541" i="16"/>
  <c r="P556" i="16"/>
  <c r="Q556" i="16"/>
  <c r="Q568" i="16"/>
  <c r="P568" i="16"/>
  <c r="P582" i="16"/>
  <c r="Q582" i="16"/>
  <c r="P585" i="16"/>
  <c r="Q585" i="16"/>
  <c r="P589" i="16"/>
  <c r="Q589" i="16"/>
  <c r="P593" i="16"/>
  <c r="Q593" i="16"/>
  <c r="Q597" i="16"/>
  <c r="P597" i="16"/>
  <c r="Q599" i="16"/>
  <c r="P599" i="16"/>
  <c r="Q601" i="16"/>
  <c r="P601" i="16"/>
  <c r="Q602" i="16"/>
  <c r="P602" i="16"/>
  <c r="Q604" i="16"/>
  <c r="P604" i="16"/>
  <c r="Q606" i="16"/>
  <c r="P606" i="16"/>
  <c r="Q610" i="16"/>
  <c r="P610" i="16"/>
  <c r="Q613" i="16"/>
  <c r="P613" i="16"/>
  <c r="Q621" i="16"/>
  <c r="P621" i="16"/>
  <c r="Q625" i="16"/>
  <c r="P625" i="16"/>
  <c r="Q629" i="16"/>
  <c r="P629" i="16"/>
  <c r="Q633" i="16"/>
  <c r="P633" i="16"/>
  <c r="Q639" i="16"/>
  <c r="P639" i="16"/>
  <c r="Q643" i="16"/>
  <c r="P643" i="16"/>
  <c r="Q646" i="16"/>
  <c r="P646" i="16"/>
  <c r="Q655" i="16"/>
  <c r="P655" i="16"/>
  <c r="Q659" i="16"/>
  <c r="P659" i="16"/>
  <c r="Q662" i="16"/>
  <c r="P662" i="16"/>
  <c r="Q685" i="16"/>
  <c r="P685" i="16"/>
  <c r="Q688" i="16"/>
  <c r="P688" i="16"/>
  <c r="Q692" i="16"/>
  <c r="P692" i="16"/>
  <c r="Q695" i="16"/>
  <c r="P695" i="16"/>
  <c r="Q697" i="16"/>
  <c r="P702" i="16"/>
  <c r="Q702" i="16"/>
  <c r="Q710" i="16"/>
  <c r="P716" i="16"/>
  <c r="Q716" i="16"/>
  <c r="P718" i="16"/>
  <c r="Q718" i="16"/>
  <c r="Q725" i="16"/>
  <c r="P730" i="16"/>
  <c r="Q730" i="16"/>
  <c r="Q740" i="16"/>
  <c r="P746" i="16"/>
  <c r="Q746" i="16"/>
  <c r="Q754" i="16"/>
  <c r="P760" i="16"/>
  <c r="Q760" i="16"/>
  <c r="Q764" i="16"/>
  <c r="P769" i="16"/>
  <c r="Q769" i="16"/>
  <c r="Q773" i="16"/>
  <c r="P782" i="16"/>
  <c r="Q782" i="16"/>
  <c r="P806" i="16"/>
  <c r="Q806" i="16"/>
  <c r="Q862" i="16"/>
  <c r="P862" i="16"/>
  <c r="P901" i="16"/>
  <c r="Q901" i="16"/>
  <c r="Q1142" i="16"/>
  <c r="P1142" i="16"/>
  <c r="P1144" i="16"/>
  <c r="Q1144" i="16"/>
  <c r="Q1146" i="16"/>
  <c r="P1146" i="16"/>
  <c r="P1149" i="16"/>
  <c r="Q1149" i="16"/>
  <c r="Q1266" i="16"/>
  <c r="P1266" i="16"/>
  <c r="P1269" i="16"/>
  <c r="Q1269" i="16"/>
  <c r="P595" i="16"/>
  <c r="P697" i="16"/>
  <c r="P700" i="16"/>
  <c r="P704" i="16"/>
  <c r="P707" i="16"/>
  <c r="P710" i="16"/>
  <c r="P714" i="16"/>
  <c r="P725" i="16"/>
  <c r="P732" i="16"/>
  <c r="P736" i="16"/>
  <c r="P740" i="16"/>
  <c r="P744" i="16"/>
  <c r="P748" i="16"/>
  <c r="P750" i="16"/>
  <c r="P754" i="16"/>
  <c r="P758" i="16"/>
  <c r="P762" i="16"/>
  <c r="P764" i="16"/>
  <c r="P771" i="16"/>
  <c r="P964" i="16"/>
  <c r="Q964" i="16"/>
  <c r="P973" i="16"/>
  <c r="Q973" i="16"/>
  <c r="P981" i="16"/>
  <c r="Q981" i="16"/>
  <c r="P1004" i="16"/>
  <c r="Q1004" i="16"/>
  <c r="P1031" i="16"/>
  <c r="Q1031" i="16"/>
  <c r="P1037" i="16"/>
  <c r="Q1037" i="16"/>
  <c r="P1045" i="16"/>
  <c r="Q1045" i="16"/>
  <c r="Q1107" i="16"/>
  <c r="Q1153" i="16"/>
  <c r="P1153" i="16"/>
  <c r="P1219" i="16"/>
  <c r="Q1219" i="16"/>
  <c r="P1245" i="16"/>
  <c r="Q1245" i="16"/>
  <c r="P1261" i="16"/>
  <c r="Q1261" i="16"/>
  <c r="Q1265" i="16"/>
  <c r="P975" i="16"/>
  <c r="Q975" i="16"/>
  <c r="P985" i="16"/>
  <c r="Q985" i="16"/>
  <c r="P1027" i="16"/>
  <c r="Q1027" i="16"/>
  <c r="P1109" i="16"/>
  <c r="Q1109" i="16"/>
  <c r="P1121" i="16"/>
  <c r="Q1121" i="16"/>
  <c r="P1193" i="16"/>
  <c r="Q1193" i="16"/>
  <c r="P1222" i="16"/>
  <c r="Q1222" i="16"/>
  <c r="Q1275" i="16"/>
  <c r="P1275" i="16"/>
  <c r="P1277" i="16"/>
  <c r="Q1277" i="16"/>
  <c r="Q766" i="16"/>
  <c r="P822" i="16"/>
  <c r="P827" i="16"/>
  <c r="P831" i="16"/>
  <c r="P834" i="16"/>
  <c r="P838" i="16"/>
  <c r="P842" i="16"/>
  <c r="P846" i="16"/>
  <c r="P848" i="16"/>
  <c r="P856" i="16"/>
  <c r="Q861" i="16"/>
  <c r="Q868" i="16"/>
  <c r="Q872" i="16"/>
  <c r="P883" i="16"/>
  <c r="P908" i="16"/>
  <c r="P912" i="16"/>
  <c r="P916" i="16"/>
  <c r="Q937" i="16"/>
  <c r="P966" i="16"/>
  <c r="Q966" i="16"/>
  <c r="P990" i="16"/>
  <c r="Q990" i="16"/>
  <c r="Q992" i="16"/>
  <c r="P995" i="16"/>
  <c r="Q995" i="16"/>
  <c r="Q998" i="16"/>
  <c r="P1000" i="16"/>
  <c r="Q1000" i="16"/>
  <c r="Q1008" i="16"/>
  <c r="P1014" i="16"/>
  <c r="Q1014" i="16"/>
  <c r="Q1018" i="16"/>
  <c r="P1023" i="16"/>
  <c r="Q1023" i="16"/>
  <c r="P1033" i="16"/>
  <c r="Q1033" i="16"/>
  <c r="P1041" i="16"/>
  <c r="Q1041" i="16"/>
  <c r="P1049" i="16"/>
  <c r="Q1049" i="16"/>
  <c r="Q1103" i="16"/>
  <c r="Q1118" i="16"/>
  <c r="P1118" i="16"/>
  <c r="P1125" i="16"/>
  <c r="Q1125" i="16"/>
  <c r="P1140" i="16"/>
  <c r="Q1140" i="16"/>
  <c r="P1148" i="16"/>
  <c r="Q1148" i="16"/>
  <c r="P1177" i="16"/>
  <c r="Q1177" i="16"/>
  <c r="Q1187" i="16"/>
  <c r="P1187" i="16"/>
  <c r="P1196" i="16"/>
  <c r="Q1196" i="16"/>
  <c r="P992" i="16"/>
  <c r="P998" i="16"/>
  <c r="P1002" i="16"/>
  <c r="P1008" i="16"/>
  <c r="P1012" i="16"/>
  <c r="P1016" i="16"/>
  <c r="P1018" i="16"/>
  <c r="P1025" i="16"/>
  <c r="P1029" i="16"/>
  <c r="P1032" i="16"/>
  <c r="P1035" i="16"/>
  <c r="P1039" i="16"/>
  <c r="P1043" i="16"/>
  <c r="P1047" i="16"/>
  <c r="P1051" i="16"/>
  <c r="P1103" i="16"/>
  <c r="P1107" i="16"/>
  <c r="P1147" i="16"/>
  <c r="Q1156" i="16"/>
  <c r="Q1160" i="16"/>
  <c r="P1160" i="16"/>
  <c r="P1181" i="16"/>
  <c r="Q1181" i="16"/>
  <c r="P1183" i="16"/>
  <c r="P1197" i="16"/>
  <c r="Q1197" i="16"/>
  <c r="P1199" i="16"/>
  <c r="Q1226" i="16"/>
  <c r="P1226" i="16"/>
  <c r="Q1234" i="16"/>
  <c r="P1234" i="16"/>
  <c r="P1265" i="16"/>
  <c r="Q1139" i="16"/>
  <c r="P1156" i="16"/>
  <c r="P1185" i="16"/>
  <c r="Q1185" i="16"/>
  <c r="Q1198" i="16"/>
  <c r="P1203" i="16"/>
  <c r="Q1203" i="16"/>
  <c r="Q1204" i="16"/>
  <c r="P1207" i="16"/>
  <c r="Q1207" i="16"/>
  <c r="Q1271" i="16"/>
  <c r="P1271" i="16"/>
  <c r="Q1279" i="16"/>
  <c r="P1279" i="16"/>
  <c r="Q1282" i="16"/>
  <c r="P1282" i="16"/>
  <c r="Q1362" i="16"/>
  <c r="P1362" i="16"/>
  <c r="Q1385" i="16"/>
  <c r="P1385" i="16"/>
  <c r="Q1145" i="16"/>
  <c r="P1173" i="16"/>
  <c r="Q1173" i="16"/>
  <c r="P1189" i="16"/>
  <c r="Q1189" i="16"/>
  <c r="P1215" i="16"/>
  <c r="Q1215" i="16"/>
  <c r="Q1230" i="16"/>
  <c r="P1230" i="16"/>
  <c r="P1293" i="16"/>
  <c r="Q1293" i="16"/>
  <c r="Q1295" i="16"/>
  <c r="P1295" i="16"/>
  <c r="P1309" i="16"/>
  <c r="Q1309" i="16"/>
  <c r="Q1340" i="16"/>
  <c r="P1340" i="16"/>
  <c r="P1299" i="16"/>
  <c r="Q1299" i="16"/>
  <c r="Q1304" i="16"/>
  <c r="P1304" i="16"/>
  <c r="P1310" i="16"/>
  <c r="Q1310" i="16"/>
  <c r="P1313" i="16"/>
  <c r="Q1313" i="16"/>
  <c r="Q1320" i="16"/>
  <c r="P1320" i="16"/>
  <c r="Q1327" i="16"/>
  <c r="P1327" i="16"/>
  <c r="Q1342" i="16"/>
  <c r="P1342" i="16"/>
  <c r="Q1366" i="16"/>
  <c r="P1366" i="16"/>
  <c r="Q1377" i="16"/>
  <c r="P1377" i="16"/>
  <c r="Q1386" i="16"/>
  <c r="P1386" i="16"/>
  <c r="T1265" i="16"/>
  <c r="Q1306" i="16"/>
  <c r="P1306" i="16"/>
  <c r="Q1331" i="16"/>
  <c r="P1331" i="16"/>
  <c r="Q1356" i="16"/>
  <c r="P1356" i="16"/>
  <c r="Q1370" i="16"/>
  <c r="P1370" i="16"/>
  <c r="Q1381" i="16"/>
  <c r="P1381" i="16"/>
  <c r="Q1390" i="16"/>
  <c r="P1390" i="16"/>
  <c r="Q1205" i="16"/>
  <c r="P1290" i="16"/>
  <c r="Q1297" i="16"/>
  <c r="P1297" i="16"/>
  <c r="Q1301" i="16"/>
  <c r="P1301" i="16"/>
  <c r="Q1311" i="16"/>
  <c r="P1311" i="16"/>
  <c r="Q1315" i="16"/>
  <c r="P1315" i="16"/>
  <c r="P1317" i="16"/>
  <c r="Q1317" i="16"/>
  <c r="P1322" i="16"/>
  <c r="Q1322" i="16"/>
  <c r="Q1336" i="16"/>
  <c r="P1336" i="16"/>
  <c r="Q1347" i="16"/>
  <c r="P1347" i="16"/>
  <c r="Q1358" i="16"/>
  <c r="P1358" i="16"/>
  <c r="Q1360" i="16"/>
  <c r="Q1384" i="16"/>
  <c r="P1384" i="16"/>
  <c r="Q1394" i="16"/>
  <c r="P1394" i="16"/>
  <c r="Q1401" i="16"/>
  <c r="P1401" i="16"/>
  <c r="P1456" i="16"/>
  <c r="P1460" i="16"/>
  <c r="P1464" i="16"/>
  <c r="P1488" i="16"/>
  <c r="Q1488" i="16"/>
  <c r="P1492" i="16"/>
  <c r="Q1492" i="16"/>
  <c r="P1496" i="16"/>
  <c r="Q1496" i="16"/>
  <c r="P1500" i="16"/>
  <c r="Q1500" i="16"/>
  <c r="P1504" i="16"/>
  <c r="Q1504" i="16"/>
  <c r="P1508" i="16"/>
  <c r="Q1508" i="16"/>
  <c r="P1512" i="16"/>
  <c r="Q1512" i="16"/>
  <c r="N1323" i="16"/>
  <c r="P1405" i="16"/>
  <c r="P1410" i="16"/>
  <c r="P1414" i="16"/>
  <c r="P1416" i="16"/>
  <c r="P1421" i="16"/>
  <c r="P1422" i="16"/>
  <c r="P1426" i="16"/>
  <c r="P1429" i="16"/>
  <c r="P1430" i="16"/>
  <c r="P1433" i="16"/>
  <c r="P1436" i="16"/>
  <c r="P1440" i="16"/>
  <c r="P1447" i="16"/>
  <c r="P1466" i="16"/>
  <c r="Q1466" i="16"/>
  <c r="P1470" i="16"/>
  <c r="Q1470" i="16"/>
  <c r="P1474" i="16"/>
  <c r="Q1474" i="16"/>
  <c r="P1478" i="16"/>
  <c r="Q1478" i="16"/>
  <c r="P1482" i="16"/>
  <c r="Q1482" i="16"/>
  <c r="P1486" i="16"/>
  <c r="Q1486" i="16"/>
  <c r="Q1468" i="16"/>
  <c r="P1468" i="16"/>
  <c r="Q1472" i="16"/>
  <c r="P1472" i="16"/>
  <c r="Q1476" i="16"/>
  <c r="P1476" i="16"/>
  <c r="Q1480" i="16"/>
  <c r="P1480" i="16"/>
  <c r="Q1484" i="16"/>
  <c r="P1484" i="16"/>
  <c r="P1569" i="16"/>
  <c r="Q1569" i="16"/>
  <c r="P1577" i="16"/>
  <c r="Q1577" i="16"/>
  <c r="P1587" i="16"/>
  <c r="Q1587" i="16"/>
  <c r="P1595" i="16"/>
  <c r="Q1595" i="16"/>
  <c r="P1603" i="16"/>
  <c r="Q1603" i="16"/>
  <c r="P1607" i="16"/>
  <c r="Q1607" i="16"/>
  <c r="Q1669" i="16"/>
  <c r="P1669" i="16"/>
  <c r="P1673" i="16"/>
  <c r="Q1673" i="16"/>
  <c r="P1527" i="16"/>
  <c r="Q1527" i="16"/>
  <c r="P1535" i="16"/>
  <c r="Q1535" i="16"/>
  <c r="P1543" i="16"/>
  <c r="Q1543" i="16"/>
  <c r="P1551" i="16"/>
  <c r="Q1551" i="16"/>
  <c r="P1559" i="16"/>
  <c r="Q1559" i="16"/>
  <c r="P1565" i="16"/>
  <c r="Q1565" i="16"/>
  <c r="P1615" i="16"/>
  <c r="Q1615" i="16"/>
  <c r="P1623" i="16"/>
  <c r="Q1623" i="16"/>
  <c r="P1631" i="16"/>
  <c r="Q1631" i="16"/>
  <c r="P1638" i="16"/>
  <c r="Q1638" i="16"/>
  <c r="P1644" i="16"/>
  <c r="Q1644" i="16"/>
  <c r="P1648" i="16"/>
  <c r="Q1648" i="16"/>
  <c r="Q1676" i="16"/>
  <c r="P1676" i="16"/>
  <c r="P1681" i="16"/>
  <c r="Q1681" i="16"/>
  <c r="P1573" i="16"/>
  <c r="Q1573" i="16"/>
  <c r="P1583" i="16"/>
  <c r="Q1583" i="16"/>
  <c r="P1591" i="16"/>
  <c r="Q1591" i="16"/>
  <c r="P1599" i="16"/>
  <c r="Q1599" i="16"/>
  <c r="P1653" i="16"/>
  <c r="Q1653" i="16"/>
  <c r="P1658" i="16"/>
  <c r="Q1658" i="16"/>
  <c r="P1664" i="16"/>
  <c r="Q1664" i="16"/>
  <c r="Q1686" i="16"/>
  <c r="P1686" i="16"/>
  <c r="P1691" i="16"/>
  <c r="Q1691" i="16"/>
  <c r="P1491" i="16"/>
  <c r="P1495" i="16"/>
  <c r="P1499" i="16"/>
  <c r="P1503" i="16"/>
  <c r="P1507" i="16"/>
  <c r="P1511" i="16"/>
  <c r="P1515" i="16"/>
  <c r="P1519" i="16"/>
  <c r="P1523" i="16"/>
  <c r="P1531" i="16"/>
  <c r="Q1531" i="16"/>
  <c r="P1539" i="16"/>
  <c r="Q1539" i="16"/>
  <c r="P1547" i="16"/>
  <c r="Q1547" i="16"/>
  <c r="P1555" i="16"/>
  <c r="Q1555" i="16"/>
  <c r="P1563" i="16"/>
  <c r="Q1563" i="16"/>
  <c r="Q1593" i="16"/>
  <c r="P1611" i="16"/>
  <c r="Q1611" i="16"/>
  <c r="P1619" i="16"/>
  <c r="Q1619" i="16"/>
  <c r="P1627" i="16"/>
  <c r="Q1627" i="16"/>
  <c r="P1634" i="16"/>
  <c r="Q1634" i="16"/>
  <c r="P1641" i="16"/>
  <c r="Q1641" i="16"/>
  <c r="P1667" i="16"/>
  <c r="Q1667" i="16"/>
  <c r="Q1694" i="16"/>
  <c r="P1694" i="16"/>
  <c r="P1695" i="16"/>
  <c r="Q1695" i="16"/>
  <c r="Q1683" i="16"/>
  <c r="P1734" i="16"/>
  <c r="P1735" i="16"/>
  <c r="P1755" i="16"/>
  <c r="P1853" i="16"/>
  <c r="P1856" i="16"/>
  <c r="Q1856" i="16"/>
  <c r="P1831" i="16"/>
  <c r="P1848" i="16"/>
  <c r="P1852" i="16"/>
  <c r="Q1854" i="16"/>
  <c r="P1854" i="16"/>
  <c r="Q1858" i="16"/>
  <c r="P1858" i="16"/>
  <c r="Q1861" i="16"/>
  <c r="Q1984" i="16"/>
  <c r="P1984" i="16"/>
  <c r="P1990" i="16"/>
  <c r="Q1990" i="16"/>
  <c r="Q1995" i="16"/>
  <c r="Q2000" i="16"/>
  <c r="P2000" i="16"/>
  <c r="P1861" i="16"/>
  <c r="P1866" i="16"/>
  <c r="P1870" i="16"/>
  <c r="P1875" i="16"/>
  <c r="P1879" i="16"/>
  <c r="P1883" i="16"/>
  <c r="P1887" i="16"/>
  <c r="P1891" i="16"/>
  <c r="P1986" i="16"/>
  <c r="Q1986" i="16"/>
  <c r="Q1996" i="16"/>
  <c r="P1996" i="16"/>
  <c r="Q2002" i="16"/>
  <c r="P2002" i="16"/>
  <c r="P2016" i="16"/>
  <c r="Q2016" i="16"/>
  <c r="P2021" i="16"/>
  <c r="Q2021" i="16"/>
  <c r="P1894" i="16"/>
  <c r="P1957" i="16"/>
  <c r="P1965" i="16"/>
  <c r="P1973" i="16"/>
  <c r="P1981" i="16"/>
  <c r="Q1992" i="16"/>
  <c r="P1992" i="16"/>
  <c r="P1998" i="16"/>
  <c r="Q1998" i="16"/>
  <c r="P2004" i="16"/>
  <c r="Q2004" i="16"/>
  <c r="Q2012" i="16"/>
  <c r="Q1956" i="16"/>
  <c r="Q1964" i="16"/>
  <c r="Q1988" i="16"/>
  <c r="P1988" i="16"/>
  <c r="P1994" i="16"/>
  <c r="Q1994" i="16"/>
  <c r="Q2024" i="16"/>
  <c r="P2024" i="16"/>
  <c r="P2031" i="16"/>
  <c r="Q2031" i="16"/>
  <c r="Q2061" i="16"/>
  <c r="P2061" i="16"/>
  <c r="Q2063" i="16"/>
  <c r="P2063" i="16"/>
  <c r="P2012" i="16"/>
  <c r="P2017" i="16"/>
  <c r="P2020" i="16"/>
  <c r="Q2018" i="16"/>
  <c r="Q2019" i="16"/>
  <c r="Q2029" i="16"/>
  <c r="P2032" i="16"/>
  <c r="Q2038" i="16"/>
  <c r="P2040" i="16"/>
  <c r="Q2045" i="16"/>
  <c r="Q2052" i="16"/>
  <c r="P2055" i="16"/>
  <c r="AE2065" i="16" l="1"/>
  <c r="L2064" i="16"/>
  <c r="Q1760" i="16"/>
  <c r="N2064" i="16"/>
  <c r="Q1716" i="16"/>
  <c r="E2069" i="16"/>
  <c r="Q1722" i="16"/>
  <c r="Q305" i="16"/>
  <c r="Q1646" i="16"/>
  <c r="P213" i="16"/>
  <c r="Q213" i="16"/>
  <c r="AD2065" i="16"/>
  <c r="P1323" i="16"/>
  <c r="Q1323" i="16"/>
  <c r="D2068" i="16"/>
  <c r="P2064" i="16" l="1"/>
  <c r="Q2064" i="16"/>
  <c r="D2067" i="16"/>
  <c r="D2069" i="16" s="1"/>
  <c r="H236" i="5" l="1"/>
  <c r="I7" i="5"/>
  <c r="I8" i="5"/>
  <c r="J6" i="5"/>
  <c r="I236" i="5" l="1"/>
  <c r="D239" i="5" s="1"/>
  <c r="G236" i="5" l="1"/>
  <c r="K6" i="5"/>
  <c r="J7" i="5"/>
  <c r="K7" i="5"/>
  <c r="J8" i="5"/>
  <c r="K8" i="5"/>
  <c r="L8" i="5" l="1"/>
  <c r="L7" i="5"/>
  <c r="L6" i="5"/>
  <c r="J236" i="5" l="1"/>
  <c r="D240" i="5" s="1"/>
  <c r="D241" i="5" s="1"/>
  <c r="K236" i="5"/>
  <c r="G39" i="15" l="1"/>
  <c r="H39" i="15" l="1"/>
  <c r="E240" i="5" l="1"/>
  <c r="E239" i="5"/>
  <c r="E241" i="5" l="1"/>
  <c r="L236" i="5"/>
  <c r="A2" i="15" l="1"/>
  <c r="G26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H5" authorId="0" shapeId="0" xr:uid="{6612966A-F802-4D33-B10F-29BEDCBFE4C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B243" authorId="0" shapeId="0" xr:uid="{1F841CA2-44C8-4181-9FE8-ABD1B9583A2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43" authorId="0" shapeId="0" xr:uid="{1694E2D4-3B2A-4A9A-BD9F-1C9A467FAA1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H243" authorId="0" shapeId="0" xr:uid="{7E7874BE-C700-41FF-896C-944F2B0277A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49" authorId="0" shapeId="0" xr:uid="{A987C9B6-D17C-4070-8BF3-83134CECD40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H249" authorId="0" shapeId="0" xr:uid="{14752808-460A-477B-B9F1-1FBB2EEEC162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F4" authorId="0" shapeId="0" xr:uid="{1C2BF8CA-2B43-4D3E-B195-F86D5417C1CF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28" authorId="0" shapeId="0" xr:uid="{23F8C4A1-B75C-47D5-9216-192B98FEA7F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35" authorId="0" shapeId="0" xr:uid="{6C8599DB-F80B-4E57-8342-8B26BD6B5F1E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  <author>AMPC</author>
    <author>tc={48A057D6-7B56-4CD3-8CD9-D28499823B71}</author>
    <author>tc={9169865D-DAF1-4436-9075-E2AB449F8149}</author>
    <author>tc={F6A620B5-0DE6-4F06-AB03-AEC4ADB3601C}</author>
  </authors>
  <commentList>
    <comment ref="M5" authorId="0" shapeId="0" xr:uid="{DC33C070-D797-459B-809E-822983E6730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H43" authorId="1" shapeId="0" xr:uid="{D1D07512-BC54-4F29-A0A7-B77E7A31D93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46" authorId="1" shapeId="0" xr:uid="{F4E03EC6-26BF-4ED4-8702-B1E96F0DEEE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67" authorId="1" shapeId="0" xr:uid="{06428513-D0C2-4472-B6D6-0CF02319B71F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71" authorId="1" shapeId="0" xr:uid="{980EC980-40AB-4C40-AFE9-5E482925018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
</t>
        </r>
      </text>
    </comment>
    <comment ref="G73" authorId="1" shapeId="0" xr:uid="{81130A1A-9CD2-4C1E-B9EC-9CC9BFF02F1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
</t>
        </r>
      </text>
    </comment>
    <comment ref="H363" authorId="1" shapeId="0" xr:uid="{EE669E1A-0809-4F26-8FEF-8B5136650E8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397" authorId="1" shapeId="0" xr:uid="{F86E3E7B-CFD8-4084-B460-796A3A6CAC6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9
</t>
        </r>
      </text>
    </comment>
    <comment ref="H398" authorId="1" shapeId="0" xr:uid="{BBD52FA2-D557-4705-B06A-4E631844C219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5</t>
        </r>
      </text>
    </comment>
    <comment ref="H400" authorId="1" shapeId="0" xr:uid="{568B5C59-380F-4894-A128-647D8481953D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422" authorId="1" shapeId="0" xr:uid="{97212C23-E9D8-4F28-8BBC-D7EF2AF5EE5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423" authorId="1" shapeId="0" xr:uid="{3A548746-3FA0-4356-B0B3-DAA4503C369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426" authorId="1" shapeId="0" xr:uid="{0EEB63FB-7182-4821-830F-FBA31F8AFA09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427" authorId="1" shapeId="0" xr:uid="{6100C833-ACEC-4D5F-B81A-0890AD3BEB2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442" authorId="1" shapeId="0" xr:uid="{10E6A7B1-21D2-4026-9413-64A33733DF9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adjusted</t>
        </r>
      </text>
    </comment>
    <comment ref="G598" authorId="1" shapeId="0" xr:uid="{664DED7D-578D-4339-96FE-DD21B2297D5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+1
FOR PULL OUT</t>
        </r>
      </text>
    </comment>
    <comment ref="G601" authorId="1" shapeId="0" xr:uid="{86572D05-2EEE-4F86-94AE-E7740C79B4D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 +1 FOR PULL OUT</t>
        </r>
      </text>
    </comment>
    <comment ref="H613" authorId="1" shapeId="0" xr:uid="{9AC79D2B-4222-45E6-B9C4-6B0D406ADE62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665" authorId="1" shapeId="0" xr:uid="{31DAAFBD-0B86-41AE-B055-2F82BAD7C92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764" authorId="1" shapeId="0" xr:uid="{EF9D1F42-7B49-4E0E-B49E-797419747054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770" authorId="1" shapeId="0" xr:uid="{EC0AE2A7-75FC-4B2C-9E9E-D62428E464AF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779" authorId="1" shapeId="0" xr:uid="{309AB954-1616-4528-A2AC-3F48E40A70CD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780" authorId="1" shapeId="0" xr:uid="{B2FDCBFC-702C-409C-959F-7A4495E2D19F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792" authorId="1" shapeId="0" xr:uid="{64D0CE4E-421E-43A2-A475-C7BBF3CCC11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819" authorId="1" shapeId="0" xr:uid="{5817FA8A-0B4B-44BD-8271-C29A2607D87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820" authorId="1" shapeId="0" xr:uid="{974DA609-8E9A-447E-81F0-93F573E828C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839" authorId="1" shapeId="0" xr:uid="{C2D06E2E-1A0F-4BE1-A5A1-617A76D3DEC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877" authorId="1" shapeId="0" xr:uid="{792A150C-BD99-4EAC-8084-2160D498178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898" authorId="1" shapeId="0" xr:uid="{ABAC7048-0B42-4239-9F3C-15A66F7B6AD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934" authorId="1" shapeId="0" xr:uid="{72961C24-0C86-4B01-B3CC-974E16AE02F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936" authorId="1" shapeId="0" xr:uid="{A09A3481-5D2A-4AEC-B806-C62A6BAEE0D1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937" authorId="1" shapeId="0" xr:uid="{2DCE903C-E9C5-4BAE-A0F6-1CDCB7434D3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962" authorId="2" shapeId="0" xr:uid="{48A057D6-7B56-4CD3-8CD9-D28499823B7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Adj sales</t>
        </r>
      </text>
    </comment>
    <comment ref="H983" authorId="1" shapeId="0" xr:uid="{1BFD841E-7DCE-4B03-957F-D8F6A89A12E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984" authorId="1" shapeId="0" xr:uid="{B37D1219-D01A-4913-A405-8F9D1B487A9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085" authorId="1" shapeId="0" xr:uid="{74277E6F-B6C4-4389-80D6-DE1363E83CF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49PCS ACTUAL 
ADJUSTMENT 27PCS-
PULL OUT 76PCS</t>
        </r>
      </text>
    </comment>
    <comment ref="G1100" authorId="1" shapeId="0" xr:uid="{18AFB6ED-7B0C-46E6-98FF-B97FC777A1C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21 PCS PULL OUT
</t>
        </r>
      </text>
    </comment>
    <comment ref="H1107" authorId="1" shapeId="0" xr:uid="{C0C5101B-D69C-4CC0-8440-58EF31CADB1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153" authorId="3" shapeId="0" xr:uid="{9169865D-DAF1-4436-9075-E2AB449F8149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 sale 1
</t>
        </r>
      </text>
    </comment>
    <comment ref="G1157" authorId="4" shapeId="0" xr:uid="{F6A620B5-0DE6-4F06-AB03-AEC4ADB3601C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 sale
</t>
        </r>
      </text>
    </comment>
    <comment ref="H1315" authorId="1" shapeId="0" xr:uid="{2CE9B73A-7B94-4DA7-B191-9587698ABC3D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1409" authorId="1" shapeId="0" xr:uid="{4B750D20-4046-49D6-86CF-E66848F80AB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55" authorId="1" shapeId="0" xr:uid="{73C97BD7-9EA5-4225-878C-44016804D03F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67" authorId="1" shapeId="0" xr:uid="{85B658BA-0FDD-4F0D-A87A-FC0E749E709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68" authorId="1" shapeId="0" xr:uid="{64747A39-8D82-4D30-953C-DEA2D06A1E19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70" authorId="1" shapeId="0" xr:uid="{F396B5C4-B8DB-406A-B3C0-7453EADAE8C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71" authorId="1" shapeId="0" xr:uid="{92F26A3E-37E3-4A0D-8CE8-4B7B2AC1036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72" authorId="1" shapeId="0" xr:uid="{991EF676-7B2E-453B-93EF-D8ACD51BE4D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74" authorId="1" shapeId="0" xr:uid="{B4EE725B-C719-4B11-84A0-7C5230E8964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76" authorId="1" shapeId="0" xr:uid="{209991B3-779C-4EC8-AF81-B983CF6A2CE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77" authorId="1" shapeId="0" xr:uid="{AC6534C8-448F-49DC-B272-9073E892E29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78" authorId="1" shapeId="0" xr:uid="{DB843EC8-22D5-4420-BF72-75DC471EAD2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480" authorId="1" shapeId="0" xr:uid="{DDDE960E-86A2-477A-951A-78AF556920B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1625" authorId="1" shapeId="0" xr:uid="{79998717-CBBD-49B0-A0A5-12BF81AFF9C1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1626" authorId="1" shapeId="0" xr:uid="{02B2C6C7-625E-4E6A-AB80-E6ACA306E1D4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1680" authorId="1" shapeId="0" xr:uid="{F4659EA2-3A43-4FBF-92C7-8DE40B6893F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1743" authorId="1" shapeId="0" xr:uid="{791DEA09-E89F-427E-BD78-398F6454CE5D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1753" authorId="1" shapeId="0" xr:uid="{2EE8543F-2AD4-4A83-96D9-282AAC958E5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1779" authorId="1" shapeId="0" xr:uid="{4B141BA7-92D0-4DE0-BFB4-48BBEDA3EA1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bo</t>
        </r>
      </text>
    </comment>
    <comment ref="H1781" authorId="1" shapeId="0" xr:uid="{FD8DBC79-B75A-4A2B-A863-FBF2973291D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bo</t>
        </r>
      </text>
    </comment>
    <comment ref="H1796" authorId="1" shapeId="0" xr:uid="{3D4343DF-0474-4CFF-ABFA-E63165B53243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1811" authorId="1" shapeId="0" xr:uid="{9E3E79FA-9A7B-46B4-8B11-E55E39672B3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1815" authorId="1" shapeId="0" xr:uid="{CAC91F5A-FA89-48CF-AD2E-BE0F0D5F9093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1909" authorId="1" shapeId="0" xr:uid="{BA409534-2786-4B6C-8A73-97FCE95B4A4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Naka sales ng july 10, 2026 - 0-145548</t>
        </r>
      </text>
    </comment>
    <comment ref="K1909" authorId="1" shapeId="0" xr:uid="{E2598B0F-8B21-4645-98CB-540B7A5E28A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22" authorId="1" shapeId="0" xr:uid="{AD5AC919-A4A5-4C1F-9252-6D0CE24CFB33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2033" authorId="1" shapeId="0" xr:uid="{A745D1A3-E59B-4484-9739-5039952EE6A1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2036" authorId="1" shapeId="0" xr:uid="{8A026D75-3A9D-441E-B22C-01DB60DB0AF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H2037" authorId="1" shapeId="0" xr:uid="{8590A16A-BD23-4E1B-888C-2C15041BB333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B2071" authorId="0" shapeId="0" xr:uid="{3846BAC7-C2E3-4F95-BE52-5C8E5C1958D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071" authorId="0" shapeId="0" xr:uid="{6A13E5EE-FFD3-463B-ADFA-509FDDEDAC3B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G2071" authorId="0" shapeId="0" xr:uid="{97361851-F35F-48F6-8112-BE28EC44C24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L2071" authorId="0" shapeId="0" xr:uid="{F9AEF619-D3DC-427D-935F-3F7E765F086C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077" authorId="0" shapeId="0" xr:uid="{B4110C2E-CC7C-47CE-937A-D345D1B6916D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G2077" authorId="0" shapeId="0" xr:uid="{A1D6EBE2-D929-407D-9178-655C3C5FA69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L2077" authorId="0" shapeId="0" xr:uid="{FEB54939-1180-4ACA-9936-57455B036EAE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J4" authorId="0" shapeId="0" xr:uid="{AC60BA65-3004-4D32-BCA3-871F99D04FDE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J34" authorId="0" shapeId="0" xr:uid="{F566870E-BB3E-4A3E-A0BC-388AA09D23B2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J7" authorId="0" shapeId="0" xr:uid="{4FCB510E-709E-4B5E-AEFB-2C0D9D505654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  <author>AMPC</author>
  </authors>
  <commentList>
    <comment ref="K2" authorId="0" shapeId="0" xr:uid="{9A5CE5EE-FF3E-4893-BCF7-0834ECF899B7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87" authorId="1" shapeId="0" xr:uid="{97025655-83F9-42D2-A6DA-8DDFD875A9B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F88" authorId="1" shapeId="0" xr:uid="{79DEEC35-5739-4EE3-BDE0-E4AB34C9966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F98" authorId="1" shapeId="0" xr:uid="{D3F4D2F1-135E-4EC9-8AAC-6E6CBF2D83E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F135" authorId="1" shapeId="0" xr:uid="{F3E6488F-D1CF-403C-85A8-03C174D14E5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141" authorId="1" shapeId="0" xr:uid="{2AA8D0F9-859C-4558-A3F0-F20FA815D5E3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143" authorId="1" shapeId="0" xr:uid="{2C1499C4-F79B-4388-8E07-01E49D17F452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144" authorId="1" shapeId="0" xr:uid="{DF3F7830-3225-450F-9F3F-CB5011A8F86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145" authorId="1" shapeId="0" xr:uid="{E703074B-1B71-41F2-BBB7-22B09939684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147" authorId="1" shapeId="0" xr:uid="{E2487014-12BD-491F-8B76-3D279E111F89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149" authorId="1" shapeId="0" xr:uid="{D8BD6965-3C1F-46F8-B8EC-C9F92051F71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F153" authorId="1" shapeId="0" xr:uid="{DF9855CE-7B66-4903-9074-6A4416EC472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F168" authorId="1" shapeId="0" xr:uid="{1B75D2E0-2EDE-4F3F-9AAF-601538A45E1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bo</t>
        </r>
      </text>
    </comment>
    <comment ref="F192" authorId="1" shapeId="0" xr:uid="{05E97AA0-235C-4C7C-BA69-C1738C78124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K199" authorId="0" shapeId="0" xr:uid="{845415E3-F39A-4787-BFA1-5F709A7C59F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212" authorId="1" shapeId="0" xr:uid="{DBA4F2D2-370C-4B0E-937A-C08FEBDC5661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F272" authorId="1" shapeId="0" xr:uid="{758D5072-B2B8-4B64-9699-AE408EF2C42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279" authorId="1" shapeId="0" xr:uid="{E4A92277-FC94-46CF-973C-1CBDBE0D1AE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adjusted</t>
        </r>
      </text>
    </comment>
    <comment ref="F350" authorId="1" shapeId="0" xr:uid="{AE3B958D-3293-49E3-884B-B3365695D58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F361" authorId="1" shapeId="0" xr:uid="{76FC090D-FE3A-484F-B406-603DAA998CD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367" authorId="1" shapeId="0" xr:uid="{FA05DD6F-0983-42C2-8715-BF7D8C91D639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472" authorId="1" shapeId="0" xr:uid="{62908F28-6741-4DED-AE03-61C99A01BAC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F508" authorId="1" shapeId="0" xr:uid="{99F63009-5D86-4740-BD80-645900BE34A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bo</t>
        </r>
      </text>
    </comment>
    <comment ref="F512" authorId="1" shapeId="0" xr:uid="{80BCCBC7-D846-4280-BD19-E0A6008A935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</commentList>
</comments>
</file>

<file path=xl/sharedStrings.xml><?xml version="1.0" encoding="utf-8"?>
<sst xmlns="http://schemas.openxmlformats.org/spreadsheetml/2006/main" count="15359" uniqueCount="5547">
  <si>
    <t>INVENTORY REPORT</t>
  </si>
  <si>
    <t>SHELF NO.</t>
  </si>
  <si>
    <t>SHELF DESCRIPTION</t>
  </si>
  <si>
    <t>BARCODE</t>
  </si>
  <si>
    <t>PRODUCT NAME</t>
  </si>
  <si>
    <t>UNIT COST</t>
  </si>
  <si>
    <t>ACTUAL INVENTORY</t>
  </si>
  <si>
    <t>TOTAL COST - RECORD</t>
  </si>
  <si>
    <t>TOTAL COST - ACTUAL INVENTORY</t>
  </si>
  <si>
    <t>VARIANCE - QUANTITY</t>
  </si>
  <si>
    <t>VARIANCE - COST</t>
  </si>
  <si>
    <t>REMARKS / CAUSE OF VARIANCE</t>
  </si>
  <si>
    <t>TOTAL</t>
  </si>
  <si>
    <t>PARTICULARS</t>
  </si>
  <si>
    <t>TOTAL COST</t>
  </si>
  <si>
    <t>TOTAL QUANTITY</t>
  </si>
  <si>
    <t>ACTION PLAN ON THE DEVIATION</t>
  </si>
  <si>
    <t>RECORD</t>
  </si>
  <si>
    <t>VARIANCE</t>
  </si>
  <si>
    <t>PREPARED BY:</t>
  </si>
  <si>
    <t>CHECKED BY:</t>
  </si>
  <si>
    <t>COMFORMED BY:</t>
  </si>
  <si>
    <t>INVENTORY CONTROLLER</t>
  </si>
  <si>
    <t>OPERATION - UNIT HEAD</t>
  </si>
  <si>
    <t>RECOMMENDING APPROVAL BY:</t>
  </si>
  <si>
    <t>APPROVED BY:</t>
  </si>
  <si>
    <t>JASPER D. SANTOS</t>
  </si>
  <si>
    <t>GENERAL MANAGER</t>
  </si>
  <si>
    <t>OVER</t>
  </si>
  <si>
    <t>RETURN</t>
  </si>
  <si>
    <t>SHORT</t>
  </si>
  <si>
    <t>PRINTING</t>
  </si>
  <si>
    <t>BARCODE/ CONTROL NUMBER</t>
  </si>
  <si>
    <t>QUANTITY PER RECORD / ACCPOS</t>
  </si>
  <si>
    <t>OFFICE SUPPLIES</t>
  </si>
  <si>
    <t>MICHAEL PASCUA</t>
  </si>
  <si>
    <t>Overage will be adjusted to the system while shortage will be charged to the accountable staff.</t>
  </si>
  <si>
    <t>VARIANCE BREAKDOWN (PRINTING)</t>
  </si>
  <si>
    <t>SRP</t>
  </si>
  <si>
    <t>REMARKS</t>
  </si>
  <si>
    <t>COOP STORE</t>
  </si>
  <si>
    <t>STORE</t>
  </si>
  <si>
    <t>BODEGA 1</t>
  </si>
  <si>
    <t>BODEGA 2</t>
  </si>
  <si>
    <t>BO - COUNTER</t>
  </si>
  <si>
    <t>EXPIRED</t>
  </si>
  <si>
    <t>SALES</t>
  </si>
  <si>
    <t>QTY</t>
  </si>
  <si>
    <t>AMOUNT</t>
  </si>
  <si>
    <t>CHIPS &amp; SNACK</t>
  </si>
  <si>
    <t>4800631001928</t>
  </si>
  <si>
    <t>BOY BAWANG ASSORTED NUTS 85G</t>
  </si>
  <si>
    <t>BOY BAWANG CHILI CHEESE 100G</t>
  </si>
  <si>
    <t>4809011681095</t>
  </si>
  <si>
    <t>BOY BAWANG CORNICK ADOBO 100G</t>
  </si>
  <si>
    <t>4809011681507</t>
  </si>
  <si>
    <t>BOY BAWANG CORNICK BBQ FLAVOR 100G</t>
  </si>
  <si>
    <t>4800631681311</t>
  </si>
  <si>
    <t>BOY BAWANG CORNICK LECHON MANOK FLAVOR</t>
  </si>
  <si>
    <t>4800631000419</t>
  </si>
  <si>
    <t>BOY BAWANG CRACKER NUTS 85G</t>
  </si>
  <si>
    <t>4809011681378</t>
  </si>
  <si>
    <t>BOY BAWANG GARLIC FLAVOR 100G</t>
  </si>
  <si>
    <t>4809011681194</t>
  </si>
  <si>
    <t>BOY BAWANG HOT GARLIC 100G</t>
  </si>
  <si>
    <t>4800631000488</t>
  </si>
  <si>
    <t>BOY BAWANG MIXED NUTS GARLIC FLAVOR 100G</t>
  </si>
  <si>
    <t>1-Expired 4/15/2025</t>
  </si>
  <si>
    <t>4800631001867</t>
  </si>
  <si>
    <t>BOY BAWANG SNACK MIX W/ REAL GARLIC CHIPS 85G</t>
  </si>
  <si>
    <t>4800194104128</t>
  </si>
  <si>
    <t>CHEEZ ON CHIPS CHEESE FLAVOR 22G</t>
  </si>
  <si>
    <t>EXPIRED 2024 MAY 2026-50</t>
  </si>
  <si>
    <t>4800216125919</t>
  </si>
  <si>
    <t>CHEEZY CORN CRUNCH CHEESE 150G</t>
  </si>
  <si>
    <t>4800216121041</t>
  </si>
  <si>
    <t>CHEEZY CORN CRUNCH CHEESE 24G</t>
  </si>
  <si>
    <t>4800216121058</t>
  </si>
  <si>
    <t>CHEEZY CORN CRUNCH CHEESE 70G</t>
  </si>
  <si>
    <t>4800216121911</t>
  </si>
  <si>
    <t>CHEEZY CORN CRUNCH RED HOT 22G</t>
  </si>
  <si>
    <t>4800216122437</t>
  </si>
  <si>
    <t>CHEEZY CORN CRUNCH RED HOT 70G</t>
  </si>
  <si>
    <t>4800016115424</t>
  </si>
  <si>
    <t>CHICHARRON NI MANG JUAN KLASIK CHICHARON 90G</t>
  </si>
  <si>
    <t>4800016110535</t>
  </si>
  <si>
    <t>CHICHARRON NI MANG JUAN PAOMBONG 26G</t>
  </si>
  <si>
    <t>4800016110511</t>
  </si>
  <si>
    <t>CHICHARRON NI MANG JUAN PAOMBONG 90G</t>
  </si>
  <si>
    <t>4800016110542</t>
  </si>
  <si>
    <t>CHICHARRON NI MANG JUAN SUKAT SILI 26G</t>
  </si>
  <si>
    <t>EXPIRED JAN 2026</t>
  </si>
  <si>
    <t>4800016110528</t>
  </si>
  <si>
    <t>CHICHARRON NI MANG JUAN SUKAT SILI 90G</t>
  </si>
  <si>
    <t>4806505854423</t>
  </si>
  <si>
    <t>CHICK BOY CALIFORNIA CRUNCH ONION &amp; GARLIC FLAVOR 100G</t>
  </si>
  <si>
    <t>4806505854225</t>
  </si>
  <si>
    <t>CHICK BOY CHEESE FLAVOR 100G</t>
  </si>
  <si>
    <t>4806505854232</t>
  </si>
  <si>
    <t>CHICK BOY SWEET CORN FLAVOR 100G</t>
  </si>
  <si>
    <t>4806505854416</t>
  </si>
  <si>
    <t>CHICK BOY TEXAS SMOKED BBQ FLAVOR 100G</t>
  </si>
  <si>
    <t>4800016115011</t>
  </si>
  <si>
    <t>CHICKN SKIN NI MANG JUAN 17G</t>
  </si>
  <si>
    <t>4800016115257</t>
  </si>
  <si>
    <t>CHICKN SKIN NI MANG JUAN 70G</t>
  </si>
  <si>
    <t>4800016643095</t>
  </si>
  <si>
    <t>CHIPPY BBQ FLAVOR 110G</t>
  </si>
  <si>
    <t>4800016642029</t>
  </si>
  <si>
    <t>CHIPPY BBQ FLAVOR 27G</t>
  </si>
  <si>
    <t>4800194117326</t>
  </si>
  <si>
    <t>CHOCO FLAKES CEREALS 22G</t>
  </si>
  <si>
    <t>EXPIRED 2024 &amp; MAY 2026-50</t>
  </si>
  <si>
    <t>4800216110045</t>
  </si>
  <si>
    <t>CLOVER CHEESE 145G</t>
  </si>
  <si>
    <t>EXPIRED 2024</t>
  </si>
  <si>
    <t>4800216120013</t>
  </si>
  <si>
    <t>CLOVER CHEESE 24G</t>
  </si>
  <si>
    <t>20-EXPIRED 8/21/2024</t>
  </si>
  <si>
    <t>4800216110069</t>
  </si>
  <si>
    <t>CLOVER CHIPS CHEESE 55G</t>
  </si>
  <si>
    <t>EXPIRED 2025</t>
  </si>
  <si>
    <t>4800216110014</t>
  </si>
  <si>
    <t>CLOVER CHIPS CHEESE 85G</t>
  </si>
  <si>
    <t>4800216126800</t>
  </si>
  <si>
    <t>CLOVER CHIPS CHILI&amp;CHEESE 55G</t>
  </si>
  <si>
    <t>EXPIRED AUG 2025</t>
  </si>
  <si>
    <t>4800194116114</t>
  </si>
  <si>
    <t>CORN OLE BARBECUE FLAVOR 22G</t>
  </si>
  <si>
    <t>4800092772214</t>
  </si>
  <si>
    <t>CRISS CROSS CREAMY CHEESE 20G</t>
  </si>
  <si>
    <t>4800092331909</t>
  </si>
  <si>
    <t>DING DONG MIXED NUTS HOT N SPICY 100G</t>
  </si>
  <si>
    <t>4800092330131</t>
  </si>
  <si>
    <t>DING DONG MIXED NUTS PLAIN 100G</t>
  </si>
  <si>
    <t>4800092333057</t>
  </si>
  <si>
    <t>DRAGON SID PREMIUM SQUASH SEEDS 20G</t>
  </si>
  <si>
    <t>4800092771187</t>
  </si>
  <si>
    <t>FUNKY FRENCH FRY SNAX CHEESE FLAVOR 23G</t>
  </si>
  <si>
    <t>4800092771446</t>
  </si>
  <si>
    <t>FUNKY FRENCH FRY SNAX SPAGHETTI FLAVOR 23G</t>
  </si>
  <si>
    <t>4800016138515</t>
  </si>
  <si>
    <t>GG TORTILLOS BBQ FLAVOR 100G</t>
  </si>
  <si>
    <t>4800016138546</t>
  </si>
  <si>
    <t>GG TORTILLOS CHEESE FLAVOR 100G</t>
  </si>
  <si>
    <t>4800016138560</t>
  </si>
  <si>
    <t>GG TORTILLOS CHEESE FLAVOR 25G</t>
  </si>
  <si>
    <t>4800054111228</t>
  </si>
  <si>
    <t>GROWERS GARLIC FLAVOR PEANUTS 30G</t>
  </si>
  <si>
    <t>11-EXPIRED 6/2025</t>
  </si>
  <si>
    <t>4800054111280</t>
  </si>
  <si>
    <t>GROWERS GARLIC FLAVOR PEANUTS 80G</t>
  </si>
  <si>
    <t>4800054124280</t>
  </si>
  <si>
    <t>GROWERS GLAZED PILI NUTS 80G</t>
  </si>
  <si>
    <t>4800054123221</t>
  </si>
  <si>
    <t>GROWERS MIX NUTS 34G</t>
  </si>
  <si>
    <t>4800054123283</t>
  </si>
  <si>
    <t>GROWERS MIX NUTS 80G</t>
  </si>
  <si>
    <t>EXPIRED JUL 2025</t>
  </si>
  <si>
    <t>4800054126284</t>
  </si>
  <si>
    <t>GROWERS ONION &amp; GARLIC ALMONDS 80G</t>
  </si>
  <si>
    <t>4800054113284</t>
  </si>
  <si>
    <t>GROWERS ORIENTAL FLAVOR PEANUTS 80G</t>
  </si>
  <si>
    <t>4800054121227</t>
  </si>
  <si>
    <t xml:space="preserve">GROWERS SALTED CASHEW NUTS </t>
  </si>
  <si>
    <t>4800054121289</t>
  </si>
  <si>
    <t>GROWERS SALTED CASHEW NUTS 80G</t>
  </si>
  <si>
    <t>4800054125225</t>
  </si>
  <si>
    <t>GROWERS SALTED PISTACHIO NUTS 28G</t>
  </si>
  <si>
    <t>4800054125287</t>
  </si>
  <si>
    <t>GROWERS SALTED PISTACHIO NUTS 80G</t>
  </si>
  <si>
    <t>EXPIRED MAR 2026</t>
  </si>
  <si>
    <t>4800054112225</t>
  </si>
  <si>
    <t>GROWERS SAVOURY HOT PEANUT 30G</t>
  </si>
  <si>
    <t>4800054112287</t>
  </si>
  <si>
    <t>GROWERS SAVOURY HOT PEANUTS 80G</t>
  </si>
  <si>
    <t>4800054122224</t>
  </si>
  <si>
    <t>GROWERS TOASTED CASHEW NUTS 28G</t>
  </si>
  <si>
    <t>4800054122286</t>
  </si>
  <si>
    <t>GROWERS TOASTED CASHEW NUTS 80G</t>
  </si>
  <si>
    <t>4800016680540</t>
  </si>
  <si>
    <t>HONEY BUTTER POTATO CHIPS 22G</t>
  </si>
  <si>
    <t>4800016680267</t>
  </si>
  <si>
    <t>HONEY BUTTER POTATO CHIPS 60G</t>
  </si>
  <si>
    <t>4800194152839</t>
  </si>
  <si>
    <t>MARTYS CHICKEN INASAL FLAVOR 26G</t>
  </si>
  <si>
    <t>25-EXPIRED 9/19/2025</t>
  </si>
  <si>
    <t>EXPIRED 2025 50PCS HINDI EXPIRED</t>
  </si>
  <si>
    <t>4800194179836</t>
  </si>
  <si>
    <t>MARTYS CRACKLIN CHICKEN INASAL FLAVOR 90G</t>
  </si>
  <si>
    <t>4800194179904</t>
  </si>
  <si>
    <t>MARTYS CRACKLIN SALT &amp; VINEGAR 90G</t>
  </si>
  <si>
    <t>4800194152891</t>
  </si>
  <si>
    <t>MARTYS SPICY VINEGAR 26G</t>
  </si>
  <si>
    <t>4800016652035</t>
  </si>
  <si>
    <t>MR CHIPS NACHO CHEESE FLAVOR 26G</t>
  </si>
  <si>
    <t>4800016666445</t>
  </si>
  <si>
    <t>MR. CHIPS MANAMIS MAIS 45G</t>
  </si>
  <si>
    <t>4800016653094</t>
  </si>
  <si>
    <t>MR. CHIPS NACHO CHEESE FLAVOR 100G</t>
  </si>
  <si>
    <t>4800361028639</t>
  </si>
  <si>
    <t>NESTLE KOKO KRUNCH 20G</t>
  </si>
  <si>
    <t>EXPIRED JUN 2025</t>
  </si>
  <si>
    <t>4800016663802</t>
  </si>
  <si>
    <t>NOVA COUNTRY CHEDDAR 40G</t>
  </si>
  <si>
    <t>4800016663505</t>
  </si>
  <si>
    <t>NOVA COUNTRY CHEDDAR 78G</t>
  </si>
  <si>
    <t>4800194104913</t>
  </si>
  <si>
    <t>OHEYA CHEESE FLAVOR 28G</t>
  </si>
  <si>
    <t>86-Expired 4/23/2026 &amp; 7/2024</t>
  </si>
  <si>
    <t>EXPIRED 4/2026 &amp; 2024</t>
  </si>
  <si>
    <t>4800194150675</t>
  </si>
  <si>
    <t>OISHI CHOCO SPONGE CRUNCH 120G</t>
  </si>
  <si>
    <t>4800194116084</t>
  </si>
  <si>
    <t>OISHI CRACKLINGS SALT &amp; VINEGAR 24G</t>
  </si>
  <si>
    <t>56-EXPIRED 11/26/2024</t>
  </si>
  <si>
    <t>EXPIRED 2024 50PCS HINDI EXPIRED</t>
  </si>
  <si>
    <t>897399001028</t>
  </si>
  <si>
    <t>OISHI CRACKLINGS SALT &amp; VINEGAR 90G</t>
  </si>
  <si>
    <t>4800194104869</t>
  </si>
  <si>
    <t>OISHI CRISPY PATATA 24G</t>
  </si>
  <si>
    <t>EXPIRED  MAY 2026</t>
  </si>
  <si>
    <t>4800194177863</t>
  </si>
  <si>
    <t>OISHI CRISPY PATATA 85G</t>
  </si>
  <si>
    <t>32-Expired 6/2026</t>
  </si>
  <si>
    <t>EXPIRED 2024 2025 15PCS JUNE 2026</t>
  </si>
  <si>
    <t>4800194116619</t>
  </si>
  <si>
    <t>OISHI FISH CRACKERS 24G</t>
  </si>
  <si>
    <t>4800194136648</t>
  </si>
  <si>
    <t>OISHI FISHDA FISH KROPECK 22G</t>
  </si>
  <si>
    <t>56-Expired 5/2026 &amp; 11/2024</t>
  </si>
  <si>
    <t>EXPIRED 2024 49PCS MAY 2026</t>
  </si>
  <si>
    <t>4800194179898</t>
  </si>
  <si>
    <t>OISHI MARTYS CRACKLIN SPICY VINEGAR 90G</t>
  </si>
  <si>
    <t>4800194115247</t>
  </si>
  <si>
    <t>OISHI MOBSTERS POPCORN CARAMEL &amp; CHEESE</t>
  </si>
  <si>
    <t>4800194104982</t>
  </si>
  <si>
    <t>OISHI ONION RINGS 16G</t>
  </si>
  <si>
    <t>4800194116466</t>
  </si>
  <si>
    <t>OISHI PILLOWS CHOCO FLAVOR 38G</t>
  </si>
  <si>
    <t>4800194114462</t>
  </si>
  <si>
    <t>OISHI PILLOWS CHOCOLATE 150G</t>
  </si>
  <si>
    <t>4800194152327</t>
  </si>
  <si>
    <t>OISHI PILLOWS UBE-FILLED CRACKERS 38G</t>
  </si>
  <si>
    <t>4800194152709</t>
  </si>
  <si>
    <t>OISHI PODS PEA SNACK 28G</t>
  </si>
  <si>
    <t>4800194115063</t>
  </si>
  <si>
    <t>OISHI POTATO CHIPS PLAIN SALTED 60G</t>
  </si>
  <si>
    <t>4800194104777</t>
  </si>
  <si>
    <t>OISHI POTATO FRIES CHEESE FLAVOR 21G</t>
  </si>
  <si>
    <t>4800194177771</t>
  </si>
  <si>
    <t>OISHI POTATO FRIES CHEESE FLAVOR 90G</t>
  </si>
  <si>
    <t>4800194131230</t>
  </si>
  <si>
    <t>OISHI POTATO FRIES PLAIN 90G</t>
  </si>
  <si>
    <t>4800194104968</t>
  </si>
  <si>
    <t>OISHI PRAWN CRACKERS SPICY FLAVOR 24G</t>
  </si>
  <si>
    <t>EXPIRED 2024 JUNE 2026-51 PCS</t>
  </si>
  <si>
    <t>4800194177962</t>
  </si>
  <si>
    <t>OISHI PRAWN CRACKERS SPICY FLAVOR 90G</t>
  </si>
  <si>
    <t>15-expired 5/2026</t>
  </si>
  <si>
    <t>EXPIRED MAY 2026</t>
  </si>
  <si>
    <t>4800194116169</t>
  </si>
  <si>
    <t>OISHI SPICY SEAFOOD 24G</t>
  </si>
  <si>
    <t>4800194178167</t>
  </si>
  <si>
    <t>OISHI SPICY SEAFOOD CURLS 90G</t>
  </si>
  <si>
    <t>4800194152679</t>
  </si>
  <si>
    <t>OISHI SPONGE CRUNCH 30G</t>
  </si>
  <si>
    <t>888123456782008</t>
  </si>
  <si>
    <t>PANI CORNICK</t>
  </si>
  <si>
    <t>4800016644801</t>
  </si>
  <si>
    <t>PIATTOS CHEESE 40G</t>
  </si>
  <si>
    <t>4800016644504</t>
  </si>
  <si>
    <t>PIATTOS CHEESE 85G</t>
  </si>
  <si>
    <t>4800016633782</t>
  </si>
  <si>
    <t>PIATTOS ROADHOUSE BARBECUE 40G</t>
  </si>
  <si>
    <t>4800016633799</t>
  </si>
  <si>
    <t>PIATTOS ROADHOUSE BBQ 85G</t>
  </si>
  <si>
    <t>4800016665271</t>
  </si>
  <si>
    <t>PIATTOS ROASTBEEF 40G</t>
  </si>
  <si>
    <t>4800016671500</t>
  </si>
  <si>
    <t>PIATTOS SOUR CREAM &amp; ONION 85G</t>
  </si>
  <si>
    <t>4800016671807</t>
  </si>
  <si>
    <t>PIATTOS SOUR CREAM AND ONION 40G</t>
  </si>
  <si>
    <t>4800016635250</t>
  </si>
  <si>
    <t>PIC A BBQ OVERLOAD 90G</t>
  </si>
  <si>
    <t>4800016622533</t>
  </si>
  <si>
    <t>POTATO CHIPS VCUT SPICY BBQ 25G</t>
  </si>
  <si>
    <t>4800016625534</t>
  </si>
  <si>
    <t>POTATO CHIPS VCUT SPICY BBQ FLAVOR 60G</t>
  </si>
  <si>
    <t>4800194101783</t>
  </si>
  <si>
    <t>POTATO CRISPS CHEESE FLAVOR 18G</t>
  </si>
  <si>
    <t>EXPIRED 2024 JULY 2026-49PCS</t>
  </si>
  <si>
    <t>4800194101585</t>
  </si>
  <si>
    <t>POTATO CRISPS CREAMY GARLIC FLAVOR 18G</t>
  </si>
  <si>
    <t>4800016661099</t>
  </si>
  <si>
    <t>ROLLER COASTER CHEDDAR 85G</t>
  </si>
  <si>
    <t>4800016661006</t>
  </si>
  <si>
    <t>ROLLER COASTER CHEDDAR CHEESE 24G</t>
  </si>
  <si>
    <t>4800194117180</t>
  </si>
  <si>
    <t>SHOESTRING POTATOES PLAIN SALTED 20G</t>
  </si>
  <si>
    <t>4800016138577</t>
  </si>
  <si>
    <t>TORTILLOS CHILI FLAVORED CORN SNACKS 100G</t>
  </si>
  <si>
    <t>4800016603259</t>
  </si>
  <si>
    <t>VCUT CHEESE 25G</t>
  </si>
  <si>
    <t>23-EXPIRED 11/24/2025</t>
  </si>
  <si>
    <t>WINE &amp; ALCOHOLIC BEVERAGES</t>
  </si>
  <si>
    <t>8410028900091</t>
  </si>
  <si>
    <t>ALFONSO I LIGHT 1L 25%VOL</t>
  </si>
  <si>
    <t>8410028902477</t>
  </si>
  <si>
    <t>ALFONSO I LIGHT 500ML 25%VOL</t>
  </si>
  <si>
    <t>8410028901210</t>
  </si>
  <si>
    <t>ALFONSO I PLATINUM 1L</t>
  </si>
  <si>
    <t>8410028905041</t>
  </si>
  <si>
    <t>ALFONSO LIGHT 1L TRIPACK W/ POCARI</t>
  </si>
  <si>
    <t>8809640030338</t>
  </si>
  <si>
    <t>CHINGU SOJU GRAPE 360ML</t>
  </si>
  <si>
    <t>8809640030659</t>
  </si>
  <si>
    <t>CHINGU SOJU MANDARIN 360ML</t>
  </si>
  <si>
    <t>4800220608750</t>
  </si>
  <si>
    <t>EMBASSY PREMIUM BLENDED WHISKY 750ML</t>
  </si>
  <si>
    <t>4800142118290</t>
  </si>
  <si>
    <t>EMPERADOR DOUBLE LIGHT 1L</t>
  </si>
  <si>
    <t>4800142118283</t>
  </si>
  <si>
    <t>EMPERADOR DOUBLE LIGHT 750ML</t>
  </si>
  <si>
    <t>4800142110102</t>
  </si>
  <si>
    <t>EMPERADOR LIGHT 1L</t>
  </si>
  <si>
    <t>4800142110089</t>
  </si>
  <si>
    <t>EMPERADOR LIGHT 750ML</t>
  </si>
  <si>
    <t>8410162100234</t>
  </si>
  <si>
    <t>FUNDADOR LIGHT 1L</t>
  </si>
  <si>
    <t>4800130315168</t>
  </si>
  <si>
    <t>G.S.M BLUE MOJITO 1L</t>
  </si>
  <si>
    <t>4800130728128</t>
  </si>
  <si>
    <t>G.S.M BLUE MOJITO 700ML</t>
  </si>
  <si>
    <t>4800130100023</t>
  </si>
  <si>
    <t>GINEBRA SAN MIGUEL (BILOG) 350ML</t>
  </si>
  <si>
    <t>4806518687179</t>
  </si>
  <si>
    <t>GINEBRA SAN MIGUEL 1L</t>
  </si>
  <si>
    <t>4800130100030</t>
  </si>
  <si>
    <t>GINEBRA SAN MIGUEL 2X2 350ML</t>
  </si>
  <si>
    <t>4800130100016</t>
  </si>
  <si>
    <t>GINEBRA SAN MIGUEL 4X4 700ML</t>
  </si>
  <si>
    <t>4800130121097</t>
  </si>
  <si>
    <t>PRIMERA LIGHT PREMIUM SMOOTH BLEND 750ML</t>
  </si>
  <si>
    <t>4800220646851</t>
  </si>
  <si>
    <t>TANDUAY FLAVORED MIXES DAIQUIRI 700ML</t>
  </si>
  <si>
    <t>4800220645854</t>
  </si>
  <si>
    <t>TANDUAY FLAVORED MIXES DARK &amp; STORMY 700ML</t>
  </si>
  <si>
    <t>4800220604752</t>
  </si>
  <si>
    <t>TANDUAY SELECT BLENDED RUM 700ML</t>
  </si>
  <si>
    <t>8410028125906</t>
  </si>
  <si>
    <t>VINO FONTANA RED WINE 750ML</t>
  </si>
  <si>
    <t>8410028901289</t>
  </si>
  <si>
    <t>VINO FONTANA SWEET RED 750ML</t>
  </si>
  <si>
    <t>BREAD &amp; BISCUIT</t>
  </si>
  <si>
    <t>4800016627279</t>
  </si>
  <si>
    <t>BERRY KNOTS STRAW 28G</t>
  </si>
  <si>
    <t>4807770100611</t>
  </si>
  <si>
    <t>BINGO DOUBLE CHOCO 280G</t>
  </si>
  <si>
    <t>4807770100536</t>
  </si>
  <si>
    <t>BINGO ORANGE 280G</t>
  </si>
  <si>
    <t>4807770100697</t>
  </si>
  <si>
    <t>BINGO VANILLA 280G</t>
  </si>
  <si>
    <t>4800194153683</t>
  </si>
  <si>
    <t>BREAD PAN BUTTER 24G</t>
  </si>
  <si>
    <t>4800194173223</t>
  </si>
  <si>
    <t>BREAD PAN CHEESE&amp;ONION 42G</t>
  </si>
  <si>
    <t>4807770101717</t>
  </si>
  <si>
    <t>BREAD STIX 130G</t>
  </si>
  <si>
    <t>4807770100529</t>
  </si>
  <si>
    <t>BUTTER COCONUT 168G</t>
  </si>
  <si>
    <t>4807770122170</t>
  </si>
  <si>
    <t>BUTTER COCONUT 280G</t>
  </si>
  <si>
    <t>4800116077028</t>
  </si>
  <si>
    <t>BUTTER CREAM CHOCOLATE CRACKERS 10X25G</t>
  </si>
  <si>
    <t>4800116136022</t>
  </si>
  <si>
    <t>BUTTER CREAM CRACKERS CHEESE SPREAD 10X17G</t>
  </si>
  <si>
    <t>4800116135025</t>
  </si>
  <si>
    <t>BUTTER CREAM CRACKERS CHOCOLATE SPREAD 10X17G</t>
  </si>
  <si>
    <t>4800116131027</t>
  </si>
  <si>
    <t>BUTTER CREAM CRACKERS LECHE FLAN FLAVOR 10X25G</t>
  </si>
  <si>
    <t>4800116099020</t>
  </si>
  <si>
    <t>BUTTER CREAM ENSAYMADA CRACKERS 10X25G</t>
  </si>
  <si>
    <t>4800116098023</t>
  </si>
  <si>
    <t>BUTTER CREAM UBE CRACKERS 10X25G</t>
  </si>
  <si>
    <t>888123456781152</t>
  </si>
  <si>
    <t>CAMPITAS SPECIAL URARO BISCUIT</t>
  </si>
  <si>
    <t>BO</t>
  </si>
  <si>
    <t>4800552888004</t>
  </si>
  <si>
    <t>CHIPS DELIGHT CHOCOLATE CHIP COOKIES 200G</t>
  </si>
  <si>
    <t>4800552888059</t>
  </si>
  <si>
    <t>CHIPS DELIGHT CHOCOLATE CHIP COOKIES 80G</t>
  </si>
  <si>
    <t>4800552888080</t>
  </si>
  <si>
    <t>CHIPS DELIGHT PARTY PACK COOKIES 130G</t>
  </si>
  <si>
    <t>4800016627262</t>
  </si>
  <si>
    <t>CHOCO KNOTS CHOCOLATE 28G</t>
  </si>
  <si>
    <t>4800016077074</t>
  </si>
  <si>
    <t>CREAM O CHOCOLATE CHIP COOKIES 35GX10</t>
  </si>
  <si>
    <t>4800010075564</t>
  </si>
  <si>
    <t>CREAM-O CHOCO FUDGE 300G</t>
  </si>
  <si>
    <t>4800016077531</t>
  </si>
  <si>
    <t>CREAM-O COOKIES N CREAM 27GX10</t>
  </si>
  <si>
    <t>4800016077999</t>
  </si>
  <si>
    <t>CREAM-O DOUBLE CHOCO CHIP COOKIES 36GX10</t>
  </si>
  <si>
    <t>4800010075526</t>
  </si>
  <si>
    <t>CREAM-O VANILLA 300G</t>
  </si>
  <si>
    <t>4800024583161</t>
  </si>
  <si>
    <t>DEL POTATO CRISP BISCUITS ORIGINAL 50G</t>
  </si>
  <si>
    <t>4800024583178</t>
  </si>
  <si>
    <t>DEL POTATO CRISP BISCUITS SPICY 50G</t>
  </si>
  <si>
    <t>4806517040388</t>
  </si>
  <si>
    <t>DELFI KNICK KNACKS CHOCOLATE 28G</t>
  </si>
  <si>
    <t>4806517040104</t>
  </si>
  <si>
    <t>DELFI KNICK KNACKS DOUBLE CHOCO FLAVOR 62G</t>
  </si>
  <si>
    <t>4806517040395</t>
  </si>
  <si>
    <t>DELFI KNICK KNACKS MILK FLAVOR 28G</t>
  </si>
  <si>
    <t>750515017450</t>
  </si>
  <si>
    <t>FITA CRACKERS 30GX10S</t>
  </si>
  <si>
    <t>750515017856</t>
  </si>
  <si>
    <t>FITA SPREADZ 10 SINGLE PACKS</t>
  </si>
  <si>
    <t>750515017863</t>
  </si>
  <si>
    <t>FITA SPREADZ TUNA 10 SINGLE PACKS</t>
  </si>
  <si>
    <t>4800092111792</t>
  </si>
  <si>
    <t>FROOTEES STRAWBERRY 320G</t>
  </si>
  <si>
    <t>4800092550911</t>
  </si>
  <si>
    <t>FUDGEE BARR CHOCOLATE 440G</t>
  </si>
  <si>
    <t>4800092552090</t>
  </si>
  <si>
    <t>FUDGEE BARR COMBO 395G</t>
  </si>
  <si>
    <t>4800092553233</t>
  </si>
  <si>
    <t>FUDGEE BARR DARK CHOCOLATE 390G</t>
  </si>
  <si>
    <t>4800092551451</t>
  </si>
  <si>
    <t>FUDGEE BARR MACAPUNO 390G</t>
  </si>
  <si>
    <t>4800092551291</t>
  </si>
  <si>
    <t>FUDGEE BARR MILK FLAVOR 390G</t>
  </si>
  <si>
    <t>4800092551376</t>
  </si>
  <si>
    <t>FUDGEE BARR VANILLA 390G</t>
  </si>
  <si>
    <t>4806502725269</t>
  </si>
  <si>
    <t>GAR AMAZING BLACK FOREST 400G</t>
  </si>
  <si>
    <t>4806502726532</t>
  </si>
  <si>
    <t>GAR BANANA CHOCO MUFFIN 45G</t>
  </si>
  <si>
    <t>4806502726143</t>
  </si>
  <si>
    <t>GAR BUTTER SUGAR CREAM ROLL 50G</t>
  </si>
  <si>
    <t>4806502720189</t>
  </si>
  <si>
    <t>GAR BUTTER TOAST 2-SLICE PACK 50GX10</t>
  </si>
  <si>
    <t>4806502720110</t>
  </si>
  <si>
    <t>GAR BUTTER TOAST 5-SLICE PACK 125G</t>
  </si>
  <si>
    <t>4806502726129</t>
  </si>
  <si>
    <t>GAR CHEESE BUNS 250G</t>
  </si>
  <si>
    <t>4806502721476</t>
  </si>
  <si>
    <t>GAR CHOCOLATE CHIP LOAF 400G</t>
  </si>
  <si>
    <t>4806502723777</t>
  </si>
  <si>
    <t>GAR CHOCOLATE FILLED BUNS 75G</t>
  </si>
  <si>
    <t>4806502720417</t>
  </si>
  <si>
    <t>GAR CLASSIC WHITE BREAD 400G</t>
  </si>
  <si>
    <t>4806502720615</t>
  </si>
  <si>
    <t>GAR CLASSIC WHITE BREAD 600G REGULAR SLICE</t>
  </si>
  <si>
    <t>4806502720165</t>
  </si>
  <si>
    <t>GAR DOUBLE DELIGHTS (UBE &amp; CHEESE) 400G</t>
  </si>
  <si>
    <t>4806502721452</t>
  </si>
  <si>
    <t>GAR HIGH FIBER WHEAT BREAD 400G</t>
  </si>
  <si>
    <t>4806502720301</t>
  </si>
  <si>
    <t>GAR HIGH FIBER WHEAT BREAD 600G</t>
  </si>
  <si>
    <t>4806502725894</t>
  </si>
  <si>
    <t>GAR HIGH FIBER WHEAT RAISIN LOAF 400G</t>
  </si>
  <si>
    <t>4806502725900</t>
  </si>
  <si>
    <t>GAR HIGH FIBER WHEAT RAISIN LOAF 600G</t>
  </si>
  <si>
    <t>4806502726907</t>
  </si>
  <si>
    <t>GAR NEUBAKE CLASSIC WHITE BREAD SUPER SLICE 300G</t>
  </si>
  <si>
    <t>4806502727423</t>
  </si>
  <si>
    <t>GAR NEUBAKE WHEATEN BREAD 480G</t>
  </si>
  <si>
    <t>4806502726914</t>
  </si>
  <si>
    <t>GAR NEUBAKE WHEATEN BREAD SUPER SLICE 300G</t>
  </si>
  <si>
    <t>4806502726822</t>
  </si>
  <si>
    <t>GAR NEUBAKE WHITE BREAD 450G</t>
  </si>
  <si>
    <t>4806502727546</t>
  </si>
  <si>
    <t>GAR POCKET SANDWICH CHEESE 50G</t>
  </si>
  <si>
    <t>4806502725726</t>
  </si>
  <si>
    <t>GAR SOFT DELIGHT PANDESAL 300G</t>
  </si>
  <si>
    <t>4806502720011</t>
  </si>
  <si>
    <t>GAR TOASTIES BUTTER 10X25G</t>
  </si>
  <si>
    <t>8993175560047</t>
  </si>
  <si>
    <t>GOGUMA LAVA WAFER 48G</t>
  </si>
  <si>
    <t>8850338005206</t>
  </si>
  <si>
    <t>HALLS FRESH LIME 140G</t>
  </si>
  <si>
    <t>4800092111945</t>
  </si>
  <si>
    <t>HANSEL BUTTER SANDWICH 320G</t>
  </si>
  <si>
    <t>4800092110528</t>
  </si>
  <si>
    <t>HANSEL CHOCOLATE SANDWICH 10X31G</t>
  </si>
  <si>
    <t>4800092112317</t>
  </si>
  <si>
    <t>HANSEL CRACKER 320G</t>
  </si>
  <si>
    <t>4800092110511</t>
  </si>
  <si>
    <t>HANSEL MILK SANDWICH 31GX10</t>
  </si>
  <si>
    <t>4800092110023</t>
  </si>
  <si>
    <t>HANSEL MOCHA SANDWICH 31GX10</t>
  </si>
  <si>
    <t>4800016079559</t>
  </si>
  <si>
    <t>HELLO CHOCO COATED WAFER SANDWICH 15GX10</t>
  </si>
  <si>
    <t>EXPIRED NOV 2025</t>
  </si>
  <si>
    <t>4806518846019</t>
  </si>
  <si>
    <t>HONEY HOUSE CLASSIC 220G</t>
  </si>
  <si>
    <t>4806518846040</t>
  </si>
  <si>
    <t>HONEY HOUSE MINI 30X10S 25G</t>
  </si>
  <si>
    <t>4806518846026</t>
  </si>
  <si>
    <t>HONEY HOUSE SOUR CREAM &amp; ONION 220G</t>
  </si>
  <si>
    <t>4800129110163</t>
  </si>
  <si>
    <t>ICED GEM BISCUITS 12X30G</t>
  </si>
  <si>
    <t>4800016112577</t>
  </si>
  <si>
    <t xml:space="preserve">JNJ CREAM-O CHOCOLATE CAKE SANDWICH W/ THICK VANILLA </t>
  </si>
  <si>
    <t>4800016076947</t>
  </si>
  <si>
    <t>JNJ PRESTO CREAMS DOUBLE CHOCO SANDWICH COOKIES 300G</t>
  </si>
  <si>
    <t>8998389121596</t>
  </si>
  <si>
    <t>KUKIS BUTTER 218G</t>
  </si>
  <si>
    <t>8998389124184</t>
  </si>
  <si>
    <t>KUKIS KELAPA COCONUT 60G</t>
  </si>
  <si>
    <t>8998389121619</t>
  </si>
  <si>
    <t>KUKIS MOCHACHINO 218G</t>
  </si>
  <si>
    <t>8998389121626</t>
  </si>
  <si>
    <t>KUKIS SUSU VANILA 218G</t>
  </si>
  <si>
    <t>8998389124191</t>
  </si>
  <si>
    <t>KUKIS SUSU VANILLA 60G</t>
  </si>
  <si>
    <t>4806018407475</t>
  </si>
  <si>
    <t>LEMON SQUARE CHEESE CAKE 300G</t>
  </si>
  <si>
    <t>4809010626332</t>
  </si>
  <si>
    <t>LEMON SQUARE CHEESE CAKE ORIGINAL 300G</t>
  </si>
  <si>
    <t>EXPIRED 2023</t>
  </si>
  <si>
    <t>4806018400988</t>
  </si>
  <si>
    <t>LS ASSORTED CUPCAKES 10X30G</t>
  </si>
  <si>
    <t>4806018403880</t>
  </si>
  <si>
    <t>LS CHOOCHOO CHEESY MILK 380G</t>
  </si>
  <si>
    <t>4806018403866</t>
  </si>
  <si>
    <t>LS CHOOCHOO VANILLA 38GX10</t>
  </si>
  <si>
    <t>4806018403729</t>
  </si>
  <si>
    <t>LS WHATTA TOPS CHOCOLAHAT 350G</t>
  </si>
  <si>
    <t>750515021204</t>
  </si>
  <si>
    <t>M.Y. SAN GRAHAM CRACKERS 200G</t>
  </si>
  <si>
    <t>750515018105</t>
  </si>
  <si>
    <t>M.Y. SAN SKYFLAKES CRACKERS 850G</t>
  </si>
  <si>
    <t>4800016082979</t>
  </si>
  <si>
    <t>MAGIC CHIPS BBQ FLAVOR 28G</t>
  </si>
  <si>
    <t>4800016083778</t>
  </si>
  <si>
    <t>MAGIC CHIPS SOUR CREAM AND ONION 28G</t>
  </si>
  <si>
    <t>4800016087622</t>
  </si>
  <si>
    <t>MAGIC CREAM BUTTER</t>
  </si>
  <si>
    <t>EXPIRED MAR 2025</t>
  </si>
  <si>
    <t>4800016087608</t>
  </si>
  <si>
    <t>MAGIC CREAM BUTTER 28GX10</t>
  </si>
  <si>
    <t>EXPIRED APRIL 2026</t>
  </si>
  <si>
    <t>4800016087561</t>
  </si>
  <si>
    <t>MAGIC CREAM CHOCOLATE 28GX10</t>
  </si>
  <si>
    <t>4800016087585</t>
  </si>
  <si>
    <t>MAGIC CREAM CONDENSADA CREAM 28GX10</t>
  </si>
  <si>
    <t>4800016627286</t>
  </si>
  <si>
    <t>MILKY KNOTS MILK 28G</t>
  </si>
  <si>
    <t>4800016628283</t>
  </si>
  <si>
    <t>MINI CHOCO PRETZELS 28G</t>
  </si>
  <si>
    <t>4807770122903</t>
  </si>
  <si>
    <t>MONDE BANANA BAR 10X20G</t>
  </si>
  <si>
    <t>4807770101694</t>
  </si>
  <si>
    <t>MONDE BUTTER COCONUT 90G</t>
  </si>
  <si>
    <t>4807770122736</t>
  </si>
  <si>
    <t>MONDE CHEESE BAR 230G</t>
  </si>
  <si>
    <t>4807770121333</t>
  </si>
  <si>
    <t>MONDE SPECIAL MAMON CLASSIC 6X43G</t>
  </si>
  <si>
    <t>4807770121661</t>
  </si>
  <si>
    <t>MONDE SPECIAL MAMON CLASSIC SAVER PACK 12X43G</t>
  </si>
  <si>
    <t>4807770121364</t>
  </si>
  <si>
    <t>MONDE SPECIAL MAMON MOCHA 6X43G</t>
  </si>
  <si>
    <t>8993175544528</t>
  </si>
  <si>
    <t>NEXTAR SOFT COOKIE CHOCOLATE 10X34G</t>
  </si>
  <si>
    <t>4807770100703</t>
  </si>
  <si>
    <t>NISSIN BREAD STIX 20G</t>
  </si>
  <si>
    <t>1-Expired 6/16/2025</t>
  </si>
  <si>
    <t>4807770101502</t>
  </si>
  <si>
    <t>NISSIN BREADSTIX 20G PACK</t>
  </si>
  <si>
    <t>4807770121203</t>
  </si>
  <si>
    <t>NISSIN CHOCO WAFER STICK 280G</t>
  </si>
  <si>
    <t>4807770101083</t>
  </si>
  <si>
    <t>NISSIN CUBEE WAFER VANILLA FUDGE FLAVOR 25G</t>
  </si>
  <si>
    <t>4807770101854</t>
  </si>
  <si>
    <t>NISSIN EGGNOG COOKIES 18G</t>
  </si>
  <si>
    <t>4807770100963</t>
  </si>
  <si>
    <t>NISSIN EGGNOG COOKIES 18G PACK</t>
  </si>
  <si>
    <t>GOOD</t>
  </si>
  <si>
    <t>4807770122934</t>
  </si>
  <si>
    <t>NISSIN HAPPY SNACKIN TUB 700G</t>
  </si>
  <si>
    <t>4807770121227</t>
  </si>
  <si>
    <t>NISSIN STRAWBERRY STICK WAFER 280G</t>
  </si>
  <si>
    <t>4807770122477</t>
  </si>
  <si>
    <t>NISSIN WAFER CHEESE 50G</t>
  </si>
  <si>
    <t>4807770120213</t>
  </si>
  <si>
    <t>NISSIN WAFER CHOCO 20X12G</t>
  </si>
  <si>
    <t>4807770122644</t>
  </si>
  <si>
    <t>NISSIN WAFER CHOCO 50G</t>
  </si>
  <si>
    <t>4807770122262</t>
  </si>
  <si>
    <t>NISSIN WAFER CHOCO KING SIZE 220G</t>
  </si>
  <si>
    <t>4807770122460</t>
  </si>
  <si>
    <t>NISSIN WAFER PEANUT BUTTER 50G</t>
  </si>
  <si>
    <t>4807770120251</t>
  </si>
  <si>
    <t>NISSIN WAFER VANILLA 20X12G</t>
  </si>
  <si>
    <t>4807770120237</t>
  </si>
  <si>
    <t>NISSIN WAFER YUMMY BUTTER 20X12G</t>
  </si>
  <si>
    <t>8992760223046</t>
  </si>
  <si>
    <t>OREO CHOCOLATE CREME 12X28.5G</t>
  </si>
  <si>
    <t>8992760221066</t>
  </si>
  <si>
    <t>OREO VANILLA ORIGINAL 12X27.6G</t>
  </si>
  <si>
    <t>3-Expired 6/20/2025</t>
  </si>
  <si>
    <t>4800818806858</t>
  </si>
  <si>
    <t>OTC CHOCQUIK COOKIE 25G</t>
  </si>
  <si>
    <t>750515031067</t>
  </si>
  <si>
    <t>OTC SKYFLAKES SWEET BUTTER 30G</t>
  </si>
  <si>
    <t>8993175551069</t>
  </si>
  <si>
    <t>PINK LAVA WAFER ICE CRAMBLE 48G</t>
  </si>
  <si>
    <t>4800010075595</t>
  </si>
  <si>
    <t>PRESTO CREAMS CHOCO VANILLA 300G</t>
  </si>
  <si>
    <t>4800010075601</t>
  </si>
  <si>
    <t>PRESTO CREAMS CHOCOLATE 300G</t>
  </si>
  <si>
    <t>4800010075922</t>
  </si>
  <si>
    <t>PRESTO CREAMS PEANUT BUTTER 300G</t>
  </si>
  <si>
    <t>4800818801778</t>
  </si>
  <si>
    <t>PRETZEE STRAWBERRY 21 GRAMS</t>
  </si>
  <si>
    <t>4800016112386</t>
  </si>
  <si>
    <t>QUAKE OVERLOAD CHOCO STRAWBERRY 10S</t>
  </si>
  <si>
    <t>4800092110405</t>
  </si>
  <si>
    <t>REBISCO BUTTER 320G</t>
  </si>
  <si>
    <t>4800092110030</t>
  </si>
  <si>
    <t>REBISCO CHOCO 320G</t>
  </si>
  <si>
    <t>4800092112782</t>
  </si>
  <si>
    <t>REBISCO COMBI 300G</t>
  </si>
  <si>
    <t>4800092111822</t>
  </si>
  <si>
    <t>REBISCO CRACKERS 330G</t>
  </si>
  <si>
    <t>4800092115677</t>
  </si>
  <si>
    <t>REBISCO CRACKERS WITH HONEY BUTTER 320G</t>
  </si>
  <si>
    <t>4800092110016</t>
  </si>
  <si>
    <t>REBISCO CREAM 300G</t>
  </si>
  <si>
    <t>4800092111600</t>
  </si>
  <si>
    <t>REBISCO PEANUT BUTTER 320G</t>
  </si>
  <si>
    <t>4800092110047</t>
  </si>
  <si>
    <t>REBISCO STRAWBERRY 320G</t>
  </si>
  <si>
    <t>8993175538145</t>
  </si>
  <si>
    <t>RICHEESE CHEESE WAFER 52G</t>
  </si>
  <si>
    <t>8993175537131</t>
  </si>
  <si>
    <t>RICHEESE WAFER 22G</t>
  </si>
  <si>
    <t>EXPIRED 2024 &amp; 2025</t>
  </si>
  <si>
    <t>8993175539906</t>
  </si>
  <si>
    <t>RICHOCO CHOCOLATE CREAM WAFER 10X20G</t>
  </si>
  <si>
    <t>8993175539241</t>
  </si>
  <si>
    <t>RICHOCO WAFER CHOCOLATE 52G</t>
  </si>
  <si>
    <t>8993175540438</t>
  </si>
  <si>
    <t>RICHOCO WHITE WAFER 50G</t>
  </si>
  <si>
    <t>750515030312</t>
  </si>
  <si>
    <t>SKYFLAKES CHEESE10S 250G</t>
  </si>
  <si>
    <t>750515031531</t>
  </si>
  <si>
    <t>SKYFLAKES CONDENSADA 30GX10S</t>
  </si>
  <si>
    <t>750515018501</t>
  </si>
  <si>
    <t>SKYFLAKES CRACKERS 25GX10S</t>
  </si>
  <si>
    <t>750515018488</t>
  </si>
  <si>
    <t>SKYFLAKES CRACKERS 25GX24S PACK</t>
  </si>
  <si>
    <t>750515030206</t>
  </si>
  <si>
    <t>SKYFLAKES GARLIC 10S 250G</t>
  </si>
  <si>
    <t>750515031555</t>
  </si>
  <si>
    <t>SKYFLAKES MANTIKILYA 30GX10S</t>
  </si>
  <si>
    <t>750515030275</t>
  </si>
  <si>
    <t>SKYFLAKES OAT FIBER CRACKERS 250G</t>
  </si>
  <si>
    <t>750515030251</t>
  </si>
  <si>
    <t>SKYFLAKES ONION&amp; CHIVES 10S</t>
  </si>
  <si>
    <t>750515031517</t>
  </si>
  <si>
    <t>SKYFLAKES TSOKOLATE 30GX10S</t>
  </si>
  <si>
    <t>4800631003205</t>
  </si>
  <si>
    <t>SNB CHOCO CHIP COOKIES 500G</t>
  </si>
  <si>
    <t>4807770120770</t>
  </si>
  <si>
    <t>SUMO MINI COOKIES&amp;CREAM 10X20G</t>
  </si>
  <si>
    <t>4800116016027</t>
  </si>
  <si>
    <t>SUNFLOWER CREAM SANDWICH STRAWBERRY 10X27G</t>
  </si>
  <si>
    <t>7622202046810</t>
  </si>
  <si>
    <t>TIGER BITES CHOCOLATE 10X18G</t>
  </si>
  <si>
    <t>EXPRED JAN 2026</t>
  </si>
  <si>
    <t>7622202046780</t>
  </si>
  <si>
    <t>TIGER BITES VANILLA  10PACKS</t>
  </si>
  <si>
    <t>7622202336652</t>
  </si>
  <si>
    <t>TIGER SANDWICH COOKIES STRAWBERRY 9X35G</t>
  </si>
  <si>
    <t>7622202336713</t>
  </si>
  <si>
    <t>TIGER SANDWICH COOKIES VANILLA 9X35G</t>
  </si>
  <si>
    <t>4800092115714</t>
  </si>
  <si>
    <t>WAFER TIME CHOCOLATE 27GX10</t>
  </si>
  <si>
    <t>4800016084065</t>
  </si>
  <si>
    <t>WAFRETS CHOCO BRIX 240G</t>
  </si>
  <si>
    <t>4800016084201</t>
  </si>
  <si>
    <t>WAFRETS CHOCO VANILLA BRIX 24GX10</t>
  </si>
  <si>
    <t>CHOCOLATE &amp; CANDIES</t>
  </si>
  <si>
    <t>8886001038011</t>
  </si>
  <si>
    <t>BENGBENG 26.5G</t>
  </si>
  <si>
    <t>161-EXPIRED 8/14/2024</t>
  </si>
  <si>
    <t>4800818809712</t>
  </si>
  <si>
    <t>CHAMPI CHOCOFILLED CHEWY CHOCOLATE CANDY 165G</t>
  </si>
  <si>
    <t>4800092660788</t>
  </si>
  <si>
    <t>CHOCO MUCHO WHITE CHOCOLATE 33G</t>
  </si>
  <si>
    <t>49814521</t>
  </si>
  <si>
    <t>CHUPA CHUPS LOLLIPOPS FRUIT FLAVORED 12G</t>
  </si>
  <si>
    <t>8935001721680</t>
  </si>
  <si>
    <t>CHUPA CHUPS MILKY STRAWBERRY&amp;CREAM LOLLIPOP 9.5G</t>
  </si>
  <si>
    <t>8935001722106</t>
  </si>
  <si>
    <t>CHUPA CHUPS MINI MEGA LOLLIPOPS 10S</t>
  </si>
  <si>
    <t>8935001721673</t>
  </si>
  <si>
    <t>CHUPAS CHUPS MILKY CARAMEL LOLLIPO 9.5G</t>
  </si>
  <si>
    <t>4800016964367</t>
  </si>
  <si>
    <t>CLOUD 9 CHOCO FUDGE 28G</t>
  </si>
  <si>
    <t>4800010961447</t>
  </si>
  <si>
    <t>CLOUD 9 CLASSIC 28G</t>
  </si>
  <si>
    <t>4800016963827</t>
  </si>
  <si>
    <t>CLOUD 9 OVERLOAD 50G</t>
  </si>
  <si>
    <t>EXPIRED 2023 BOXES</t>
  </si>
  <si>
    <t>4800818801389</t>
  </si>
  <si>
    <t>COLUM CIOCO LUV-LOV CHOCO WAFER BAR 20G</t>
  </si>
  <si>
    <t>8991001661746</t>
  </si>
  <si>
    <t>DELFI TREASURES COOKIES N CREAM 4PCS</t>
  </si>
  <si>
    <t>4806533327128</t>
  </si>
  <si>
    <t>DELFI TREASURES GOLDEN ALMOND 36G 2+1</t>
  </si>
  <si>
    <t>8991001661739</t>
  </si>
  <si>
    <t>DELFI TREASURES GOLDEN ALMOND 4PCS</t>
  </si>
  <si>
    <t>4800016307041</t>
  </si>
  <si>
    <t>DYNAMITE CHOCO MINT CANDY 200G</t>
  </si>
  <si>
    <t>15-EXPIRED 4/26/2024</t>
  </si>
  <si>
    <t>4800016307102</t>
  </si>
  <si>
    <t>DYNAMITE MELON MINT FLAVORED CANDY 200G</t>
  </si>
  <si>
    <t>11-EXPIRED</t>
  </si>
  <si>
    <t>4800818808630</t>
  </si>
  <si>
    <t>FROOTY CHOCO POP 190G</t>
  </si>
  <si>
    <t>4800818808302</t>
  </si>
  <si>
    <t>FRUTOS ASSORTED SOFT CHEWY CANDIES 180G</t>
  </si>
  <si>
    <t>4800818810817</t>
  </si>
  <si>
    <t>FRUTOS CHEWY SAMPALOK 175G</t>
  </si>
  <si>
    <t>4800818809361</t>
  </si>
  <si>
    <t>FRUTOS MINIBITS SOUR 10G</t>
  </si>
  <si>
    <t>4806517042153</t>
  </si>
  <si>
    <t>GOYA BAR ALMONDS IN MILK CHOCOLATE 35G</t>
  </si>
  <si>
    <t>4806517047974</t>
  </si>
  <si>
    <t>GOYA BAR ALMONDS IN MILK CHOCOLATE 35G BUY2FREE1</t>
  </si>
  <si>
    <t>4806517042238</t>
  </si>
  <si>
    <t>GOYA BAR COOKIES&amp;CREAM 38G</t>
  </si>
  <si>
    <t>4806517046830</t>
  </si>
  <si>
    <t>GOYA BAR DARK CHOCO 35G BUY 2 FREE 1</t>
  </si>
  <si>
    <t>4806517042085</t>
  </si>
  <si>
    <t>GOYA BAR DARK CHOCOLATE 30G</t>
  </si>
  <si>
    <t>4806517042009</t>
  </si>
  <si>
    <t>GOYA BAR MILK CHOCOLATE 38G</t>
  </si>
  <si>
    <t>4806517042337</t>
  </si>
  <si>
    <t>GOYA BAR RAISIN &amp; NUT 3X30G</t>
  </si>
  <si>
    <t>4806533324004</t>
  </si>
  <si>
    <t>GOYA BAR VERY BERRIES 3X30G</t>
  </si>
  <si>
    <t>4806517049114</t>
  </si>
  <si>
    <t>GOYA CHACHA MINIS TUBE 30G</t>
  </si>
  <si>
    <t>4806517042214</t>
  </si>
  <si>
    <t>GOYA CREAM WHITE 35G BUY 2 TAKE 1</t>
  </si>
  <si>
    <t>4806533325254</t>
  </si>
  <si>
    <t>GOYA TAKE IT 2F 2+1</t>
  </si>
  <si>
    <t>8991001111982</t>
  </si>
  <si>
    <t>GOYA TAKE IT 4 FINGERS 35G</t>
  </si>
  <si>
    <t>4806533325179</t>
  </si>
  <si>
    <t>GOYA TAKE IT 4F 2+1</t>
  </si>
  <si>
    <t>4800519880720</t>
  </si>
  <si>
    <t>HALLOWEEN LONG LEGS MARSHMALLOWS 100G</t>
  </si>
  <si>
    <t>8850338000553</t>
  </si>
  <si>
    <t>HALLS HONEY LEMON 140G</t>
  </si>
  <si>
    <t>4800620114011</t>
  </si>
  <si>
    <t>HAWHAW MILK CANDY 140G.</t>
  </si>
  <si>
    <t>4800818809750</t>
  </si>
  <si>
    <t>ICOOL MENTHOLATED GUM 182G</t>
  </si>
  <si>
    <t>4800010042146</t>
  </si>
  <si>
    <t>JNJ NIPS MILK CHOCOLATE 40G</t>
  </si>
  <si>
    <t>8996001320136</t>
  </si>
  <si>
    <t>KOPIKO CAPPUCCINO CANDY 175G</t>
  </si>
  <si>
    <t>8996001320051</t>
  </si>
  <si>
    <t>KOPIKO COFFE CANDY 175G</t>
  </si>
  <si>
    <t>4800818902017</t>
  </si>
  <si>
    <t>LUVLOV BUDDY BERRY MILK PACK 15PCSX15G</t>
  </si>
  <si>
    <t>4800818901966</t>
  </si>
  <si>
    <t>LUVLOV BUDDY CHOCO ORANGE PACK(15PCS.X15G.)</t>
  </si>
  <si>
    <t>4800818901980</t>
  </si>
  <si>
    <t>LUVLOV BUDDY MILK CHOCOLATE PACK (15PCS.X15G)</t>
  </si>
  <si>
    <t>4800519181018</t>
  </si>
  <si>
    <t>MARSHIES VANILLA MARSHMALLOWS 40G</t>
  </si>
  <si>
    <t>4800016304019</t>
  </si>
  <si>
    <t>MAXX CHERRY 200G</t>
  </si>
  <si>
    <t>4800016303081</t>
  </si>
  <si>
    <t>MAXX DALANDAN ORANGE 200G</t>
  </si>
  <si>
    <t>8-EXPIRED 5/7/2024</t>
  </si>
  <si>
    <t>4800016307010</t>
  </si>
  <si>
    <t>MAXX EUCALYPTUS MENTHOL CANDY 200G</t>
  </si>
  <si>
    <t>8-EXPIRED 5/14/2024</t>
  </si>
  <si>
    <t>4800016306013</t>
  </si>
  <si>
    <t>MAXX HONEY LEMON 200G</t>
  </si>
  <si>
    <t>4-EXPIRED 12/1/2023</t>
  </si>
  <si>
    <t>4800016305016</t>
  </si>
  <si>
    <t>MAXX HONEY MANSI 200G</t>
  </si>
  <si>
    <t>8935001727675</t>
  </si>
  <si>
    <t>MENTOS FRUIT FLAVOUR</t>
  </si>
  <si>
    <t>4800214061271</t>
  </si>
  <si>
    <t>MENTOS MINT CANDY 50 PCS 135G</t>
  </si>
  <si>
    <t>1-EXPIRED 3/21/2025</t>
  </si>
  <si>
    <t>8935001727668</t>
  </si>
  <si>
    <t>MENTOS MINT FLAVOR 50+5 PCS.</t>
  </si>
  <si>
    <t>4806526078037</t>
  </si>
  <si>
    <t>MINI CHOCO EGG 8G</t>
  </si>
  <si>
    <t>4800818809651</t>
  </si>
  <si>
    <t>MONAMI STRAWBERRY AND CREAM 175G</t>
  </si>
  <si>
    <t>4800103344218</t>
  </si>
  <si>
    <t>MR. BUKO</t>
  </si>
  <si>
    <t>2-Expired 8/5/2025</t>
  </si>
  <si>
    <t>4800103343075</t>
  </si>
  <si>
    <t>MR. YEMA</t>
  </si>
  <si>
    <t>4800010042085</t>
  </si>
  <si>
    <t>NIPS PEANUTS SNACK BAG 43GX16S</t>
  </si>
  <si>
    <t>4800194107822</t>
  </si>
  <si>
    <t>O PUFF CHOCOLATE FILLED MARSHMALLOWS 24PCS</t>
  </si>
  <si>
    <t>4800818801884</t>
  </si>
  <si>
    <t>POTCHI CHOCO MALLOWS PACK 24PCS.X3.5G</t>
  </si>
  <si>
    <t>4800818801617</t>
  </si>
  <si>
    <t>POTCHI CHOCO PEACH MANGO MALLOWS PACK 24PCS.X3.5G</t>
  </si>
  <si>
    <t>4800818808906</t>
  </si>
  <si>
    <t>POTCHI STRAWBERRY CREAM 135G</t>
  </si>
  <si>
    <t>4800818837500</t>
  </si>
  <si>
    <t>POTCHI STRAWBERRY CREAM 50G</t>
  </si>
  <si>
    <t>8851096020012</t>
  </si>
  <si>
    <t>PUSH POP LOLLIPOP 14G</t>
  </si>
  <si>
    <t>6914758001087</t>
  </si>
  <si>
    <t>PUSH UP - JUMBO POP 30G</t>
  </si>
  <si>
    <t>6914758001117</t>
  </si>
  <si>
    <t>PUSH UP - TRIPLE POWER POP 34G</t>
  </si>
  <si>
    <t>69025310</t>
  </si>
  <si>
    <t>SNICKERS 20G</t>
  </si>
  <si>
    <t>4800620110051</t>
  </si>
  <si>
    <t>SUPERLAMIG CANDY</t>
  </si>
  <si>
    <t>4806520150098</t>
  </si>
  <si>
    <t>SUPERLAMIG PEPPERMINT 225G</t>
  </si>
  <si>
    <t>6291003080722</t>
  </si>
  <si>
    <t>TIFFANY CREAM TOFFEE ASSORTED 300G</t>
  </si>
  <si>
    <t>4800818809880</t>
  </si>
  <si>
    <t>VFRESH WINTER COOL GUM 165G</t>
  </si>
  <si>
    <t>4800016476013</t>
  </si>
  <si>
    <t>X.O. BUTTER CARAMEL CANDY 175G</t>
  </si>
  <si>
    <t>10-EXPIRED 5/8/2024</t>
  </si>
  <si>
    <t>4800016475016</t>
  </si>
  <si>
    <t>X.O. COFFEE CANDY 175G</t>
  </si>
  <si>
    <t>POWDER MILK, JUICES &amp; COFFEE</t>
  </si>
  <si>
    <t>4800575144583</t>
  </si>
  <si>
    <t>ALASKA POWDERED MILK DRINK 150G</t>
  </si>
  <si>
    <t>4800575144590</t>
  </si>
  <si>
    <t>ALASKA POWDERED MILK DRINK 300ML</t>
  </si>
  <si>
    <t>EXPIRED SEP 2025</t>
  </si>
  <si>
    <t>4800575142633</t>
  </si>
  <si>
    <t>ALASKA POWDERED MILK DRINK 33G</t>
  </si>
  <si>
    <t>Expired 11/21/2024</t>
  </si>
  <si>
    <t>4800575230453</t>
  </si>
  <si>
    <t>ALASKA POWDERED MILK DRINK 450G</t>
  </si>
  <si>
    <t>4800575144613</t>
  </si>
  <si>
    <t>ALASKA POWDERED MILK DRINK 840G</t>
  </si>
  <si>
    <t>Expired 11/14/2024</t>
  </si>
  <si>
    <t>4800361388337</t>
  </si>
  <si>
    <t>BEARBRAND 1210G</t>
  </si>
  <si>
    <t>748485401492</t>
  </si>
  <si>
    <t>BIRCH TREE 33G</t>
  </si>
  <si>
    <t>4800010008302</t>
  </si>
  <si>
    <t>BLEND 45 SOLUBLE COFFEE 25G</t>
  </si>
  <si>
    <t>4800818880803</t>
  </si>
  <si>
    <t>CHOCQUIK CHOCOMALT POWDERED MILK DRINK 24G</t>
  </si>
  <si>
    <t>4800361420730</t>
  </si>
  <si>
    <t>COFFEE-MATE 80G</t>
  </si>
  <si>
    <t>888123456781921</t>
  </si>
  <si>
    <t>CONVIE EIGHT OCLOCK ORANGE</t>
  </si>
  <si>
    <t>4800575144958</t>
  </si>
  <si>
    <t>COWBELL EVAPSARAP 360NL</t>
  </si>
  <si>
    <t>4800016014499</t>
  </si>
  <si>
    <t>CREAM ALL COFFFEE CREAMER 80G</t>
  </si>
  <si>
    <t>710535411928</t>
  </si>
  <si>
    <t>DON FRANK AGAR-AGAR 1KG</t>
  </si>
  <si>
    <t>8996001440049</t>
  </si>
  <si>
    <t>ENERGEN CEREAL DRINK CHOCOLATE 40G</t>
  </si>
  <si>
    <t>277-Expired 3/12/2025</t>
  </si>
  <si>
    <t>8996001440124</t>
  </si>
  <si>
    <t>ENERGEN CEREAL DRINK VANILLA 40G</t>
  </si>
  <si>
    <t>117-Expired 3/20/2025</t>
  </si>
  <si>
    <t>8996001603444</t>
  </si>
  <si>
    <t>ENERGEN CHAMPION TWINPACK 70G</t>
  </si>
  <si>
    <t>4806538680051</t>
  </si>
  <si>
    <t>GAR COFFEE SMILE CAFE LATTE 25G</t>
  </si>
  <si>
    <t>4806538680075</t>
  </si>
  <si>
    <t>GAR COFFEE SMILE MOCHA LATTE 25G</t>
  </si>
  <si>
    <t>4800016022258</t>
  </si>
  <si>
    <t>GREAT TASTE CHOCO TWIN PACK 50G</t>
  </si>
  <si>
    <t>DAMAGED</t>
  </si>
  <si>
    <t>4800016012365</t>
  </si>
  <si>
    <t>GREAT TASTE CLASSIC 2GX36</t>
  </si>
  <si>
    <t>4800016014482</t>
  </si>
  <si>
    <t>GREAT TASTE CREAM ALL 5G STICKS X24X20</t>
  </si>
  <si>
    <t>4800010012019</t>
  </si>
  <si>
    <t>GREAT TASTE GRANULES 100G</t>
  </si>
  <si>
    <t>4800010009767</t>
  </si>
  <si>
    <t>GREAT TASTE GRANULES 25G</t>
  </si>
  <si>
    <t>4800010012033</t>
  </si>
  <si>
    <t>GREAT TASTE GRANULES 50G</t>
  </si>
  <si>
    <t>4800016012280</t>
  </si>
  <si>
    <t>GREAT TASTE PREMIUM 100G</t>
  </si>
  <si>
    <t>EXPIRED 8/13/ 2026</t>
  </si>
  <si>
    <t>4800016012266</t>
  </si>
  <si>
    <t>GREAT TASTE PREMIUM 25G</t>
  </si>
  <si>
    <t>4800016012273</t>
  </si>
  <si>
    <t>GREAT TASTE PREMIUM 50G</t>
  </si>
  <si>
    <t>4800016022180</t>
  </si>
  <si>
    <t>GREAT TASTE WHITE CREMA TWINPACK 50G</t>
  </si>
  <si>
    <t>120-EXPIRED 3/14/2024</t>
  </si>
  <si>
    <t>4800016022265</t>
  </si>
  <si>
    <t>GREAT TASTE WHITE TWIN PACK 50G</t>
  </si>
  <si>
    <t>4800016024276</t>
  </si>
  <si>
    <t>GREAT TASTE WHITE TWIN PACK 50G BUY 10 GET 1 FREE</t>
  </si>
  <si>
    <t>4800016022449</t>
  </si>
  <si>
    <t>GT BROWN BARAKO SACHET 30G</t>
  </si>
  <si>
    <t>4806525940199</t>
  </si>
  <si>
    <t>KINGS FINEST GLUTINOUS RICE FLOUR 500G</t>
  </si>
  <si>
    <t>8998666001702</t>
  </si>
  <si>
    <t>KOPIKO BLACK 3IN1 TWINPACK 60G</t>
  </si>
  <si>
    <t>8998666001726</t>
  </si>
  <si>
    <t>KOPIKO BLANCA TWINPACK 52G</t>
  </si>
  <si>
    <t xml:space="preserve">960-EXPIRED </t>
  </si>
  <si>
    <t>EXPIRED 2026</t>
  </si>
  <si>
    <t>8998666001719</t>
  </si>
  <si>
    <t>KOPIKO BROWN COFFEE TWINPACK 53G</t>
  </si>
  <si>
    <t>8998666002983</t>
  </si>
  <si>
    <t>KOPIKO CAFE MOCHA TWINPACK 51G</t>
  </si>
  <si>
    <t>8998666002792</t>
  </si>
  <si>
    <t>KOPIKO CREAMY CARAMELO TWINPACK 50G</t>
  </si>
  <si>
    <t>4800575425026</t>
  </si>
  <si>
    <t>KREMTOP COFFEE CREAMER 170G</t>
  </si>
  <si>
    <t>4800575425033</t>
  </si>
  <si>
    <t>KREMTOP COFFEE CREAMER 250G</t>
  </si>
  <si>
    <t>4800575141667</t>
  </si>
  <si>
    <t>KREMTOP COFFEE CREAMER 45OG</t>
  </si>
  <si>
    <t>6-EXPIRED 3/1/2025</t>
  </si>
  <si>
    <t>4800575425019</t>
  </si>
  <si>
    <t>KREMTOP COFFEE CREAMER 80G</t>
  </si>
  <si>
    <t>8888086021001</t>
  </si>
  <si>
    <t>LIPTON YELLOW LABEL TEA 25X2G</t>
  </si>
  <si>
    <t>Expired-6 4/20/2024</t>
  </si>
  <si>
    <t>4800361415293</t>
  </si>
  <si>
    <t>MILO TWIN PACK 48G</t>
  </si>
  <si>
    <t>4809013526325</t>
  </si>
  <si>
    <t>MR. GULAMAN GREEN 25G</t>
  </si>
  <si>
    <t>25-EXPIRED 1/4/2024</t>
  </si>
  <si>
    <t>4809013526318</t>
  </si>
  <si>
    <t>MR. GULAMAN RED 25G</t>
  </si>
  <si>
    <t>4809013526356</t>
  </si>
  <si>
    <t>MR. GULAMAN WHITE 25G</t>
  </si>
  <si>
    <t>6 good 2 expired</t>
  </si>
  <si>
    <t>2 EXPIRED</t>
  </si>
  <si>
    <t>4809013526349</t>
  </si>
  <si>
    <t>MR. GULAMAN YELLOW 25G</t>
  </si>
  <si>
    <t>13-Expired 5/16/2023</t>
  </si>
  <si>
    <t>EXPIRED 2024&amp; 2025</t>
  </si>
  <si>
    <t>888123456782011</t>
  </si>
  <si>
    <t>MT. KALINGA DRIP COFEE 12PCSX10GRAMS</t>
  </si>
  <si>
    <t>888123456781315</t>
  </si>
  <si>
    <t>MT. KALINGA GROUND COFFEE 200G</t>
  </si>
  <si>
    <t>888123456781526</t>
  </si>
  <si>
    <t>MT. KALINGA GROUND COFFEE 400G</t>
  </si>
  <si>
    <t>4800361388252</t>
  </si>
  <si>
    <t>NESCAFE CLASSIC 1.9GX48</t>
  </si>
  <si>
    <t>96 STICKS</t>
  </si>
  <si>
    <t>4800361393669</t>
  </si>
  <si>
    <t>NESCAFE CLASSIC 200G</t>
  </si>
  <si>
    <t>4800361425889</t>
  </si>
  <si>
    <t>NESCAFE CLASSIC 23G</t>
  </si>
  <si>
    <t>4800361339186</t>
  </si>
  <si>
    <t>NESCAFE CLASSIC 25G</t>
  </si>
  <si>
    <t>4800361393621</t>
  </si>
  <si>
    <t>NESCAFE CLASSIC DECAF 160G</t>
  </si>
  <si>
    <t>4800361375146</t>
  </si>
  <si>
    <t>NESCAFE CLASSIC DECAF 20G</t>
  </si>
  <si>
    <t>4800361393683</t>
  </si>
  <si>
    <t>NESCAFE CLASSIC RESEALABLE 100G</t>
  </si>
  <si>
    <t>4800361393645</t>
  </si>
  <si>
    <t>NESCAFE CLASSIC RESEALABLE 50G</t>
  </si>
  <si>
    <t>4800361383493</t>
  </si>
  <si>
    <t>NESCAFE CREAMY LATTE 25.5G</t>
  </si>
  <si>
    <t>4800361413992</t>
  </si>
  <si>
    <t>NESCAFE CREAMY LATTE TWINPACK 55G</t>
  </si>
  <si>
    <t>4800361423588</t>
  </si>
  <si>
    <t>NESCAFE CREAMY WHITE SUGAR FREE TWIN PACK 11.2 GRAMS</t>
  </si>
  <si>
    <t>4800361416726</t>
  </si>
  <si>
    <t>NESCAFE CREAMY WHITE TWINPACK 58G</t>
  </si>
  <si>
    <t>8801055709267</t>
  </si>
  <si>
    <t>NESCAFE GOLD INTENSE 100G</t>
  </si>
  <si>
    <t>888123456781951</t>
  </si>
  <si>
    <t>NESCAFE ORIGINAL 52G TP BUY 10 GET 2 FREE LATTE</t>
  </si>
  <si>
    <t>4800361423601</t>
  </si>
  <si>
    <t>NESCAFE ORIGINAL SUGAR FREE TWIN PACK 11.5 GRAMS</t>
  </si>
  <si>
    <t>4800361415347</t>
  </si>
  <si>
    <t>NESCAFE ORIGINAL TWIN PACK 56G</t>
  </si>
  <si>
    <t>4800361382083</t>
  </si>
  <si>
    <t>NESTEA APPLE BLACK TEA 25G</t>
  </si>
  <si>
    <t>4800361379557</t>
  </si>
  <si>
    <t>NESTEA LEMON BLACK TEA 25G</t>
  </si>
  <si>
    <t>10-EXPIRED 7/31/2025</t>
  </si>
  <si>
    <t>4800361410892</t>
  </si>
  <si>
    <t>NESTLE BEARBRAND 300G</t>
  </si>
  <si>
    <t>Expired 5/31/2025</t>
  </si>
  <si>
    <t>4800361388771</t>
  </si>
  <si>
    <t>NESTLE BEARBRAND 680G</t>
  </si>
  <si>
    <t>4800361379373</t>
  </si>
  <si>
    <t>NESTLE BEARBRAND ADULT PLUS 300G</t>
  </si>
  <si>
    <t>4800361396677</t>
  </si>
  <si>
    <t>NESTLE BEARBRAND ADULT SWAK PACK 33G</t>
  </si>
  <si>
    <t>4800361410816</t>
  </si>
  <si>
    <t>NESTLE BEARBRAND SWAK PACK 33G</t>
  </si>
  <si>
    <t>4800361420457</t>
  </si>
  <si>
    <t>NESTLE BLUE LEMONADE 200G</t>
  </si>
  <si>
    <t>6 gppd 2 e xpired</t>
  </si>
  <si>
    <t>4800361390804</t>
  </si>
  <si>
    <t>NESTLE COFFEE MATE 170G</t>
  </si>
  <si>
    <t>4800361393232</t>
  </si>
  <si>
    <t>NESTLE COFFEE MATE 250G</t>
  </si>
  <si>
    <t>4800361380737</t>
  </si>
  <si>
    <t>NESTLE COFFEE MATE 450ML</t>
  </si>
  <si>
    <t>4800361000826</t>
  </si>
  <si>
    <t>NESTLE COFFEE MATE 48X5G</t>
  </si>
  <si>
    <t>4800361423052</t>
  </si>
  <si>
    <t>NESTLE LEMONADE CUCUMBER 200G</t>
  </si>
  <si>
    <t>4800361413480</t>
  </si>
  <si>
    <t>NESTLE MILO 24G</t>
  </si>
  <si>
    <t>4800361415316</t>
  </si>
  <si>
    <t>NESTLE MILO TWIN PACK 48GX8</t>
  </si>
  <si>
    <t>4800361348645</t>
  </si>
  <si>
    <t>NESTLE NESTOGEN 2 6-12MOS 340G</t>
  </si>
  <si>
    <t>4800274040018</t>
  </si>
  <si>
    <t>QUAKER INSTANT OATMEAL 400G</t>
  </si>
  <si>
    <t>OLD</t>
  </si>
  <si>
    <t>7622300858575</t>
  </si>
  <si>
    <t>TANG DALANDAN 25G</t>
  </si>
  <si>
    <t>58-EXPIRED 7/16/2025</t>
  </si>
  <si>
    <t>7622300637996</t>
  </si>
  <si>
    <t>TANG GRAPES 25G</t>
  </si>
  <si>
    <t>8850338027895</t>
  </si>
  <si>
    <t>TANG LYCHEE 19G</t>
  </si>
  <si>
    <t>7622300601782</t>
  </si>
  <si>
    <t>TANG MANGO 20G</t>
  </si>
  <si>
    <t>4808647310072</t>
  </si>
  <si>
    <t>TANG ORANGE 250G</t>
  </si>
  <si>
    <t>7622300559991</t>
  </si>
  <si>
    <t>TANG ORANGE 25G</t>
  </si>
  <si>
    <t>64-EXPIRED 8/22/2025</t>
  </si>
  <si>
    <t>7622300601768</t>
  </si>
  <si>
    <t>TANG PINEAPPLE 25G</t>
  </si>
  <si>
    <t>101-EXPIRED 9/2/2025</t>
  </si>
  <si>
    <t>7622210706768</t>
  </si>
  <si>
    <t>TANG POMELO 19G</t>
  </si>
  <si>
    <t>7622300638078</t>
  </si>
  <si>
    <t>TANG STRAWBERRY 25G</t>
  </si>
  <si>
    <t>NOODLES</t>
  </si>
  <si>
    <t>4806500470857</t>
  </si>
  <si>
    <t>DELICIOUS SULIT PLUS SPAGHETTI 800G</t>
  </si>
  <si>
    <t>4800024575722</t>
  </si>
  <si>
    <t>DM PARTY COMBO PCK SWEET STYLE</t>
  </si>
  <si>
    <t>4806500473681</t>
  </si>
  <si>
    <t>FAVORITO MACARONI 5KL</t>
  </si>
  <si>
    <t>4806500472622</t>
  </si>
  <si>
    <t>FAVORITO PANCIT CANTON 200G</t>
  </si>
  <si>
    <t>4806500472639</t>
  </si>
  <si>
    <t>FAVORITO PANCIT CANTON 400G</t>
  </si>
  <si>
    <t>888123456781868</t>
  </si>
  <si>
    <t>FAVORITO RIDGE&amp;SHELL MACARONI 1/2</t>
  </si>
  <si>
    <t>FIESTA FILIPINO STYLE SPAGHETTI 2IN1 SPAGHETTI &amp; SAUCE</t>
  </si>
  <si>
    <t>EXPIRED 11/2025</t>
  </si>
  <si>
    <t>4800110033402</t>
  </si>
  <si>
    <t>FIESTA SPAGHETTI 800G</t>
  </si>
  <si>
    <t>4800110060729</t>
  </si>
  <si>
    <t>FIESTA SPAGHETTI NOODLES 400G</t>
  </si>
  <si>
    <t>4800110069227</t>
  </si>
  <si>
    <t>FIESTA SPAGHETTIPID SWEET STYLE SPAGHETTI AND SAUCE 1.6KG</t>
  </si>
  <si>
    <t>888123456781958</t>
  </si>
  <si>
    <t>HAPPY ME INSTANT FRIED NOODLES ASSORTED 70G</t>
  </si>
  <si>
    <t>4800528456282</t>
  </si>
  <si>
    <t>HOBE BIHON 454G</t>
  </si>
  <si>
    <t>4800528456374</t>
  </si>
  <si>
    <t>HOBE SPECIAL PALABOK 454G</t>
  </si>
  <si>
    <t>48-EXPIRED 5/2026</t>
  </si>
  <si>
    <t>48 MAY 206 EXPIRED 84-2027 EXPIRED</t>
  </si>
  <si>
    <t>4800110026497</t>
  </si>
  <si>
    <t>HOMI NOODLES BEEF 55G</t>
  </si>
  <si>
    <t>Expired 10/19/2025</t>
  </si>
  <si>
    <t>089686171679</t>
  </si>
  <si>
    <t>INDOMIE MI GORENG HOT&amp;SPICY 80G</t>
  </si>
  <si>
    <t>089686170726</t>
  </si>
  <si>
    <t>INDOMIE MI GORENG STIR FRIED ORIGINAL 85G</t>
  </si>
  <si>
    <t>4806500670073</t>
  </si>
  <si>
    <t>KOMEYA 3Q BIHON</t>
  </si>
  <si>
    <t>4807770270017</t>
  </si>
  <si>
    <t>LM BEEF NA BEEF 55G</t>
  </si>
  <si>
    <t>EXP 2/2025</t>
  </si>
  <si>
    <t>4807770270024</t>
  </si>
  <si>
    <t>LM CHICKEN 55G</t>
  </si>
  <si>
    <t>4807770272943</t>
  </si>
  <si>
    <t>LM CUP SEAFOOD 40G</t>
  </si>
  <si>
    <t>4807770271168</t>
  </si>
  <si>
    <t>LM GO CUP BATCHOY 40G</t>
  </si>
  <si>
    <t>4807770311871</t>
  </si>
  <si>
    <t>LM GO CUP BATCHOY 40G W/ FREE SKYFLAKES</t>
  </si>
  <si>
    <t>4807770271175</t>
  </si>
  <si>
    <t>LM GO CUP BULALO 40G</t>
  </si>
  <si>
    <t>4807770311864</t>
  </si>
  <si>
    <t>LM GO CUP BULALO 40G W/ FREE SKYFLAKES</t>
  </si>
  <si>
    <t>4807770311895</t>
  </si>
  <si>
    <t>LM GO CUP CHICKEN SOTANGHON 28G W/ SKYFLAKES</t>
  </si>
  <si>
    <t>4807770272653</t>
  </si>
  <si>
    <t>LM GO CUP JJAMPPONG 40G W/ SKYFLAKES</t>
  </si>
  <si>
    <t>1-Expired 1/28/2025</t>
  </si>
  <si>
    <t>4807770273810</t>
  </si>
  <si>
    <t>LM GO CUP SPICY BATCHOY 40G</t>
  </si>
  <si>
    <t>1-Expired 2/4/2025</t>
  </si>
  <si>
    <t>4807770273612</t>
  </si>
  <si>
    <t>LM GO CUP SPICY BULALO 40G</t>
  </si>
  <si>
    <t>4807770270116</t>
  </si>
  <si>
    <t>LM ITNOK CHICKEN 50G</t>
  </si>
  <si>
    <t>4807770273100</t>
  </si>
  <si>
    <t>LM JJAMPONG FLAVOR 55G</t>
  </si>
  <si>
    <t>4807770272813</t>
  </si>
  <si>
    <t>LM LA PAZ BATCHOY 55G</t>
  </si>
  <si>
    <t>4807770273698</t>
  </si>
  <si>
    <t>LM PANCIT CANTON CHILIMANSI 80G</t>
  </si>
  <si>
    <t>1-EXPIRED 8/27/2025</t>
  </si>
  <si>
    <t>4807770274480</t>
  </si>
  <si>
    <t>LM PANCIT CANTON CHILIMANSI KASALO PACK 120G</t>
  </si>
  <si>
    <t>4807770274305</t>
  </si>
  <si>
    <t>LM PANCIT CANTON EXTRA HOT CHILI 80G</t>
  </si>
  <si>
    <t>6-EXPIRED 2/28/2025</t>
  </si>
  <si>
    <t>4807770274268</t>
  </si>
  <si>
    <t>LM PANCIT CANTON EXTRA HOT CHILI KASALO PACK 120G</t>
  </si>
  <si>
    <t>4807770273674</t>
  </si>
  <si>
    <t>LM PANCIT CANTON KALAMANSI 80G</t>
  </si>
  <si>
    <t>4807770274275</t>
  </si>
  <si>
    <t>LM PANCIT CANTON KALAMANSI KASALO PACK 120G</t>
  </si>
  <si>
    <t>4807770273704</t>
  </si>
  <si>
    <t>LM PANCIT CANTON ORIGINAL 80G</t>
  </si>
  <si>
    <t>4807770273711</t>
  </si>
  <si>
    <t>LM PANCIT CANTON SWEET &amp; SPICY 80G</t>
  </si>
  <si>
    <t>4807770274473</t>
  </si>
  <si>
    <t>LM PANCIT CANTON SWEET &amp; SPICY KASALO PACK 120G</t>
  </si>
  <si>
    <t>4807770272097</t>
  </si>
  <si>
    <t>LM SPICY BEEF 50G</t>
  </si>
  <si>
    <t>18-EXPIRED 1/22/2025</t>
  </si>
  <si>
    <t>4800016552106</t>
  </si>
  <si>
    <t>NISSIN CUP NOODLES BEEF 40G</t>
  </si>
  <si>
    <t>4800016552274</t>
  </si>
  <si>
    <t>NISSIN CUP NOODLES BULALO 40G</t>
  </si>
  <si>
    <t>4800016561498</t>
  </si>
  <si>
    <t>NISSIN CUP NOODLES CHEESY SEAFOOD 50G</t>
  </si>
  <si>
    <t>4800016561184</t>
  </si>
  <si>
    <t>NISSIN CUP NOODLES CREAMY SEAFOOD 45G</t>
  </si>
  <si>
    <t>4800016561481</t>
  </si>
  <si>
    <t>NISSIN CUP NOODLES HOT CHEESY SEAFOODS 50G</t>
  </si>
  <si>
    <t>4800016561443</t>
  </si>
  <si>
    <t>NISSIN CUP NOODLES HOT CREAMY SEAFOOD 48G</t>
  </si>
  <si>
    <t>4800016552113</t>
  </si>
  <si>
    <t>NISSIN CUP NOODLES SEAFOOD 40G</t>
  </si>
  <si>
    <t>4800016557217</t>
  </si>
  <si>
    <t>NISSIN CUP NOODLES SOTANGHON 30G</t>
  </si>
  <si>
    <t>4800016560927</t>
  </si>
  <si>
    <t>NISSIN CUP NOODLES SPICY HOT BEEF 45G</t>
  </si>
  <si>
    <t>4800016551857</t>
  </si>
  <si>
    <t>NISSIN CUP NOODLES SPICY SEAFOOD 40G</t>
  </si>
  <si>
    <t>4800016557675</t>
  </si>
  <si>
    <t>NISSIN INSTANT MAMI SEAFOOD 55G</t>
  </si>
  <si>
    <t>4800016551581</t>
  </si>
  <si>
    <t>NISSIN RAMEN BEEF 55G</t>
  </si>
  <si>
    <t>4800016561429</t>
  </si>
  <si>
    <t>NISSIN RAMEN CREAMY SEAFOOD 63G</t>
  </si>
  <si>
    <t>4800016551598</t>
  </si>
  <si>
    <t>NISSIN RAMEN SEAFOOD 55G</t>
  </si>
  <si>
    <t>4800016561269</t>
  </si>
  <si>
    <t>NISSIN RAMEN SPICY HOT BEEF 62G</t>
  </si>
  <si>
    <t>EXP 5/2024</t>
  </si>
  <si>
    <t>4800016560910</t>
  </si>
  <si>
    <t>NISSIN RAMEN SPICY SEAFOOD 59G</t>
  </si>
  <si>
    <t>4800016553332</t>
  </si>
  <si>
    <t>PAYLESS MAMI BEEF 55G</t>
  </si>
  <si>
    <t>EXP 12/24</t>
  </si>
  <si>
    <t>4800016556517</t>
  </si>
  <si>
    <t>PAYLESS PANCIT CANTON XTRA BIG CHILIMANSI 125G</t>
  </si>
  <si>
    <t>4800016555985</t>
  </si>
  <si>
    <t>PAYLESS PANCIT CANTON XTRA BIG KALAMANSI 125G</t>
  </si>
  <si>
    <t>EXPIRED  4/2026</t>
  </si>
  <si>
    <t>4800016561436</t>
  </si>
  <si>
    <t>PAYLESS PANCIT CANTON XTRA BIG SWEET&amp;SPICY 130G</t>
  </si>
  <si>
    <t>4800016556807</t>
  </si>
  <si>
    <t>PAYLESS PANCIT CANTON XTRA BIG XTRA HOT FLAVOR 125G</t>
  </si>
  <si>
    <t>4800030001055</t>
  </si>
  <si>
    <t>SUNSHINE SPAGHETTI 400G</t>
  </si>
  <si>
    <t>4806011812061</t>
  </si>
  <si>
    <t>SUPER Q GOLDEN BIHON 454G</t>
  </si>
  <si>
    <t>SPREAD &amp; CANNED GOODS</t>
  </si>
  <si>
    <t>748485700014</t>
  </si>
  <si>
    <t>555 TUNA ADOBO 155G</t>
  </si>
  <si>
    <t>748485700021</t>
  </si>
  <si>
    <t>555 TUNA AFRITADA 155G</t>
  </si>
  <si>
    <t>748485700038</t>
  </si>
  <si>
    <t>555 TUNA CALDERETA 155G</t>
  </si>
  <si>
    <t>748485700045</t>
  </si>
  <si>
    <t>555 TUNA MECHADO 155G</t>
  </si>
  <si>
    <t>4800575110373</t>
  </si>
  <si>
    <t>ALASKA CLASSIC EVAPORATED FILLED MILK 370ML</t>
  </si>
  <si>
    <t>4800575130302</t>
  </si>
  <si>
    <t>ALASKA CONDENSADA 300ML</t>
  </si>
  <si>
    <t>4800575140158</t>
  </si>
  <si>
    <t>ALASKA EVAPORADA CREAMER 140ML</t>
  </si>
  <si>
    <t>21-Expired Mar&amp;June 2025</t>
  </si>
  <si>
    <t>4800575140370</t>
  </si>
  <si>
    <t>ALASKA EVAPORADA CREAMER 360ML</t>
  </si>
  <si>
    <t>8-Expired 6/25/2025</t>
  </si>
  <si>
    <t>4800575241664</t>
  </si>
  <si>
    <t>ALASKA SWEETENED CONDENSED 377G BUY1TAKE1</t>
  </si>
  <si>
    <t>4800575120303</t>
  </si>
  <si>
    <t>ALASKA SWEETENED CONDENSED MILK 300ML</t>
  </si>
  <si>
    <t>Expired 4/28/2025</t>
  </si>
  <si>
    <t>748485400808</t>
  </si>
  <si>
    <t>ANGEL CONDENSADA 380G</t>
  </si>
  <si>
    <t>7-EXPIRED 8/31/2025</t>
  </si>
  <si>
    <t>748485400716</t>
  </si>
  <si>
    <t>ANGEL EVAPORADA 410ML</t>
  </si>
  <si>
    <t>748485401225</t>
  </si>
  <si>
    <t>ANGEL KREMDENSADA 410ML</t>
  </si>
  <si>
    <t>748485801803</t>
  </si>
  <si>
    <t>ARGENTINA CB 100G</t>
  </si>
  <si>
    <t>748485800431</t>
  </si>
  <si>
    <t>ARGENTINA CORN BEEF 150G</t>
  </si>
  <si>
    <t>748485800011</t>
  </si>
  <si>
    <t>ARGENTINA CORN BEEF 175G</t>
  </si>
  <si>
    <t>748485800035</t>
  </si>
  <si>
    <t>ARGENTINA CORNED BEEF 260G</t>
  </si>
  <si>
    <t>748485804057</t>
  </si>
  <si>
    <t>ARGENTINA GINILING 100G</t>
  </si>
  <si>
    <t>748485804064</t>
  </si>
  <si>
    <t>ARGENTINA GINILING 250G</t>
  </si>
  <si>
    <t>748485801490</t>
  </si>
  <si>
    <t>ARGENTINA MEAT LOAF 150G</t>
  </si>
  <si>
    <t>748485800233</t>
  </si>
  <si>
    <t>ARGENTINA MEAT LOAF 170G</t>
  </si>
  <si>
    <t>748485800448</t>
  </si>
  <si>
    <t>ARGENTINA MEAT LOAF 250G</t>
  </si>
  <si>
    <t>4800249909395</t>
  </si>
  <si>
    <t>CDO KARNE NORTE CLASSIC GUISADO 100G</t>
  </si>
  <si>
    <t>4800249908848</t>
  </si>
  <si>
    <t>CDO KARNE NORTE CLASSIC GUISADO 150G</t>
  </si>
  <si>
    <t>4800249908237</t>
  </si>
  <si>
    <t>CDO KARNE NORTE CLASSIC GUISADO 175G</t>
  </si>
  <si>
    <t>4800249908657</t>
  </si>
  <si>
    <t>CDO KARNE NORTE CLASSIC GUISADO 260G</t>
  </si>
  <si>
    <t>4800249908725</t>
  </si>
  <si>
    <t>CDO MEAT LOAF 100G</t>
  </si>
  <si>
    <t>4800249902068</t>
  </si>
  <si>
    <t>CDO MEAT LOAF 210G</t>
  </si>
  <si>
    <t>4800249909333</t>
  </si>
  <si>
    <t>CDO MEAT LOAF CLASSIC 150G</t>
  </si>
  <si>
    <t>748485100456</t>
  </si>
  <si>
    <t>CENTURY TUNA CALDERETA 155G</t>
  </si>
  <si>
    <t>748485100401</t>
  </si>
  <si>
    <t>CENTURY TUNA FLAKES IN OIL 155G</t>
  </si>
  <si>
    <t>748485100081</t>
  </si>
  <si>
    <t>CENTURY TUNA FLAKES IN OIL 180G</t>
  </si>
  <si>
    <t>748485102245</t>
  </si>
  <si>
    <t>CENTURY TUNA FLAKES IN OIL 95G</t>
  </si>
  <si>
    <t>748485100418</t>
  </si>
  <si>
    <t>CENTURY TUNA HOT AND SPICY 155G</t>
  </si>
  <si>
    <t>748485100098</t>
  </si>
  <si>
    <t>CENTURY TUNA HOT AND SPICY 180G</t>
  </si>
  <si>
    <t>7622300501549</t>
  </si>
  <si>
    <t>CHEEZ WHIZ ORIGINAL 115G</t>
  </si>
  <si>
    <t>4808647010026</t>
  </si>
  <si>
    <t>CHEEZ WHIZ ORIGINAL 220G</t>
  </si>
  <si>
    <t>4808647010033</t>
  </si>
  <si>
    <t>CHEEZ WHIZ ORIGINAL 440G</t>
  </si>
  <si>
    <t>EXPIRED OCT 2024</t>
  </si>
  <si>
    <t>7622300501525</t>
  </si>
  <si>
    <t>CHEEZ WHIZ ORIGINAL 62G</t>
  </si>
  <si>
    <t>4808647010057</t>
  </si>
  <si>
    <t>CHEEZ WHIZ PIMIENTO 220G</t>
  </si>
  <si>
    <t>4800575144910</t>
  </si>
  <si>
    <t>COWBELL CONDENSARAP 374G</t>
  </si>
  <si>
    <t>4805358373037</t>
  </si>
  <si>
    <t>DAILY QUEZO 165G</t>
  </si>
  <si>
    <t>4800024550958</t>
  </si>
  <si>
    <t>DM FIESTA FRUIT COCKTAIL 1GAL</t>
  </si>
  <si>
    <t>4800024020642</t>
  </si>
  <si>
    <t>DM PINEAPPLE CHUNKS 227G</t>
  </si>
  <si>
    <t>4800024012326</t>
  </si>
  <si>
    <t>DM PINEAPPLE SLICES 137G</t>
  </si>
  <si>
    <t>4800024570611</t>
  </si>
  <si>
    <t>DM PINEAPPLE TIDBITS 115G</t>
  </si>
  <si>
    <t>4800024011862</t>
  </si>
  <si>
    <t>DM TIDBITS 822G</t>
  </si>
  <si>
    <t>9557727929202</t>
  </si>
  <si>
    <t>DOREEN SWEETENED CONDENSED CREAMER 390G</t>
  </si>
  <si>
    <t>4808647020094</t>
  </si>
  <si>
    <t>EDEN CHEESE ORIGINAL 160G</t>
  </si>
  <si>
    <t>4808647020100</t>
  </si>
  <si>
    <t>EDEN CHEESE ORIGINAL 440G</t>
  </si>
  <si>
    <t>EXPIRED OCT 2025</t>
  </si>
  <si>
    <t>7622210278371</t>
  </si>
  <si>
    <t>EDEN MAYO 220ML</t>
  </si>
  <si>
    <t>7622210892126</t>
  </si>
  <si>
    <t>EDEN SULIT PACK ORIGINAL 45G</t>
  </si>
  <si>
    <t>4806502727607</t>
  </si>
  <si>
    <t>GAR DELICIA MILKY CHOCOLATE SPREAD 200G</t>
  </si>
  <si>
    <t>Expired 08/01/2023</t>
  </si>
  <si>
    <t>4806517042597</t>
  </si>
  <si>
    <t>GOYA SPREAD 350G BUY 2 SAVE</t>
  </si>
  <si>
    <t>4800245888830</t>
  </si>
  <si>
    <t>HOKKAI MACKEREL 155G</t>
  </si>
  <si>
    <t>4800245888854</t>
  </si>
  <si>
    <t>HOKKAI MACKEREL 425G</t>
  </si>
  <si>
    <t>9780201679625</t>
  </si>
  <si>
    <t>HOME RECIPE - PEANUT BUTTER 250G</t>
  </si>
  <si>
    <t>9780201379617</t>
  </si>
  <si>
    <t>HOME RECIPE - PEANUT BUTTER 560G</t>
  </si>
  <si>
    <t>4806516761888</t>
  </si>
  <si>
    <t>JERSEY CONDESED MILK 390G</t>
  </si>
  <si>
    <t>9555513203017</t>
  </si>
  <si>
    <t>JERSEY EVAPORADA 370ML</t>
  </si>
  <si>
    <t>43-EXPIRED 4/30/2025</t>
  </si>
  <si>
    <t>4806014000137</t>
  </si>
  <si>
    <t>JOLLY CREAM CORN 425G</t>
  </si>
  <si>
    <t>4806014099230</t>
  </si>
  <si>
    <t>JOLLY GARBANZOS CHICK PEAS 225G</t>
  </si>
  <si>
    <t>EXPIRED FEB 2025</t>
  </si>
  <si>
    <t>4806014099247</t>
  </si>
  <si>
    <t>JOLLY GARBANZOS CHICK PEAS 425G</t>
  </si>
  <si>
    <t>4806014000762</t>
  </si>
  <si>
    <t>JOLLY MUSHROOMS WHOLE CHAMPIGNONS 400G</t>
  </si>
  <si>
    <t>4800888607096</t>
  </si>
  <si>
    <t>LADYS CHOICE BACON SPREAD 27ML</t>
  </si>
  <si>
    <t>4808680651002</t>
  </si>
  <si>
    <t>LADYS CHOICE BACON SPREAD SACHET 80ML</t>
  </si>
  <si>
    <t>4808680022031</t>
  </si>
  <si>
    <t>LADYS CHOICE CHICKEN SPREAD 220ML</t>
  </si>
  <si>
    <t>4800888282767</t>
  </si>
  <si>
    <t>LADYS CHOICE CHICKEN SPREAD 220ML W/ FREE C2 SOLO</t>
  </si>
  <si>
    <t>4800888607119</t>
  </si>
  <si>
    <t>LADYS CHOICE CHICKEN SPREAD 27ML</t>
  </si>
  <si>
    <t>4800888602275</t>
  </si>
  <si>
    <t>LADYS CHOICE CHICKEN SPREAD DOYPACK 220ML</t>
  </si>
  <si>
    <t>4808680022017</t>
  </si>
  <si>
    <t>LADYS CHOICE CHICKEN SPREAD SACHET 80ML</t>
  </si>
  <si>
    <t>4800888602282</t>
  </si>
  <si>
    <t>LADYS CHOICE HAM SPREAD 220ML</t>
  </si>
  <si>
    <t>4808680022178</t>
  </si>
  <si>
    <t>4800888260987</t>
  </si>
  <si>
    <t>LADYS CHOICE HAM SPREAD 27ML</t>
  </si>
  <si>
    <t>4808680651019</t>
  </si>
  <si>
    <t>LADYS CHOICE HAM SPREAD 80ML</t>
  </si>
  <si>
    <t>4800888283092</t>
  </si>
  <si>
    <t xml:space="preserve">LADYS CHOICE REAL MAYO W/ FREE PINEAPPLE TIDBITS </t>
  </si>
  <si>
    <t>4800888607126</t>
  </si>
  <si>
    <t>LADYS CHOICE REAL MAYONNAISE 27ML</t>
  </si>
  <si>
    <t>4808680021508</t>
  </si>
  <si>
    <t>LADYS CHOICE REAL MAYONNAISE 470ML</t>
  </si>
  <si>
    <t>4808680021355</t>
  </si>
  <si>
    <t>LADYS CHOICE REAL MAYONNAISE SACHET 80ML</t>
  </si>
  <si>
    <t>4808680020877</t>
  </si>
  <si>
    <t>LADYS CHOICE SANDWICH SPREAD 220ML</t>
  </si>
  <si>
    <t>4800888602299</t>
  </si>
  <si>
    <t>LADYS CHOICE SANDWICH SPREAD DOYPACK 220ML</t>
  </si>
  <si>
    <t>4808680020754</t>
  </si>
  <si>
    <t>LADYS CHOICE SANDWICH SPREAD SACHET 80ML</t>
  </si>
  <si>
    <t>4800163443036</t>
  </si>
  <si>
    <t>LIGO SARDINES IN TOMATO SAUCE CHILI ADDED 155G</t>
  </si>
  <si>
    <t>748485801728</t>
  </si>
  <si>
    <t>LUCKY 7 CARNE NORTE 150G</t>
  </si>
  <si>
    <t>6902131112925</t>
  </si>
  <si>
    <t>MALING CHICKEN LUNCHEON MEAT 397G</t>
  </si>
  <si>
    <t>9555513211876</t>
  </si>
  <si>
    <t>MARIE CONDENSADA 380G</t>
  </si>
  <si>
    <t>4800134101019</t>
  </si>
  <si>
    <t>MASTER GREEN IN RICHER TOMATO SAUCE 155G</t>
  </si>
  <si>
    <t>4800134101514</t>
  </si>
  <si>
    <t>MASTER MACKEREL GREEN 155G</t>
  </si>
  <si>
    <t>4800134101521</t>
  </si>
  <si>
    <t>MASTER MACKEREL RED 155G</t>
  </si>
  <si>
    <t>4800134103013</t>
  </si>
  <si>
    <t>MASTER SARDINES GREEN 425G</t>
  </si>
  <si>
    <t>4800134101026</t>
  </si>
  <si>
    <t>MASTER SARDINES IN TOMATO SAUCE 155G RED</t>
  </si>
  <si>
    <t>4800134103020</t>
  </si>
  <si>
    <t>MASTER SARDINES RED IN TOMATO SAUCE 425G RED</t>
  </si>
  <si>
    <t>4800134101040</t>
  </si>
  <si>
    <t>MASTER SARDINES WHITE NATURAL OIL 155G</t>
  </si>
  <si>
    <t>4806504710119</t>
  </si>
  <si>
    <t>MEGA SARDINES GREEN 155G</t>
  </si>
  <si>
    <t>4806504710348</t>
  </si>
  <si>
    <t>MEGA SARDINES IN TOMATO SAUCE 425G</t>
  </si>
  <si>
    <t>4806504710355</t>
  </si>
  <si>
    <t>MEGA SARDINES IN TOMATO SAUCE CHILI 425G</t>
  </si>
  <si>
    <t>4806504710126</t>
  </si>
  <si>
    <t>MEGA SARDINES RED 155G</t>
  </si>
  <si>
    <t>O.K. PROCESSED FILLED CHEESE SPREAD 200G</t>
  </si>
  <si>
    <t>4800058123456</t>
  </si>
  <si>
    <t>PHILIPS SAUSAGE 70G</t>
  </si>
  <si>
    <t>4800022930325</t>
  </si>
  <si>
    <t>PROMO LUCKY 7 CARNE NORTE 150G</t>
  </si>
  <si>
    <t>4805885172004</t>
  </si>
  <si>
    <t>RENO LIVER SPREAD 230G</t>
  </si>
  <si>
    <t>4805885171007</t>
  </si>
  <si>
    <t>RENO LIVER SPREAD 85G</t>
  </si>
  <si>
    <t>096785013038</t>
  </si>
  <si>
    <t>SABA PREMIUM MACKEREL IN NATURAL OIL 155G</t>
  </si>
  <si>
    <t>4800249010091</t>
  </si>
  <si>
    <t>SM CHILI CORNED TUNA 100G</t>
  </si>
  <si>
    <t>4800249006636</t>
  </si>
  <si>
    <t>SM CHILI CORNED TUNA 150G</t>
  </si>
  <si>
    <t>4800249006674</t>
  </si>
  <si>
    <t>SM CHILI CORNED TUNA 180G</t>
  </si>
  <si>
    <t>4800249006599</t>
  </si>
  <si>
    <t>SM PLAIN CORNED TUNA 100G</t>
  </si>
  <si>
    <t>4800249006612</t>
  </si>
  <si>
    <t>SM PLAIN CORNED TUNA 150G</t>
  </si>
  <si>
    <t>4800249006650</t>
  </si>
  <si>
    <t>SM PLAIN CORNED TUNA 180G</t>
  </si>
  <si>
    <t>4800249008517</t>
  </si>
  <si>
    <t>SM PLAIN CORNED TUNA 85G</t>
  </si>
  <si>
    <t>4806513800252</t>
  </si>
  <si>
    <t>TAI HING MUSHROOMS PIECES N STEMS 425G</t>
  </si>
  <si>
    <t>4800154011879</t>
  </si>
  <si>
    <t>TIGABUNGA SQUID 155G</t>
  </si>
  <si>
    <t>072185407592</t>
  </si>
  <si>
    <t>TIGABUNGA SQUID 425G</t>
  </si>
  <si>
    <t>4800024558268</t>
  </si>
  <si>
    <t>TODAYS MIXED FRUIT 836G</t>
  </si>
  <si>
    <t>4801668606551</t>
  </si>
  <si>
    <t>UFC CORN KERNELS 425 GRAMS</t>
  </si>
  <si>
    <t>4801668606575</t>
  </si>
  <si>
    <t>UFC CREAM STYLE CORN 425GRAMS</t>
  </si>
  <si>
    <t>4801668606520</t>
  </si>
  <si>
    <t>UFC GREEN PEAS 400GRAMS</t>
  </si>
  <si>
    <t>4801668606544</t>
  </si>
  <si>
    <t>UFC PIECES &amp; STEMS MUSHROOMS 400 GRAMS</t>
  </si>
  <si>
    <t>4800154156860</t>
  </si>
  <si>
    <t>UNI-PACK SQUID IN NATURAL INK155G</t>
  </si>
  <si>
    <t>4800154013057</t>
  </si>
  <si>
    <t>UNI-PAK MACKEREL IN NATURAL OIL 155G</t>
  </si>
  <si>
    <t>4800154263049</t>
  </si>
  <si>
    <t>UNI-PAK MACKEREL IN NATURAL OIL 425G</t>
  </si>
  <si>
    <t>4800154156884</t>
  </si>
  <si>
    <t>UNIPAK SQUID 425G</t>
  </si>
  <si>
    <t>748485802060</t>
  </si>
  <si>
    <t>WOW ULAM ADOBO 155G</t>
  </si>
  <si>
    <t>748485802077</t>
  </si>
  <si>
    <t>WOW ULAM AFRITADA 155</t>
  </si>
  <si>
    <t>748485802084</t>
  </si>
  <si>
    <t>WOW ULAM CALDERETA 155G</t>
  </si>
  <si>
    <t>748485802220</t>
  </si>
  <si>
    <t>WOW ULAM MECHADO 155G</t>
  </si>
  <si>
    <t>748485802381</t>
  </si>
  <si>
    <t>WOW ULAM MENUDO 155G</t>
  </si>
  <si>
    <t>CONDIMENTS</t>
  </si>
  <si>
    <t>4801958393109</t>
  </si>
  <si>
    <t>AJI CRISPY FRY BREADING MIX GARLIC 62G</t>
  </si>
  <si>
    <t>4801958390108</t>
  </si>
  <si>
    <t>AJI CRISPY FRY BREADING MIX ORIGINAL 62G</t>
  </si>
  <si>
    <t>Expired 5/2/2024</t>
  </si>
  <si>
    <t>4801958240007</t>
  </si>
  <si>
    <t>AJI-NO-MOTO UMAMI SEASONING 100G</t>
  </si>
  <si>
    <t>4801958300107</t>
  </si>
  <si>
    <t>AJI-NO-MOTO UMAMI SEASONING 10GX18</t>
  </si>
  <si>
    <t>4801958341100</t>
  </si>
  <si>
    <t>AJI-NO-MOTO UMAMI SEASONING 11GX12S</t>
  </si>
  <si>
    <t>4801958310007</t>
  </si>
  <si>
    <t>AJI-NO-MOTO UMAMI SEASONING 1KG</t>
  </si>
  <si>
    <t>4801958342008</t>
  </si>
  <si>
    <t>AJI-NO-MOTO UMAMI SEASONING 24G</t>
  </si>
  <si>
    <t>4801958250006</t>
  </si>
  <si>
    <t>AJI-NO-MOTO UMAMI SEASONING 250G</t>
  </si>
  <si>
    <t>4801958260005</t>
  </si>
  <si>
    <t>AJI-NO-MOTO UMAMI SEASONING 500G</t>
  </si>
  <si>
    <t>4801958146002</t>
  </si>
  <si>
    <t>AJI-NO-MOTO UMAMI SEASONING 50G</t>
  </si>
  <si>
    <t>4809014863702</t>
  </si>
  <si>
    <t>ALLYSSA PALM OIL 1L</t>
  </si>
  <si>
    <t>0745125096018</t>
  </si>
  <si>
    <t>ALLYSSA SAVERS PATIS 1L</t>
  </si>
  <si>
    <t>0745125096032</t>
  </si>
  <si>
    <t>ALLYSSA SAVERS SOY SAUCE 1L</t>
  </si>
  <si>
    <t>888123456782034</t>
  </si>
  <si>
    <t>BAIS SUGAR WASH 1/2</t>
  </si>
  <si>
    <t>888123456782035</t>
  </si>
  <si>
    <t>BAIS SUGAR WASH 1/4</t>
  </si>
  <si>
    <t>4806514650047</t>
  </si>
  <si>
    <t>BUENAS KAONG 340G</t>
  </si>
  <si>
    <t>4808647210099</t>
  </si>
  <si>
    <t>CALUMET BAKING POWDER 50G</t>
  </si>
  <si>
    <t>888123456781290</t>
  </si>
  <si>
    <t>CHILI GARLIC PASTE</t>
  </si>
  <si>
    <t>748485150079</t>
  </si>
  <si>
    <t>COCO MAMA FRESH GATA 200ML</t>
  </si>
  <si>
    <t>748485150093</t>
  </si>
  <si>
    <t>COCO MAMA FRESH GATA 400ML</t>
  </si>
  <si>
    <t>4801668600542</t>
  </si>
  <si>
    <t>DATU PUTI PATIS 150ML</t>
  </si>
  <si>
    <t>4801668505045</t>
  </si>
  <si>
    <t>DATU PUTI PATIS 1L</t>
  </si>
  <si>
    <t>4801668505038</t>
  </si>
  <si>
    <t>DATU PUTI PATIS 350ML</t>
  </si>
  <si>
    <t>4801668500224</t>
  </si>
  <si>
    <t>DATU PUTI SOY SAUCE 1L</t>
  </si>
  <si>
    <t>4801668602034</t>
  </si>
  <si>
    <t>DATU PUTI SOY SAUCE 200ML</t>
  </si>
  <si>
    <t>4801668500262</t>
  </si>
  <si>
    <t>DATU PUTI SOY SAUCE 350ML</t>
  </si>
  <si>
    <t>4801668100141</t>
  </si>
  <si>
    <t>DATU PUTI VINEGAR 1L</t>
  </si>
  <si>
    <t>4801668602027</t>
  </si>
  <si>
    <t>DATU PUTI VINEGAR 200ML</t>
  </si>
  <si>
    <t>Expired-40 9/3/2025</t>
  </si>
  <si>
    <t>EXPIRED APR 2025</t>
  </si>
  <si>
    <t>4801668601914</t>
  </si>
  <si>
    <t>DATU PUTI VINEGAR 3.785L</t>
  </si>
  <si>
    <t>4801668100103</t>
  </si>
  <si>
    <t>DATU PUTI VINEGAR 350ML</t>
  </si>
  <si>
    <t>4800024575500</t>
  </si>
  <si>
    <t>DM FILIPINO STYLE SPAGHETTI SAUCE 900G</t>
  </si>
  <si>
    <t>4800024556165</t>
  </si>
  <si>
    <t>DM ORIGINAL STYLE TOMATO SAUCE 900G</t>
  </si>
  <si>
    <t>4800024580016</t>
  </si>
  <si>
    <t>DM SPAGHETTI SAUCE FILIPINO STYLE 500G</t>
  </si>
  <si>
    <t>4800024573544</t>
  </si>
  <si>
    <t>DM SWEET STYLE SPAGHETTI SAUCE 900G</t>
  </si>
  <si>
    <t>4800024556899</t>
  </si>
  <si>
    <t>DM TOMATO PASTE 150G</t>
  </si>
  <si>
    <t>4800024556929</t>
  </si>
  <si>
    <t>DM TOMATO SAUCE ORIG STYLE 250G</t>
  </si>
  <si>
    <t>4800024555496</t>
  </si>
  <si>
    <t>DM TOMATO SAUCE ORIGINAL STYLE 200G</t>
  </si>
  <si>
    <t>4809012601122</t>
  </si>
  <si>
    <t>DON FRANK BUKO PANDAN GULAMAN 24G</t>
  </si>
  <si>
    <t>Expired 2/19/26</t>
  </si>
  <si>
    <t>EXPIRED FEB 2026</t>
  </si>
  <si>
    <t>0710535411621</t>
  </si>
  <si>
    <t>DON FRANK GULAMAN FLOVORED 24G</t>
  </si>
  <si>
    <t>Expired 1/19/26</t>
  </si>
  <si>
    <t>4809012601146</t>
  </si>
  <si>
    <t>DON FRANK GULAMAN WHITE FLAVORED</t>
  </si>
  <si>
    <t>4806011900027</t>
  </si>
  <si>
    <t>FIDEL IODIZED SALT 500 GRAMS</t>
  </si>
  <si>
    <t>6929537239889</t>
  </si>
  <si>
    <t>FRIED GARLIC GRANULES 1KG</t>
  </si>
  <si>
    <t>888123456782036</t>
  </si>
  <si>
    <t>HONEY MOON RICE MALAGKIT 1KG</t>
  </si>
  <si>
    <t>4809011485099</t>
  </si>
  <si>
    <t>JES BAGOONG BIG</t>
  </si>
  <si>
    <t>4809011485082</t>
  </si>
  <si>
    <t>JES BAGOONG SMALL</t>
  </si>
  <si>
    <t>4806014099285</t>
  </si>
  <si>
    <t>JOLLY CANOLA OIL 1L DUO</t>
  </si>
  <si>
    <t>4800888602732</t>
  </si>
  <si>
    <t>KNORR BEEF BROTH CUBE 10G</t>
  </si>
  <si>
    <t>4808680210759</t>
  </si>
  <si>
    <t>KNORR CHICKEN &amp; CORN 60G</t>
  </si>
  <si>
    <t>4800888602718</t>
  </si>
  <si>
    <t>KNORR CHICKEN BROTH CUBE 10G</t>
  </si>
  <si>
    <t>4800888285355</t>
  </si>
  <si>
    <t>KNORR CHICKEN BROTH CUBE 10G 6+2</t>
  </si>
  <si>
    <t>4808680210957</t>
  </si>
  <si>
    <t>KNORR CRAB &amp; CORN SOUP 60G</t>
  </si>
  <si>
    <t>4808680211251</t>
  </si>
  <si>
    <t>KNORR CRAB N CORN SOUP MIX 40G</t>
  </si>
  <si>
    <t>4800888213082</t>
  </si>
  <si>
    <t>KNORR CREAM OF MUSHROOM 38G</t>
  </si>
  <si>
    <t>4808680221250</t>
  </si>
  <si>
    <t>KNORR CREAM OF MUSHROOM SOUP MIX 70G</t>
  </si>
  <si>
    <t>4800888218377</t>
  </si>
  <si>
    <t>KNORR LIQUID SEASONING CHILI 130ML</t>
  </si>
  <si>
    <t>4800888218889</t>
  </si>
  <si>
    <t>KNORR LIQUID SEASONING CHILI 25OML</t>
  </si>
  <si>
    <t>4808680230764</t>
  </si>
  <si>
    <t>KNORR LIQUID SEASONING ORIGINAL 130ML</t>
  </si>
  <si>
    <t>4808680230603</t>
  </si>
  <si>
    <t>KNORR LIQUID SEASONING ORIGINAL 1L</t>
  </si>
  <si>
    <t>4800888602725</t>
  </si>
  <si>
    <t>KNORR PORK BROTH CUBE 10G</t>
  </si>
  <si>
    <t>4800888607959</t>
  </si>
  <si>
    <t>KNORR SHRIMP BROTH CUBE 10G</t>
  </si>
  <si>
    <t>4800888260451</t>
  </si>
  <si>
    <t>KNORR SINIGANG ORIGINAL 6X22G W/ FREE KOPIKO TP</t>
  </si>
  <si>
    <t>4800888603692</t>
  </si>
  <si>
    <t>KNORR SINIGANG SA SAMPALOK MIX 11G</t>
  </si>
  <si>
    <t>4800888284211</t>
  </si>
  <si>
    <t>KNORR SINIGANG SA SAMPALOK MIX 11G 12+1</t>
  </si>
  <si>
    <t>4800888600790</t>
  </si>
  <si>
    <t>KNORR SINIGANG SA SAMPALOK MIX ORIG 22G</t>
  </si>
  <si>
    <t>4800888906779</t>
  </si>
  <si>
    <t>KNORR SINIGANG SAM ORIG MIX 20G 6PCS W/ FREE PLATE</t>
  </si>
  <si>
    <t>888123456782032</t>
  </si>
  <si>
    <t>LUISITA SUGAR WHITE 1/2</t>
  </si>
  <si>
    <t>888123456782033</t>
  </si>
  <si>
    <t>LUISITA SUGAR WHITE 1/4</t>
  </si>
  <si>
    <t>888123456781210</t>
  </si>
  <si>
    <t>LUISITA SUGAR WHITE SACK</t>
  </si>
  <si>
    <t>48025522</t>
  </si>
  <si>
    <t>MAGGI MAGIC SARAP 8G</t>
  </si>
  <si>
    <t>888123456781834</t>
  </si>
  <si>
    <t>MAGGI MAGIC SARAP BUY 32 GET FREE 1 TOM YAM</t>
  </si>
  <si>
    <t>4804888804189</t>
  </si>
  <si>
    <t>MAMA SITAS ACHUETE POWDER 10G</t>
  </si>
  <si>
    <t>025407803603</t>
  </si>
  <si>
    <t>MAMA SITAS CALDERETA SPICY SAUCE MIX 50G</t>
  </si>
  <si>
    <t>4806512022099</t>
  </si>
  <si>
    <t>MAMA SITAS ILOCANO PINAPAITAN BITTER STEW MIX 40G</t>
  </si>
  <si>
    <t>025407803313</t>
  </si>
  <si>
    <t>MAMA SITAS KARE KARE PEANUT SAUCE MIX 57G</t>
  </si>
  <si>
    <t>025407805201</t>
  </si>
  <si>
    <t>MAMA SITAS MENUDO/AFRITADA MIX 30G</t>
  </si>
  <si>
    <t>4806512026387</t>
  </si>
  <si>
    <t>MAMA SITAS ORIGINAL OYSTER SAUCE 60G</t>
  </si>
  <si>
    <t>4804888809788</t>
  </si>
  <si>
    <t>MAMA SITAS OYSTER SAUCE 2KG</t>
  </si>
  <si>
    <t>4804888809474</t>
  </si>
  <si>
    <t>MAMA SITAS OYSTER SAUCE 30G</t>
  </si>
  <si>
    <t>4806512023522</t>
  </si>
  <si>
    <t>MAMA SITAS OYSTER SAUCE 90G</t>
  </si>
  <si>
    <t>025407806680</t>
  </si>
  <si>
    <t>MAMA SITAS PALABOK ORIENTAL GRAVY MIX 57G</t>
  </si>
  <si>
    <t>4801668600641</t>
  </si>
  <si>
    <t>MANG TOMAS ALL AROUND SARSA 100G</t>
  </si>
  <si>
    <t>4801668100264</t>
  </si>
  <si>
    <t>MANG TOMAS ALL AROUND SARSA 325G</t>
  </si>
  <si>
    <t>4801668100288</t>
  </si>
  <si>
    <t>MANG TOMAS SIGA HOT AND SPICY 325G</t>
  </si>
  <si>
    <t>4809013526448</t>
  </si>
  <si>
    <t>MR. GULAMAN BLACK 25G</t>
  </si>
  <si>
    <t>4809013526271</t>
  </si>
  <si>
    <t>MR. GULAMAN BUKO PANDAN 24G</t>
  </si>
  <si>
    <t>4806512023546</t>
  </si>
  <si>
    <t>MS BARBEQUE MARINADE 80ML</t>
  </si>
  <si>
    <t>4800361061322</t>
  </si>
  <si>
    <t>NESTLE ALL PURPOSE CREAM 250ML</t>
  </si>
  <si>
    <t>4800361419307</t>
  </si>
  <si>
    <t>NESTLE CARNATION CONDENSADA 300ML</t>
  </si>
  <si>
    <t>888123456782038</t>
  </si>
  <si>
    <t>PALM OIL CONTAINER 1L</t>
  </si>
  <si>
    <t>888123456782030</t>
  </si>
  <si>
    <t>POLARIS WHEAT FLOUR 1/2</t>
  </si>
  <si>
    <t>4800300200096</t>
  </si>
  <si>
    <t>QUEEN ALL PURPOSE FLOUR 400G</t>
  </si>
  <si>
    <t>4800300600094</t>
  </si>
  <si>
    <t>QUEEN HOTCAKE MIX 400G</t>
  </si>
  <si>
    <t>4800300100044</t>
  </si>
  <si>
    <t>QUEEN PURE CORN STARCH 1KG</t>
  </si>
  <si>
    <t>4800300100020</t>
  </si>
  <si>
    <t>QUEEN PURE CORN STARCH 200G</t>
  </si>
  <si>
    <t>888123456781995</t>
  </si>
  <si>
    <t>SANTEED ALAMANG</t>
  </si>
  <si>
    <t>4800344010620</t>
  </si>
  <si>
    <t>SILVER SWAN PATIS 1L</t>
  </si>
  <si>
    <t>4800344001628</t>
  </si>
  <si>
    <t>SILVER SWAN SOY SAUCE 1L</t>
  </si>
  <si>
    <t>888123456781996</t>
  </si>
  <si>
    <t>SPICED SUKANG ILOCOS</t>
  </si>
  <si>
    <t>0000004789291</t>
  </si>
  <si>
    <t>TAL PATIS REGULAR 1L</t>
  </si>
  <si>
    <t>4800024038548</t>
  </si>
  <si>
    <t>TODAYS FRUIT COCKTAIL 1GAL</t>
  </si>
  <si>
    <t>014285002789</t>
  </si>
  <si>
    <t>UFC BANANA CATSUP 100G</t>
  </si>
  <si>
    <t>014285003045</t>
  </si>
  <si>
    <t>UFC BANANA CATSUP 1KG</t>
  </si>
  <si>
    <t>014285003656</t>
  </si>
  <si>
    <t>UFC BANANA CATSUP 200G</t>
  </si>
  <si>
    <t>1-Expired 7/30/2025</t>
  </si>
  <si>
    <t>014285000068</t>
  </si>
  <si>
    <t>UFC BANANA CATSUP 320G</t>
  </si>
  <si>
    <t>014285001102</t>
  </si>
  <si>
    <t>UFC BANANA CATSUP 4KG</t>
  </si>
  <si>
    <t>4801668601235</t>
  </si>
  <si>
    <t>UFC CANOLA OIL 1L</t>
  </si>
  <si>
    <t>4801668607947</t>
  </si>
  <si>
    <t>UFC CREAM OF MUSHROOM 70G</t>
  </si>
  <si>
    <t>4801668607879</t>
  </si>
  <si>
    <t>UFC HAPI FIESTA VEGETABLE OIL 17KG</t>
  </si>
  <si>
    <t>888123456781555</t>
  </si>
  <si>
    <t>VICTORIA WASH SUGAR 1/2</t>
  </si>
  <si>
    <t>888123456781281</t>
  </si>
  <si>
    <t>VICTORIA WASH SUGAR 1KG</t>
  </si>
  <si>
    <t>888123456781464</t>
  </si>
  <si>
    <t>VICTORIA WASH SUGAR SACKS NEW</t>
  </si>
  <si>
    <t>888123456781554</t>
  </si>
  <si>
    <t>VICTORIA WHITE SUGAR 1/4</t>
  </si>
  <si>
    <t>0891234568110</t>
  </si>
  <si>
    <t>WAMI FOODS BLACK PEPPER</t>
  </si>
  <si>
    <t>888123456781843</t>
  </si>
  <si>
    <t>WASH SUGAR SACK</t>
  </si>
  <si>
    <t>TOILETRIES &amp; PERSONAL HYGIENE</t>
  </si>
  <si>
    <t>888123456781807</t>
  </si>
  <si>
    <t>ALCOLUXX ISOPROPYL ALCOHOL ALCORADE 70% SOLUTION 500ML</t>
  </si>
  <si>
    <t>Expired</t>
  </si>
  <si>
    <t>4800417005225</t>
  </si>
  <si>
    <t>BENCH ATLANTIS 75ML</t>
  </si>
  <si>
    <t>4800417060415</t>
  </si>
  <si>
    <t>BENCH CLAY DOH 4G</t>
  </si>
  <si>
    <t>4800417064888</t>
  </si>
  <si>
    <t>BENCH DAILY SCENT BUBBLE POP 125ML</t>
  </si>
  <si>
    <t>4800417059549</t>
  </si>
  <si>
    <t>BENCH DAILY SCENT COLOGNE HAPPY HOUR 125ML</t>
  </si>
  <si>
    <t>4800417059556</t>
  </si>
  <si>
    <t>BENCH DAILY SCENT COLOGNE INDIAN SUMMER 125ML</t>
  </si>
  <si>
    <t>4800417059563</t>
  </si>
  <si>
    <t>BENCH DAILY SCENT COLOGNE LAZY AFTERNOON 125ML</t>
  </si>
  <si>
    <t>4800417059433</t>
  </si>
  <si>
    <t>BENCH DAILY SCENT COLOGNE LAZY AFTERNOON 50ML</t>
  </si>
  <si>
    <t>4800417059495</t>
  </si>
  <si>
    <t>BENCH DAILY SCENT COLOGNE LAZY AFTERNOON 75ML</t>
  </si>
  <si>
    <t>4800417059594</t>
  </si>
  <si>
    <t>BENCH DAILY SCENT COLOGNE SUNDAY MORNING 125ML</t>
  </si>
  <si>
    <t>4800417059488</t>
  </si>
  <si>
    <t>BENCH DAILY SCENT INDIAN SUMMER 75ML</t>
  </si>
  <si>
    <t>4800417059501</t>
  </si>
  <si>
    <t>BENCH DAILY SCENT NINE TO MINE 75ML</t>
  </si>
  <si>
    <t>4800417059518</t>
  </si>
  <si>
    <t>BENCH DAILY SCENT SPRING BREAK 75ML</t>
  </si>
  <si>
    <t>4800417059525</t>
  </si>
  <si>
    <t>BENCH DAILY SCENT SUNDAY MORNING 75ML</t>
  </si>
  <si>
    <t>4800417005249</t>
  </si>
  <si>
    <t>BENCH EIGHT BODY SPRAY 100ML</t>
  </si>
  <si>
    <t>4800417005218</t>
  </si>
  <si>
    <t>BENCH EIGHT BODY SPRAY 75ML</t>
  </si>
  <si>
    <t>4800417060590</t>
  </si>
  <si>
    <t>BENCH SO INLOVE 50ML</t>
  </si>
  <si>
    <t>4800204002093</t>
  </si>
  <si>
    <t>BETADINE WOUND SOLUTION 7.5ML</t>
  </si>
  <si>
    <t>4806525621340</t>
  </si>
  <si>
    <t>BEYBIKO BABY WIPES FLORAL BLOSSOM 80+20WIPES</t>
  </si>
  <si>
    <t>EXPIRED APR 2026</t>
  </si>
  <si>
    <t>4806525621333</t>
  </si>
  <si>
    <t>BEYBIKO BABY WIPES UNSCENTED 80WIPES+20FREE</t>
  </si>
  <si>
    <t>4806525621098</t>
  </si>
  <si>
    <t>BEYBIKO DIAPERS MEDIUM 12S</t>
  </si>
  <si>
    <t>4806525621012</t>
  </si>
  <si>
    <t>BEYBIKO DIAPERS MEDIUM 30S</t>
  </si>
  <si>
    <t>4806525621081</t>
  </si>
  <si>
    <t>BEYBIKO DIAPERS SMALL 12S</t>
  </si>
  <si>
    <t>4806525621005</t>
  </si>
  <si>
    <t>BEYBIKO DIAPERS SMALL 30S</t>
  </si>
  <si>
    <t>4806525621111</t>
  </si>
  <si>
    <t>BEYBIKO DIAPERS XL 12S</t>
  </si>
  <si>
    <t>4806525621036</t>
  </si>
  <si>
    <t>BEYBIKO DIAPERS XL 30S</t>
  </si>
  <si>
    <t>4806525621241</t>
  </si>
  <si>
    <t>BEYBIKO PANTS DIAPERS XL 24S</t>
  </si>
  <si>
    <t>4806525621258</t>
  </si>
  <si>
    <t>BEYBIKO PANTS DIAPERS XXL 24S</t>
  </si>
  <si>
    <t>4800011115061</t>
  </si>
  <si>
    <t>BIODERM SOAP BLOOM (PINK) 135G</t>
  </si>
  <si>
    <t>4800011782805</t>
  </si>
  <si>
    <t>BIODERM SOAP BLOOM (PINK) 60G</t>
  </si>
  <si>
    <t>4800011113968</t>
  </si>
  <si>
    <t>BIODERM SOAP COOLNESS (BLUE) 135G</t>
  </si>
  <si>
    <t>4800011113937</t>
  </si>
  <si>
    <t>BIODERM SOAP COOLNESS (BLUE) 60G</t>
  </si>
  <si>
    <t>4800011782737</t>
  </si>
  <si>
    <t>BIODERM SOAP FRESHEN (GREEN) 60G</t>
  </si>
  <si>
    <t>4809012634991</t>
  </si>
  <si>
    <t>BLEST FACIAL TISSUE 80SHEET</t>
  </si>
  <si>
    <t>4806516856157</t>
  </si>
  <si>
    <t>BODY TREATS HAND SOAP MELON SCENTED 750ML</t>
  </si>
  <si>
    <t>4801010361121</t>
  </si>
  <si>
    <t>CAREFREE SUPER DRY LINERS 15S</t>
  </si>
  <si>
    <t>4806506313882</t>
  </si>
  <si>
    <t>CHERUB SCENTED WIPES 15S</t>
  </si>
  <si>
    <t>4800888141194</t>
  </si>
  <si>
    <t>CLEAR COMPLETE SOFT CARE 13ML</t>
  </si>
  <si>
    <t>4800067120989</t>
  </si>
  <si>
    <t>CLIO TOOTHBRUSH ALL AROUND BUY 2 TAKE 1 FREE</t>
  </si>
  <si>
    <t>8934839125691</t>
  </si>
  <si>
    <t>CLOSE UP ALL DAY FRESHNESS 2X120G TWIN PACK</t>
  </si>
  <si>
    <t>4800888218315</t>
  </si>
  <si>
    <t>CLOSE UP BLUE (11+1)</t>
  </si>
  <si>
    <t>4800888147240</t>
  </si>
  <si>
    <t>CLOSE UP MENTHOL FRESH 2X11G</t>
  </si>
  <si>
    <t>8934839125677</t>
  </si>
  <si>
    <t>CLOSE UP MENTHOL FRESH TWIN PACK 2X120G</t>
  </si>
  <si>
    <t>4800888147288</t>
  </si>
  <si>
    <t>CLOSE UP RED HOT TWIN PACK 10G</t>
  </si>
  <si>
    <t>8850006327357</t>
  </si>
  <si>
    <t>COLGATE BUBBLE FRUIT FLAVOR BARBIE 40G</t>
  </si>
  <si>
    <t>8850006344200</t>
  </si>
  <si>
    <t>COLGATE BUBBLE FRUIT FLAVOR BATMAN 40G</t>
  </si>
  <si>
    <t>8850006342213</t>
  </si>
  <si>
    <t>COLGATE BUBBLE FRUIT FLAVOR MINIONS BOX 40G</t>
  </si>
  <si>
    <t>6920354832123</t>
  </si>
  <si>
    <t>COLGATE CHARCOAL CLEAN 20G</t>
  </si>
  <si>
    <t>4808888200583</t>
  </si>
  <si>
    <t>COLGATE CLASSIC CHILD BRUSH</t>
  </si>
  <si>
    <t>4808888201115</t>
  </si>
  <si>
    <t>COLGATE CLASSIC DEEP CLEAN TOOTHBRUSH</t>
  </si>
  <si>
    <t>8935102111335</t>
  </si>
  <si>
    <t>COLGATE CLASSIC TOOTHBRUSH MEDIUM 2S</t>
  </si>
  <si>
    <t>4808888892566</t>
  </si>
  <si>
    <t>COLGATE COOL MENTHOL FRESH 20G BUY 11 GET 1 FREE</t>
  </si>
  <si>
    <t>6920354823985</t>
  </si>
  <si>
    <t>COLGATE FRESH CONFIDENCE COOL MENTHOL FRESH 2X175G</t>
  </si>
  <si>
    <t>6920354826559</t>
  </si>
  <si>
    <t>COLGATE FRESH CONFIDENCE PEPPERMINT ICE 120GX2</t>
  </si>
  <si>
    <t>8850006327449</t>
  </si>
  <si>
    <t>COLGATE FRESH CONFIDENCE SPICY FRESH 2X175G</t>
  </si>
  <si>
    <t>6920354824104</t>
  </si>
  <si>
    <t>COLGATE FRESH CONFIDENCE W/ COOLING CRYSTALS</t>
  </si>
  <si>
    <t>8850006327432</t>
  </si>
  <si>
    <t>COLGATE MAXIMUM CAVITY PROTECTION 2X132G</t>
  </si>
  <si>
    <t>8850006327425</t>
  </si>
  <si>
    <t>COLGATE MAXIMUM CAVITY PROTECTION 2X195G</t>
  </si>
  <si>
    <t>8850006325216</t>
  </si>
  <si>
    <t>COLGATE ORIGINAL TWINPACK 24G</t>
  </si>
  <si>
    <t>8850006302088</t>
  </si>
  <si>
    <t>COLGATE PLAX FRESHMINT SPLASH 250ML</t>
  </si>
  <si>
    <t>8850006306246</t>
  </si>
  <si>
    <t>COLGATE PLAX ICE INFINITY 250ML</t>
  </si>
  <si>
    <t>8850006306772</t>
  </si>
  <si>
    <t>COLGATE PLAX ICE INFINITY 60ML</t>
  </si>
  <si>
    <t>8850006302132</t>
  </si>
  <si>
    <t>COLGATE PLAX PEPPERMINT FRESH 250ML</t>
  </si>
  <si>
    <t>4808888892177</t>
  </si>
  <si>
    <t>COLGATE SPICY FRESH 20G BUY 11 GET 1 FREE</t>
  </si>
  <si>
    <t>8850006327456</t>
  </si>
  <si>
    <t>COLGATE SPICY FRESH 2X120G</t>
  </si>
  <si>
    <t>8850006325223</t>
  </si>
  <si>
    <t>COLGATE SPICY FRESH TWINPACK 22G</t>
  </si>
  <si>
    <t>6920354817724</t>
  </si>
  <si>
    <t>COLGATE STRAWBERRY FLAVOR 2-5YO 40G</t>
  </si>
  <si>
    <t>8935236000734</t>
  </si>
  <si>
    <t>COLGATE SUPER FLEXI TOOTHBRUSH BLACK</t>
  </si>
  <si>
    <t>8935236000093</t>
  </si>
  <si>
    <t>COLGATE SUPER FLEXI TOOTHBRUSH WHITE</t>
  </si>
  <si>
    <t>8850006327470</t>
  </si>
  <si>
    <t>COLGATE TRIPLE ACTION 2X120G</t>
  </si>
  <si>
    <t>8850006327463</t>
  </si>
  <si>
    <t>COLGATE TRIPLE ACTION 2X175G</t>
  </si>
  <si>
    <t>4800888283122</t>
  </si>
  <si>
    <t xml:space="preserve">CREAM SILK HAIR FALL DEFENSE 2 WASH PACK 22ML </t>
  </si>
  <si>
    <t>4800888240064</t>
  </si>
  <si>
    <t>CREAM SILK KERATIN DAMAGE REPAIR 18ML</t>
  </si>
  <si>
    <t>4800888283139</t>
  </si>
  <si>
    <t>CREAM SILK STANDOUT STRAIGHT 2 WASH PACK 22ML</t>
  </si>
  <si>
    <t>4800888139276</t>
  </si>
  <si>
    <t>CREAMSILK CONDITIONER BLUE 11ML</t>
  </si>
  <si>
    <t>4800888181084</t>
  </si>
  <si>
    <t>CREAMSILK CONDITIONER GREEN 11ML 11+1</t>
  </si>
  <si>
    <t>4800888139306</t>
  </si>
  <si>
    <t>CREAMSILK CONDITIONER PINK 12ML</t>
  </si>
  <si>
    <t>4800888181077</t>
  </si>
  <si>
    <t>CREAMSILK CONDITIONER PINK BUY 11 GET 1 FREE 12ML</t>
  </si>
  <si>
    <t>BAD ORDER</t>
  </si>
  <si>
    <t>4800888287496</t>
  </si>
  <si>
    <t>CREAMSILK CONDITIONER PINK BUY 11 GET 1 FREE 22ML</t>
  </si>
  <si>
    <t>4800888181787</t>
  </si>
  <si>
    <t>CREAMSILK DAMAGE CONTROL 11ML 11+1</t>
  </si>
  <si>
    <t>4800888139283</t>
  </si>
  <si>
    <t>CREAMSILK GREEN 11ML</t>
  </si>
  <si>
    <t>4800888206121</t>
  </si>
  <si>
    <t>CREAMSILK TRIPLE KERATIN RESCUE ULTIMATE STRAIGHT 10ML</t>
  </si>
  <si>
    <t>4800417059570</t>
  </si>
  <si>
    <t>DAILY SCENT COLOGNE NINE TO MINE 125ML</t>
  </si>
  <si>
    <t>4806515163782</t>
  </si>
  <si>
    <t>DEOPLUS TAWAS POWDER 50G</t>
  </si>
  <si>
    <t>4800888220493</t>
  </si>
  <si>
    <t>DOVE BEAUTY BAR 3X135G</t>
  </si>
  <si>
    <t>4800888206572</t>
  </si>
  <si>
    <t xml:space="preserve">DOVE CONDITIONER SERUM HAIR FALL RESCUE 10ML </t>
  </si>
  <si>
    <t>4800888207869</t>
  </si>
  <si>
    <t>DOVE DERMA CARE SCALP SOOTING MOISTURE 10ML</t>
  </si>
  <si>
    <t>4800888190215</t>
  </si>
  <si>
    <t>DOVE OXYGEN &amp; NOURISHMENT</t>
  </si>
  <si>
    <t>4800888220509</t>
  </si>
  <si>
    <t>DOVE PINK BEAUTY BAR 3X135G</t>
  </si>
  <si>
    <t>4800888217523</t>
  </si>
  <si>
    <t>DOVE SERUM CONDITIONER AMINO RESTORE 10ML</t>
  </si>
  <si>
    <t>4800888206565</t>
  </si>
  <si>
    <t>DOVE SERUM CONDITIONER KERATIN REPAIR 10ML</t>
  </si>
  <si>
    <t>4800888154262</t>
  </si>
  <si>
    <t>DOVE SHAMPOO INTENSE REPAIR 10ML</t>
  </si>
  <si>
    <t>4800888212900</t>
  </si>
  <si>
    <t>DOVE SHAMPOO INTENSE REPAIR 12ML</t>
  </si>
  <si>
    <t>4800888217455</t>
  </si>
  <si>
    <t>DOVE SHAMPOO INTENSE REPAIR 12ML BUY 11 GET 1 FREE</t>
  </si>
  <si>
    <t>4800888154255</t>
  </si>
  <si>
    <t>DOVE SHAMPOO NOURISHING OIL CARE 12ML</t>
  </si>
  <si>
    <t>4800888190185</t>
  </si>
  <si>
    <t>DOVE SHAMPOO OXYGEN &amp; NOURISHMENT 10ML</t>
  </si>
  <si>
    <t>4800888212917</t>
  </si>
  <si>
    <t>DOVE SHAMPOO STRAIGHT &amp; SILKY 12ML</t>
  </si>
  <si>
    <t>4800888217448</t>
  </si>
  <si>
    <t>DOVE SHAMPOO STRAIGHT &amp; SILKY 12ML BUY 11 GET 1 FREE</t>
  </si>
  <si>
    <t>4800488960348</t>
  </si>
  <si>
    <t>EQ PANTS XL 24S</t>
  </si>
  <si>
    <t>48038164</t>
  </si>
  <si>
    <t>ESKINOL FACIAL CLEANSER SPOT LESS WHITE W/ CALAMANSI 75ML</t>
  </si>
  <si>
    <t>4806502352724</t>
  </si>
  <si>
    <t xml:space="preserve">FEMME COTTON PADS </t>
  </si>
  <si>
    <t>4902806015560</t>
  </si>
  <si>
    <t>GATSBY STYLING WAX MAT&amp;HARD 3G</t>
  </si>
  <si>
    <t>4800047820250</t>
  </si>
  <si>
    <t>GC ALCOHOL W/ MOISTURIZER 70% 60ML</t>
  </si>
  <si>
    <t>4800047865404</t>
  </si>
  <si>
    <t>GC BSOAP CLEAR RADIANCE 125G</t>
  </si>
  <si>
    <t>4800047820465</t>
  </si>
  <si>
    <t>GC ETHYL ALCOHOL 70% 3785ML</t>
  </si>
  <si>
    <t>4800047820434</t>
  </si>
  <si>
    <t>GC ISOP ALCOHOL 70% PUMP 1000ML</t>
  </si>
  <si>
    <t>4800047820182</t>
  </si>
  <si>
    <t>GC ISOP ALCOHOL W/ MOIST 70% 500ML</t>
  </si>
  <si>
    <t>4800047820458</t>
  </si>
  <si>
    <t>GC ISOPROPYL ALCOHOL W/ MOIST 70% 3785ML</t>
  </si>
  <si>
    <t>4800047865183</t>
  </si>
  <si>
    <t>GC TOTAL DEFENSE ANTIBAC SANITIZER 5IN1 250ML</t>
  </si>
  <si>
    <t>4987176092267</t>
  </si>
  <si>
    <t>GILLETE BLUE 2 FLEXI</t>
  </si>
  <si>
    <t>4902430441896</t>
  </si>
  <si>
    <t>GILLETE RUBIE II</t>
  </si>
  <si>
    <t>48037877</t>
  </si>
  <si>
    <t>GILLETE RUBIE II 2</t>
  </si>
  <si>
    <t>8888826019589</t>
  </si>
  <si>
    <t>GILLETTTE BLUE II PLUS</t>
  </si>
  <si>
    <t>4801234146078</t>
  </si>
  <si>
    <t>GLADE SG FRESH LEMON 180G VALUE PACK</t>
  </si>
  <si>
    <t>4800034015164</t>
  </si>
  <si>
    <t>HAPEE ECO TUBE-WHITENING 150G</t>
  </si>
  <si>
    <t>4800034017267</t>
  </si>
  <si>
    <t>HAPEE EXPLOSIVE MENTHOL RED 150G</t>
  </si>
  <si>
    <t>4800034606690</t>
  </si>
  <si>
    <t>HAPEE EXPLOSIVE MENTHOL RED 30G 11+1</t>
  </si>
  <si>
    <t>4800034017243</t>
  </si>
  <si>
    <t>HAPEE EXPLOSIVE MENTHOL RED 55G</t>
  </si>
  <si>
    <t>4800034606980</t>
  </si>
  <si>
    <t>HAPEE EXPLOSIVE MENTHOL RED SULIT DOBLE PACK 2X140ML</t>
  </si>
  <si>
    <t>4800034014440</t>
  </si>
  <si>
    <t>HAPEE KIDDIE APPLE CRUNCH 62G(50ML)</t>
  </si>
  <si>
    <t>4800034014549</t>
  </si>
  <si>
    <t>HAPEE KIDDIE JUICY GRAPES 62G(50ML)</t>
  </si>
  <si>
    <t>4800034012446</t>
  </si>
  <si>
    <t>HAPEE KIDDIE ORANGE SQUEEZE 62G(50ML)</t>
  </si>
  <si>
    <t>4800034012545</t>
  </si>
  <si>
    <t>HAPEE KIDDIE STRAWBERRY BLOOM 62G(50ML)</t>
  </si>
  <si>
    <t>4800034012347</t>
  </si>
  <si>
    <t>HAPEE KIDDIE TUTTIFRUTTI 62G(50ML)</t>
  </si>
  <si>
    <t>4902430411776</t>
  </si>
  <si>
    <t>HEAD &amp; SHOULDER ANTI-DANDRUFF COOL MENTHOL 330ML</t>
  </si>
  <si>
    <t>EXPIRED JAN 2024</t>
  </si>
  <si>
    <t>4902430522809</t>
  </si>
  <si>
    <t>HEAD &amp; SHOULDER ANTI-DANDRUFF SHAMPOO ULTRA MEN COOL MENTHOL 12ML</t>
  </si>
  <si>
    <t>4987176040480</t>
  </si>
  <si>
    <t>HEAD &amp; SHOULDER SHAMPOO ANTIBAC 12ML</t>
  </si>
  <si>
    <t>4902430736510</t>
  </si>
  <si>
    <t>HEAD &amp; SHOULDERS ANTI DANDRUFF 12ML</t>
  </si>
  <si>
    <t>4902430333597</t>
  </si>
  <si>
    <t>HEAD&amp;SHOULDER SHAMPOO COOL MENTHOL TRIPACK 12ML</t>
  </si>
  <si>
    <t>4902430698658</t>
  </si>
  <si>
    <t>HEAD&amp;SHOULDER SHAMPOO SMOOTH N SILKY TRIPACK 12ML</t>
  </si>
  <si>
    <t>9556006060308</t>
  </si>
  <si>
    <t>JB BATH MILK + RICE 100ML</t>
  </si>
  <si>
    <t>4801010121213</t>
  </si>
  <si>
    <t>JB COLOGNE REGULAR BLUE 50ML</t>
  </si>
  <si>
    <t>4801010504207</t>
  </si>
  <si>
    <t>JB OIL ALOE VERA &amp; VIT E 50ML</t>
  </si>
  <si>
    <t>4801010504306</t>
  </si>
  <si>
    <t>JB OIL ALOE VERA &amp; VITAMIN E 125ML</t>
  </si>
  <si>
    <t>48038065</t>
  </si>
  <si>
    <t>JB OIL ALOE VERA &amp; VITAMIN E 25ML</t>
  </si>
  <si>
    <t>4801010503323</t>
  </si>
  <si>
    <t>JB OIL LITE 125ML</t>
  </si>
  <si>
    <t>4801010503224</t>
  </si>
  <si>
    <t>JB OIL LITE 50ML</t>
  </si>
  <si>
    <t>4801010501312</t>
  </si>
  <si>
    <t>JB OIL REGULAR 125ML</t>
  </si>
  <si>
    <t>48035996</t>
  </si>
  <si>
    <t>JB OIL REGULAR 25ML</t>
  </si>
  <si>
    <t>4801010501213</t>
  </si>
  <si>
    <t>JB OIL REGULAR 50ML</t>
  </si>
  <si>
    <t>4801010105206</t>
  </si>
  <si>
    <t>JB POWDER BLOSSOMS PINK 100G</t>
  </si>
  <si>
    <t>4801010105107</t>
  </si>
  <si>
    <t>JB POWDER BLOSSOMS PINK 50G</t>
  </si>
  <si>
    <t>4801010104209</t>
  </si>
  <si>
    <t>JB POWDER MILK + RICE 100G</t>
  </si>
  <si>
    <t>8850007011149</t>
  </si>
  <si>
    <t>JB POWDER WHITE 200G</t>
  </si>
  <si>
    <t>48032742</t>
  </si>
  <si>
    <t>JB POWDER WHITE 25G</t>
  </si>
  <si>
    <t>48033459</t>
  </si>
  <si>
    <t>JB POWDER WHITE 50G</t>
  </si>
  <si>
    <t>4801010127222</t>
  </si>
  <si>
    <t>JOHNSONS BABY COLOGNE HAPPY BERRIES 50ML</t>
  </si>
  <si>
    <t>4801010127215</t>
  </si>
  <si>
    <t>JOHNSONS BABY COLOGNE HEAVEN 50ML</t>
  </si>
  <si>
    <t>4800060254506</t>
  </si>
  <si>
    <t>JOY EXTRA BATHROOM TISSUE 1ROLL</t>
  </si>
  <si>
    <t>4800060254803</t>
  </si>
  <si>
    <t>JOY EXTRA BATHROOM TISSUE 2 PLY 12 ROLLS</t>
  </si>
  <si>
    <t>4800060031503</t>
  </si>
  <si>
    <t xml:space="preserve">JOY KITCHEN TOWELS TWIN PACK 2-PLY </t>
  </si>
  <si>
    <t>4809012413039</t>
  </si>
  <si>
    <t>KATINKO OINTMENT 30G</t>
  </si>
  <si>
    <t>4800060254407</t>
  </si>
  <si>
    <t>KLEENEX ULTIMATE CLEAN 12R 3PLY</t>
  </si>
  <si>
    <t>4800060202101</t>
  </si>
  <si>
    <t>KLEENEX ULTRA STYLE 200 SHEETS 2-PLY</t>
  </si>
  <si>
    <t>4809010120953</t>
  </si>
  <si>
    <t>KOJIC &amp; GLUTATHIONE ORIGINAL SOAP 135G</t>
  </si>
  <si>
    <t>4806520415227</t>
  </si>
  <si>
    <t>KOJIC SAN NIACINAMIDE SOAP 100G</t>
  </si>
  <si>
    <t>4809014128672</t>
  </si>
  <si>
    <t>KOJIE SAN SKIN LIGHTENING SOAP 3X65G</t>
  </si>
  <si>
    <t>4809013300215</t>
  </si>
  <si>
    <t>KOJIE SAN SKIN LIGHTENING SOAP CLASSIC 65G</t>
  </si>
  <si>
    <t>4806500805369</t>
  </si>
  <si>
    <t>MAGIC COLOR BABY DIAPER LARGE 40S</t>
  </si>
  <si>
    <t>4806500805260</t>
  </si>
  <si>
    <t>MAGIC COLOR BABY DIAPER MEDIUM 45S</t>
  </si>
  <si>
    <t>4806500805468</t>
  </si>
  <si>
    <t>MAGIC COLOR BABY DIAPER XLARGE 40S</t>
  </si>
  <si>
    <t>4806500807325</t>
  </si>
  <si>
    <t>MAGIC DRI BLUE LARGE 10S</t>
  </si>
  <si>
    <t>4806500807356</t>
  </si>
  <si>
    <t>MAGIC DRI BLUE LARGE 30PCS+4FREE</t>
  </si>
  <si>
    <t>4806500806311</t>
  </si>
  <si>
    <t>MAGIC DRI BLUE LARGE 4S</t>
  </si>
  <si>
    <t>4806500807516</t>
  </si>
  <si>
    <t>MAGIC DRI CLOTHLIKE XXL 4S</t>
  </si>
  <si>
    <t>4806500807226</t>
  </si>
  <si>
    <t>MAGIC DRI GREEN MEDIUM 10S</t>
  </si>
  <si>
    <t>4806500807257</t>
  </si>
  <si>
    <t>MAGIC DRI GREEN MEDIUM 30PCS+4FREE</t>
  </si>
  <si>
    <t>4806500806212</t>
  </si>
  <si>
    <t>MAGIC DRI GREEN MEDIUM 4S</t>
  </si>
  <si>
    <t>4806500807028</t>
  </si>
  <si>
    <t>MAGIC DRI ORANGE XXL 10S</t>
  </si>
  <si>
    <t>4806500807554</t>
  </si>
  <si>
    <t>MAGIC DRI ORANGE XXL 30PCS+4FREE</t>
  </si>
  <si>
    <t>4806500807561</t>
  </si>
  <si>
    <t>MAGIC DRI ORANGE XXL 45PCS+6FREE</t>
  </si>
  <si>
    <t>4806500807424</t>
  </si>
  <si>
    <t>MAGIC DRI PINK XL 10S</t>
  </si>
  <si>
    <t>4806500807455</t>
  </si>
  <si>
    <t>MAGIC DRI PINK XL 30PCS+4FREE</t>
  </si>
  <si>
    <t>4806500806410</t>
  </si>
  <si>
    <t>MAGIC DRI PINK XL 4S</t>
  </si>
  <si>
    <t>4806500807158</t>
  </si>
  <si>
    <t>MAGIC DRI YELLOW NB-SMALL 30PCS+4FREE</t>
  </si>
  <si>
    <t>4806500807127</t>
  </si>
  <si>
    <t>MAGIC DRI YELLOW SMALL 10S</t>
  </si>
  <si>
    <t>4806500807110</t>
  </si>
  <si>
    <t>MAGIC DRI YELLOW SMALL 4S</t>
  </si>
  <si>
    <t>4806500802528</t>
  </si>
  <si>
    <t>MAGIC PANTS PULL-UPS XXL 10S</t>
  </si>
  <si>
    <t>4806500802559</t>
  </si>
  <si>
    <t>MAGIC PANTS PULL-UPS XXL 30S</t>
  </si>
  <si>
    <t>4806789446826</t>
  </si>
  <si>
    <t>MASTER CLEANSER ACTIVE BRIGHTENING 70ML</t>
  </si>
  <si>
    <t>4800888176882</t>
  </si>
  <si>
    <t>MASTER CLEANSER BRIGHTENING PLUS 70ML</t>
  </si>
  <si>
    <t>48038614</t>
  </si>
  <si>
    <t>MASTER CLEANSER OIL CONTROL 70ML</t>
  </si>
  <si>
    <t>4801010327103</t>
  </si>
  <si>
    <t>MODESS ALL NIGHT W/ WINGS 4S</t>
  </si>
  <si>
    <t>4801010342724</t>
  </si>
  <si>
    <t>MODESS REGULAR NON WING 9+1 PADS</t>
  </si>
  <si>
    <t>8850007371397</t>
  </si>
  <si>
    <t>MODESS REGULAR NON-WING 8S</t>
  </si>
  <si>
    <t>8850007371403</t>
  </si>
  <si>
    <t>MODESS REGULAR W/ WINGS 8S</t>
  </si>
  <si>
    <t>4801010342717</t>
  </si>
  <si>
    <t>MODESS REGULAR W/ WINGS 9+1 PADS</t>
  </si>
  <si>
    <t>4806502352953</t>
  </si>
  <si>
    <t xml:space="preserve">NATURALE TISSUE PCF 800S </t>
  </si>
  <si>
    <t>4801010333913</t>
  </si>
  <si>
    <t>NEGOSYO PACK (MODESS NW12S+2JBP 25G)</t>
  </si>
  <si>
    <t>4005808324774</t>
  </si>
  <si>
    <t>NIVEA INTENSIVE MOISTURE BODY MILK LOTION 125ML</t>
  </si>
  <si>
    <t>4005808354016</t>
  </si>
  <si>
    <t>NIVEA WHITE &amp; REPAIR UV BODY LOTION 125ML</t>
  </si>
  <si>
    <t>48038379</t>
  </si>
  <si>
    <t>OFF FOR KIDS 6ML</t>
  </si>
  <si>
    <t>1 BUTAS</t>
  </si>
  <si>
    <t>48031813</t>
  </si>
  <si>
    <t>OFF OVERTIME INSECT REPELLENT LOTION 6ML</t>
  </si>
  <si>
    <t>4801234130183</t>
  </si>
  <si>
    <t>OFF OVERTIME LOTION 100ML</t>
  </si>
  <si>
    <t>4902430296847</t>
  </si>
  <si>
    <t>OLAY NATURAL AURA ALL IN ONE RADIANCE DAY CREAM 7.5G</t>
  </si>
  <si>
    <t>4902430349062</t>
  </si>
  <si>
    <t xml:space="preserve">ORAL B TOOTHBRUSH SHINY CLEAN  </t>
  </si>
  <si>
    <t>4808888004594</t>
  </si>
  <si>
    <t>PALMOLIVE BLUE BUY 11 GET 1 FREE</t>
  </si>
  <si>
    <t>4808888004174</t>
  </si>
  <si>
    <t>PALMOLIVE GREEN BUY 11 GET 1 FREE</t>
  </si>
  <si>
    <t>8850006480724</t>
  </si>
  <si>
    <t>PALMOLIVE HEALTHYSHINE 15ML</t>
  </si>
  <si>
    <t>8850006943953</t>
  </si>
  <si>
    <t>PALMOLIVE NATURALS HYDRATING GLOW SOAP BUY 6 GET 1 FREE</t>
  </si>
  <si>
    <t>8850006943960</t>
  </si>
  <si>
    <t>PALMOLIVE NATURALS WHITE SOAP BUY 6 GET 1 FREE</t>
  </si>
  <si>
    <t>8850006943946</t>
  </si>
  <si>
    <t>PALMOLIVE NATURALS WHITE W/ PAPAYA SOAP BUY 6 GET 1 FREE</t>
  </si>
  <si>
    <t>4808888004167</t>
  </si>
  <si>
    <t>PALMOLIVE PINK BUY 11 GET1 FREE</t>
  </si>
  <si>
    <t>8850006493038</t>
  </si>
  <si>
    <t>PALMOLIVE ULTRA SMOOTH 15ML</t>
  </si>
  <si>
    <t>4808888004181</t>
  </si>
  <si>
    <t>PALMOLIVE VIOLET BUY 11 GET 1 FREE</t>
  </si>
  <si>
    <t>4902430698085</t>
  </si>
  <si>
    <t>PANTENE HAIR FALL CONTROL SHAMPOO 12ML</t>
  </si>
  <si>
    <t>4902430634014</t>
  </si>
  <si>
    <t>PANTENE HAIR FALL CONTROL SUPPLEMENT CONDITIONER 13ML</t>
  </si>
  <si>
    <t>4902430698146</t>
  </si>
  <si>
    <t>PANTENE SHAMPOO TOTAL DAMAGE CARE 15ML</t>
  </si>
  <si>
    <t>4902430759960</t>
  </si>
  <si>
    <t>PANTENE SILKY SMOOTH CARE SHAMPOO 12ML</t>
  </si>
  <si>
    <t>4800060084806</t>
  </si>
  <si>
    <t>PURITY COTTON BALLS 140S</t>
  </si>
  <si>
    <t>4800060084905</t>
  </si>
  <si>
    <t>PURITY COTTON BALLS 300S</t>
  </si>
  <si>
    <t>4800060084707</t>
  </si>
  <si>
    <t>PURITY COTTON BALLS 30S</t>
  </si>
  <si>
    <t>DAMAGE</t>
  </si>
  <si>
    <t>4800060008475</t>
  </si>
  <si>
    <t>PURITY COTTON BALLS 50S</t>
  </si>
  <si>
    <t>4800060080709</t>
  </si>
  <si>
    <t>PURITY COTTON BUDS 190+10 TIPS</t>
  </si>
  <si>
    <t>4800060080808</t>
  </si>
  <si>
    <t>PURITY COTTON BUDS 400 TIPS</t>
  </si>
  <si>
    <t>4800060075200</t>
  </si>
  <si>
    <t>PURITY COTTON ROLL 10G</t>
  </si>
  <si>
    <t>4800060075408</t>
  </si>
  <si>
    <t>PURITY COTTON ROLL 45G</t>
  </si>
  <si>
    <t>4800060906313</t>
  </si>
  <si>
    <t>PURITY COTTON ROLL NEGOSYO PACK</t>
  </si>
  <si>
    <t>4800060075507</t>
  </si>
  <si>
    <t>PURITY COTTON ROLLS 90G</t>
  </si>
  <si>
    <t>4800060906184</t>
  </si>
  <si>
    <t>PURITY MINI COTTON BUDS 300S</t>
  </si>
  <si>
    <t>4902430698078</t>
  </si>
  <si>
    <t>REJOICE SHAMPOO FRAGRANT RICH 16ML</t>
  </si>
  <si>
    <t>4902430754767</t>
  </si>
  <si>
    <t>REJOICE SHAMPOO PERFUME SMOOTH 16ML</t>
  </si>
  <si>
    <t>4800888160027</t>
  </si>
  <si>
    <t>REXONA MEN DEO LOTION ICE COOL 3ML</t>
  </si>
  <si>
    <t>4800888143365</t>
  </si>
  <si>
    <t>REXONA MEN DEO-ROLL ON ICE COOL 25ML</t>
  </si>
  <si>
    <t>4800888151117</t>
  </si>
  <si>
    <t>REXONA QUANTUM DRY</t>
  </si>
  <si>
    <t>Expired.</t>
  </si>
  <si>
    <t>1 EXPIRED</t>
  </si>
  <si>
    <t>4800888151100</t>
  </si>
  <si>
    <t>REXONA WOMEN DEO LOTION PASSION 3ML</t>
  </si>
  <si>
    <t>8 EXPIRED</t>
  </si>
  <si>
    <t>4800888158888</t>
  </si>
  <si>
    <t>REXONA WOMEN DEO LOTION POWDER DRY 3ML</t>
  </si>
  <si>
    <t>4800888150608</t>
  </si>
  <si>
    <t>REXONA WOMEN DEO-LOTION SHOWER CLEAN</t>
  </si>
  <si>
    <t>4800888142672</t>
  </si>
  <si>
    <t>REXONA WOMEN DEO-ROLL ON PASSION 25ML</t>
  </si>
  <si>
    <t>4902430160896</t>
  </si>
  <si>
    <t>SAFEGUARD BAR WHITE 130GX3X24</t>
  </si>
  <si>
    <t>4902430159258</t>
  </si>
  <si>
    <t>SAFEGUARD BAR WHITE SANGRIA 3X85G</t>
  </si>
  <si>
    <t>4902430373241</t>
  </si>
  <si>
    <t>SAFEGUARD BODY WASH 200ML</t>
  </si>
  <si>
    <t>EXPIRED DEC 2023</t>
  </si>
  <si>
    <t>4902430674034</t>
  </si>
  <si>
    <t>SAFEGUARD FLORAL PINK SAVING PACK 175G</t>
  </si>
  <si>
    <t>4902430935616</t>
  </si>
  <si>
    <t>SAFEGUARD FLORAL PINK W/ ALOE 130G</t>
  </si>
  <si>
    <t>4902430184298</t>
  </si>
  <si>
    <t>SAFEGUARD FLORAL PINK W/ ALOE 3X 85G</t>
  </si>
  <si>
    <t>4902430495141</t>
  </si>
  <si>
    <t>SAFEGUARD FLORAL PINK W/ ALOE 90G</t>
  </si>
  <si>
    <t>4902430750547</t>
  </si>
  <si>
    <t>SAFEGUARD FRESH GREEN 3X175G</t>
  </si>
  <si>
    <t>4902430897464</t>
  </si>
  <si>
    <t>SAFEGUARD HAND SANITIZER 50ML</t>
  </si>
  <si>
    <t>Expired 1/5/2024</t>
  </si>
  <si>
    <t>4902430381772</t>
  </si>
  <si>
    <t>SAFEGUARD IVORY WHITE CARE 60G</t>
  </si>
  <si>
    <t>4902430803694</t>
  </si>
  <si>
    <t xml:space="preserve">SAFEGUARD LEMON FRESH </t>
  </si>
  <si>
    <t>4902430858540</t>
  </si>
  <si>
    <t>SAFEGUARD LEMON FRESH 3X130G</t>
  </si>
  <si>
    <t>4902430803717</t>
  </si>
  <si>
    <t>SAFEGUARD LEMON FRESH 3X85G</t>
  </si>
  <si>
    <t>4902430934800</t>
  </si>
  <si>
    <t>SAFEGUARD PURE WHITE 130G</t>
  </si>
  <si>
    <t>4902430222891</t>
  </si>
  <si>
    <t>SAFEGUARD PURE WHITE SUPER SAVINGS PACK 175G</t>
  </si>
  <si>
    <t>4902430951357</t>
  </si>
  <si>
    <t>SAFEGUARD SOAP BAR FLORAL PINK 60G</t>
  </si>
  <si>
    <t>4902430945554</t>
  </si>
  <si>
    <t>SAFEGUARD SOAP BAR PURE WHITE 60G</t>
  </si>
  <si>
    <t>4902430495073</t>
  </si>
  <si>
    <t>SAFEGUARD SOAP BAR PURE WHITE BOX 90G</t>
  </si>
  <si>
    <t>4987176026750</t>
  </si>
  <si>
    <t>SAFEGUARD WHITE 90G</t>
  </si>
  <si>
    <t>4987176220653</t>
  </si>
  <si>
    <t>SAFEGUARD WHITE CAMELLIA 55G</t>
  </si>
  <si>
    <t>8935196503122</t>
  </si>
  <si>
    <t>SALONPAS 10 PATCHES</t>
  </si>
  <si>
    <t>4806502350546</t>
  </si>
  <si>
    <t>SANICARE 12R 600SHTS 3PLY</t>
  </si>
  <si>
    <t>4806502352397</t>
  </si>
  <si>
    <t>SANICARE CLEANSING WIPES 15S</t>
  </si>
  <si>
    <t>4806507832214</t>
  </si>
  <si>
    <t>SILKA GREEN PAPAYA 65G</t>
  </si>
  <si>
    <t>4806507832481</t>
  </si>
  <si>
    <t>SILKA PAPAYA 65G</t>
  </si>
  <si>
    <t>4806506318849</t>
  </si>
  <si>
    <t>SISTERS 8PADS DAY MAXI REGULAR FLOW NON-WINGS</t>
  </si>
  <si>
    <t>4806506318832</t>
  </si>
  <si>
    <t>SISTERS 8PADS DAY MAXI REGULAR FLOW W/ WINGS</t>
  </si>
  <si>
    <t>4806506318856</t>
  </si>
  <si>
    <t>SISTERS 8PADS NIGHT PLUS HEAVY FLOW W/ WINGS</t>
  </si>
  <si>
    <t>4806506318818</t>
  </si>
  <si>
    <t>SISTERS BUDGET PACK W/ WINGS 12 PADS</t>
  </si>
  <si>
    <t>W/ 11 PADS OTC</t>
  </si>
  <si>
    <t>4806506318955</t>
  </si>
  <si>
    <t>SISTERS DAY MAXI W/O WINGS 8 PADS</t>
  </si>
  <si>
    <t>4806506318863</t>
  </si>
  <si>
    <t>SISTERS NIGHT PLUS W/ WINGS 8+1 PAD</t>
  </si>
  <si>
    <t>4806506318900</t>
  </si>
  <si>
    <t>SISTERS OVERNIGHT DRY W/ WINGS 4+1PAD</t>
  </si>
  <si>
    <t>4806506318917</t>
  </si>
  <si>
    <t>SISTERS PANTYLINERS 20+2 LINERS</t>
  </si>
  <si>
    <t>4806506318870</t>
  </si>
  <si>
    <t>SISTERS PANTYLINERS 8LINERS</t>
  </si>
  <si>
    <t>4806506318764</t>
  </si>
  <si>
    <t>SISTERS PANTYLINERS MEGA PACK 36+4LINERS</t>
  </si>
  <si>
    <t>4806506318894</t>
  </si>
  <si>
    <t>SISTERS SULIT PACK 12PADS SILK FLOSS NO WINGS</t>
  </si>
  <si>
    <t>W/6 PADS OTC</t>
  </si>
  <si>
    <t>4806506311079</t>
  </si>
  <si>
    <t>SISTERS SULIT SAVINGS PACK</t>
  </si>
  <si>
    <t>4806506318887</t>
  </si>
  <si>
    <t>SISTERS ULTRA THIN 6 PADS</t>
  </si>
  <si>
    <t>4800119221107</t>
  </si>
  <si>
    <t>SKIN WHITE PAPAYA MILK SPF10 200ML</t>
  </si>
  <si>
    <t>4800119221091</t>
  </si>
  <si>
    <t>SKIN WHITE WHITENING LOTION PAPAYA MILK SPF 10 100ML</t>
  </si>
  <si>
    <t>4800888194268</t>
  </si>
  <si>
    <t>SUNSILK GREEN (11+1)</t>
  </si>
  <si>
    <t>4800888169709</t>
  </si>
  <si>
    <t>SUNSILK GREEN 15ML</t>
  </si>
  <si>
    <t>4800888207234</t>
  </si>
  <si>
    <t>SUNSILK PINK (11+1)</t>
  </si>
  <si>
    <t>4800888169716</t>
  </si>
  <si>
    <t>SUNSILK PINK 15ML</t>
  </si>
  <si>
    <t>4800888209634</t>
  </si>
  <si>
    <t>SUNSILK SHAMPOO COCONUT HYDRATION 11ML</t>
  </si>
  <si>
    <t>4800888214133</t>
  </si>
  <si>
    <t>SUNSILK SHAMPOO SAKURA &amp; RASPBERRY RADIANCE 11ML</t>
  </si>
  <si>
    <t>4800888209658</t>
  </si>
  <si>
    <t>SUNSILK SHAMPOO WATERMELON FRESHNESS 11ML</t>
  </si>
  <si>
    <t>8850006593356</t>
  </si>
  <si>
    <t>TC SAKURA SCENT WHITE 100G</t>
  </si>
  <si>
    <t>8850006590348</t>
  </si>
  <si>
    <t>TENDER CARE BABY POWDER CLASSIC MILD 100G</t>
  </si>
  <si>
    <t>8850006590355</t>
  </si>
  <si>
    <t>TENDER CARE BABY POWDER CLASSIC MILD 50G</t>
  </si>
  <si>
    <t>8850006590362</t>
  </si>
  <si>
    <t>TENDER CARE BABY POWDER PINK SOFT 100G</t>
  </si>
  <si>
    <t>8850006590379</t>
  </si>
  <si>
    <t>TENDER CARE BABY POWDER PINK SOFT 50G</t>
  </si>
  <si>
    <t>4800012211482</t>
  </si>
  <si>
    <t>TILES &amp; BOWL CLEANER 250ML</t>
  </si>
  <si>
    <t>4806502359228</t>
  </si>
  <si>
    <t>TISYU CORELESS 10S 30G</t>
  </si>
  <si>
    <t>4800888206084</t>
  </si>
  <si>
    <t>TRI-KERATIN REP SHINE 10ML</t>
  </si>
  <si>
    <t>4806506315541</t>
  </si>
  <si>
    <t>TWINS LAMPEIN L 15+1</t>
  </si>
  <si>
    <t>4806506315534</t>
  </si>
  <si>
    <t>TWINS LAMPEIN PANTS MEDIUM 15S+1</t>
  </si>
  <si>
    <t>4806506315565</t>
  </si>
  <si>
    <t>TWINS LAMPEIN PANTS XXL 15S+1</t>
  </si>
  <si>
    <t>4806506315527</t>
  </si>
  <si>
    <t>TWINS LAMPEIN PANTS XXXL 15S+1</t>
  </si>
  <si>
    <t>4806519892312</t>
  </si>
  <si>
    <t>UNI KERATIN BRAZILIAN HAIR TREATMENT COLLAGEN 20G 11+1</t>
  </si>
  <si>
    <t>4806519891261</t>
  </si>
  <si>
    <t>UNI KERATIN BRAZILIAN HAIR TREATMENT GOLD 20G 11+1</t>
  </si>
  <si>
    <t>4806519890981</t>
  </si>
  <si>
    <t>UNI KERATIN DETOX &amp; NOURISH GOLD 20G</t>
  </si>
  <si>
    <t>4806519891551</t>
  </si>
  <si>
    <t>UNI KERATIN GOLD BRAZILIAN DETOX &amp; NOURISH SHAMPOO</t>
  </si>
  <si>
    <t>4806519890530</t>
  </si>
  <si>
    <t>UNI KERATIN HAIR REBORN TREATMENT ALOE VERA 20G</t>
  </si>
  <si>
    <t>4806519890554</t>
  </si>
  <si>
    <t>UNI KERATIN MOROCCO ORGAN OIL 20G</t>
  </si>
  <si>
    <t>4806519890233</t>
  </si>
  <si>
    <t>UNI KOJIC WHITENING BEAUTY SOAP TWINPACK 90GX2</t>
  </si>
  <si>
    <t>4800888158475</t>
  </si>
  <si>
    <t>VASELINE SOFT &amp; SMOOTH 16ML</t>
  </si>
  <si>
    <t>4987176600769</t>
  </si>
  <si>
    <t>VICKS VAPORUB CAMPHOR MINI PACK 5G</t>
  </si>
  <si>
    <t>4987176600776</t>
  </si>
  <si>
    <t>VICKS VAPORUB POCKET PACK 10G</t>
  </si>
  <si>
    <t>4800888250438</t>
  </si>
  <si>
    <t>VITAKERATIN BRAZILIAN STRAIGHT 24ML 11+1</t>
  </si>
  <si>
    <t>4800888230485</t>
  </si>
  <si>
    <t>VITAKERATIN COLOR SHINE 24ML</t>
  </si>
  <si>
    <t>4800888230461</t>
  </si>
  <si>
    <t>VITAKERATIN DEEP REPAIR 24ML</t>
  </si>
  <si>
    <t>4800045410316</t>
  </si>
  <si>
    <t>WHITE ROSE KOJIC WHITENING SOAP 60G</t>
  </si>
  <si>
    <t>HOUSEHOLD ITEMS</t>
  </si>
  <si>
    <t>4809014971230</t>
  </si>
  <si>
    <t>ACTIVE LYSOL 250ML</t>
  </si>
  <si>
    <t>4800603124044</t>
  </si>
  <si>
    <t>ACTIVE LYSOL 500ML</t>
  </si>
  <si>
    <t>888123456781619</t>
  </si>
  <si>
    <t>ADVANCE POLISHING CAKE ALL PURPOSE CLEANER</t>
  </si>
  <si>
    <t>4800067600665</t>
  </si>
  <si>
    <t>ALBATROS JASMINE 100G</t>
  </si>
  <si>
    <t>4800067600658</t>
  </si>
  <si>
    <t>ALBATROSS APPLE 100G</t>
  </si>
  <si>
    <t>4800067600511</t>
  </si>
  <si>
    <t>ALBATROSS APPLE 50G</t>
  </si>
  <si>
    <t>4800067600139</t>
  </si>
  <si>
    <t>ALBATROSS APPLE REFILL 50G</t>
  </si>
  <si>
    <t>4800067600481</t>
  </si>
  <si>
    <t>ALBATROSS JASMINE 50G</t>
  </si>
  <si>
    <t>4800067600351</t>
  </si>
  <si>
    <t>ALBATROSS KIWI REFILL 100G</t>
  </si>
  <si>
    <t>4800067600191</t>
  </si>
  <si>
    <t>ALBATROSS KIWI REFILL 50G</t>
  </si>
  <si>
    <t>4800067600702</t>
  </si>
  <si>
    <t>ALBATROSS LEMON 100G</t>
  </si>
  <si>
    <t>4800067600542</t>
  </si>
  <si>
    <t>ALBATROSS LEMON 50G</t>
  </si>
  <si>
    <t>4800067600108</t>
  </si>
  <si>
    <t>ALBATROSS LEMON REFILL 50G</t>
  </si>
  <si>
    <t>4800067608159</t>
  </si>
  <si>
    <t>ALBATROSS MELON 100G</t>
  </si>
  <si>
    <t>4800067608074</t>
  </si>
  <si>
    <t>ALBATROSS MELON 50G</t>
  </si>
  <si>
    <t>4800067600726</t>
  </si>
  <si>
    <t>ALBATROSS SAMBA 100G</t>
  </si>
  <si>
    <t>4800067600184</t>
  </si>
  <si>
    <t>ALBATROSS SAMBA 50G</t>
  </si>
  <si>
    <t>4800067600566</t>
  </si>
  <si>
    <t>4800067600740</t>
  </si>
  <si>
    <t>ALBATROSS SAMPAGUITA 100G</t>
  </si>
  <si>
    <t>4800067600580</t>
  </si>
  <si>
    <t>ALBATROSS SAMPAGUITA 50G</t>
  </si>
  <si>
    <t>4800067600405</t>
  </si>
  <si>
    <t>ALBATROSS SAMPAGUITA REFILL 100G</t>
  </si>
  <si>
    <t>4800067600283</t>
  </si>
  <si>
    <t>ALBATROSS SAMPAGUITA REFILL 50G</t>
  </si>
  <si>
    <t>4800067600764</t>
  </si>
  <si>
    <t>ALBATROSS STRAWBERRY 100G</t>
  </si>
  <si>
    <t>4800067600603</t>
  </si>
  <si>
    <t>ALBATROSS STRAWBERRY 50G</t>
  </si>
  <si>
    <t>4800067608654</t>
  </si>
  <si>
    <t>ALBATROSS SWEET MARMALADE REFILL 50G</t>
  </si>
  <si>
    <t>4987176116833</t>
  </si>
  <si>
    <t>ARIEL POWDER SUNRISE FRESH 100G TRIPID PACK</t>
  </si>
  <si>
    <t>4902430473521</t>
  </si>
  <si>
    <t>ARIEL POWDER SUNRISE FRESH 1410G</t>
  </si>
  <si>
    <t>MATIGAS</t>
  </si>
  <si>
    <t>4902430583169</t>
  </si>
  <si>
    <t>ARIEL POWDER SUNRISE FRESH 70G</t>
  </si>
  <si>
    <t>4902430583183</t>
  </si>
  <si>
    <t>ARIEL W/ DOWNY FLORAL PASSION 68G</t>
  </si>
  <si>
    <t>4987176116635</t>
  </si>
  <si>
    <t>ARIEL W/ DOWNY FLORAL PASSION TRIPID PACK</t>
  </si>
  <si>
    <t>4987176067029</t>
  </si>
  <si>
    <t>ARIEL WITH DOWNY + FRESH GARDEN BLOOM 70G</t>
  </si>
  <si>
    <t>5020144226734</t>
  </si>
  <si>
    <t>ARMOR ALL GLASS CLEANER 500ML</t>
  </si>
  <si>
    <t>4801234134426</t>
  </si>
  <si>
    <t>BAYGON MOSQUITO COIL SCENTED 12 COILS</t>
  </si>
  <si>
    <t>4801234108021</t>
  </si>
  <si>
    <t>BAYGON MULTI INSECT KILLER KILLING ACTION 500ML</t>
  </si>
  <si>
    <t>4801234107727</t>
  </si>
  <si>
    <t>BAYGON MULTI INSECT KILLER ODORLESS 500ML</t>
  </si>
  <si>
    <t>4801234108229</t>
  </si>
  <si>
    <t>BAYGON MULTI INSECT KILLER WATERBASED 500ML</t>
  </si>
  <si>
    <t>4801234107826</t>
  </si>
  <si>
    <t>BAYGON PROTECTOR 500ML</t>
  </si>
  <si>
    <t>00012</t>
  </si>
  <si>
    <t xml:space="preserve">BILAO #12	</t>
  </si>
  <si>
    <t>00014</t>
  </si>
  <si>
    <t xml:space="preserve">BILAO #14	</t>
  </si>
  <si>
    <t>888123456781864</t>
  </si>
  <si>
    <t>BONG BLUE BABAD 4L</t>
  </si>
  <si>
    <t>4800888207197</t>
  </si>
  <si>
    <t>BREEZE POWDER ACTIVBLEACH 70G 6+1</t>
  </si>
  <si>
    <t>4800888202765</t>
  </si>
  <si>
    <t>BREEZE POWDER ROSE GOLD PERFUME 66G</t>
  </si>
  <si>
    <t>4800888208651</t>
  </si>
  <si>
    <t>BREEZE POWDER ROSE GOLD PERFUME 66G 6+1</t>
  </si>
  <si>
    <t>4806501709239</t>
  </si>
  <si>
    <t>CALLA POWDER W/ FABCON KALAMANSI MAGIC 45G</t>
  </si>
  <si>
    <t>4806501709352</t>
  </si>
  <si>
    <t>CALLA POWDER W/ FABCON ROSE GARDEN 45G</t>
  </si>
  <si>
    <t>4806501709307</t>
  </si>
  <si>
    <t>CALLA POWDER W/ FABCON SUMMER FRESH 45G</t>
  </si>
  <si>
    <t>4806501707105</t>
  </si>
  <si>
    <t>CHAMPION BAR BLUE ORIGINAL 370G</t>
  </si>
  <si>
    <t>4806501707136</t>
  </si>
  <si>
    <t>CHAMPION BAR CITRUS FRESH 370G</t>
  </si>
  <si>
    <t>4806501707273</t>
  </si>
  <si>
    <t>CHAMPION BAR SUNNY FRESH SCENT 370G</t>
  </si>
  <si>
    <t>4806501707112</t>
  </si>
  <si>
    <t>CHAMPION BAR SUPRA CLEAN 370G</t>
  </si>
  <si>
    <t>4806501707143</t>
  </si>
  <si>
    <t>CHAMPION BAR W/ FABCON FLORAL SCENT 370G</t>
  </si>
  <si>
    <t>4806501705309</t>
  </si>
  <si>
    <t>CHAMPION CITRUS FRESH DETERGENT POWDER 40G</t>
  </si>
  <si>
    <t>EXPIRED JAN 2025</t>
  </si>
  <si>
    <t>4806501708300</t>
  </si>
  <si>
    <t>CHAMPION FABRICON BLUE SERENITY 28ML</t>
  </si>
  <si>
    <t>4806501708508</t>
  </si>
  <si>
    <t>CHAMPION FABRICON FRESH DAY 28ML</t>
  </si>
  <si>
    <t>4806501708102</t>
  </si>
  <si>
    <t>CHAMPION FABRICON PINK FRESH 28ML</t>
  </si>
  <si>
    <t>4806501705002</t>
  </si>
  <si>
    <t>CHAMPION SUPRA CLEAN DETERGENT POWDER 40G</t>
  </si>
  <si>
    <t>4806501703503</t>
  </si>
  <si>
    <t>CHAMPION TODO TIPID PACK WHITE 130G</t>
  </si>
  <si>
    <t>4806502164112</t>
  </si>
  <si>
    <t>CHEERS PLATE 6PCS</t>
  </si>
  <si>
    <t>4806502161357</t>
  </si>
  <si>
    <t>CHEERS TRASH BAGS MEDIUM 10S</t>
  </si>
  <si>
    <t>4806502161340</t>
  </si>
  <si>
    <t>CHEERS TRASH BAGS SMALL 10S</t>
  </si>
  <si>
    <t>888123456781025</t>
  </si>
  <si>
    <t>CONCRETE NEUTRALIZER 500ML</t>
  </si>
  <si>
    <t>4800034042610</t>
  </si>
  <si>
    <t>DAZZ DISWASHING PASTE CALAMANSI 200G</t>
  </si>
  <si>
    <t>4800047841040</t>
  </si>
  <si>
    <t>DEL FABCON BLOSSOM RUSH 22ML</t>
  </si>
  <si>
    <t>4800047841378</t>
  </si>
  <si>
    <t>DEL FABCON LAVENDER BREEZE 22ML</t>
  </si>
  <si>
    <t>4800047847271</t>
  </si>
  <si>
    <t>DEL FOREVER JOY FABRIC SOFTENER 26ML</t>
  </si>
  <si>
    <t>4800047847240</t>
  </si>
  <si>
    <t>DEL FOREVER LOVE FABRIC SOFTENER 26ML</t>
  </si>
  <si>
    <t>4800047847356</t>
  </si>
  <si>
    <t>DEL GENTLE PROTECT FABRIC SOFTENER 26ML</t>
  </si>
  <si>
    <t>4902430346184</t>
  </si>
  <si>
    <t>DOWNY ANTIBAC 40ML</t>
  </si>
  <si>
    <t>4902430344876</t>
  </si>
  <si>
    <t>DOWNY ANTIBAC SAFEGUARD 25ML</t>
  </si>
  <si>
    <t>4902430424264</t>
  </si>
  <si>
    <t>DOWNY ANTIBAC TRIPID PACK 63ML</t>
  </si>
  <si>
    <t>4902430873703</t>
  </si>
  <si>
    <t>DOWNY EXPERT KONTRA KULOB 23ML</t>
  </si>
  <si>
    <t>4902430627528</t>
  </si>
  <si>
    <t>DOWNY FABRIC ANTIBAC 690ML</t>
  </si>
  <si>
    <t>4902430452779</t>
  </si>
  <si>
    <t>DOWNY GARDEN BLOOM 800ML</t>
  </si>
  <si>
    <t>4902430513074</t>
  </si>
  <si>
    <t>DOWNY GARDEN BLOOM TRIPID PACK 66ML</t>
  </si>
  <si>
    <t>4902430729925</t>
  </si>
  <si>
    <t>DOWNY PARFUM COLL MYSTIQUE 20ML</t>
  </si>
  <si>
    <t>4902430729901</t>
  </si>
  <si>
    <t>DOWNY PARFUM COLL PASSION 20ML</t>
  </si>
  <si>
    <t>4902430622080</t>
  </si>
  <si>
    <t>DOWNY PARFUM PASSION 760ML</t>
  </si>
  <si>
    <t>4902430401845</t>
  </si>
  <si>
    <t>DOWNY SUNRISE FRESH 25ML</t>
  </si>
  <si>
    <t>4902430453028</t>
  </si>
  <si>
    <t>DOWNY SUNRISE FRESH 800ML</t>
  </si>
  <si>
    <t>4902430513081</t>
  </si>
  <si>
    <t>DOWNY SUNRISE FRESH TRIPID PACK 66ML</t>
  </si>
  <si>
    <t>9555222610670</t>
  </si>
  <si>
    <t>FAMILY GUARD DISINFECTANT FRAGRANCE FREE 155ML</t>
  </si>
  <si>
    <t>FAMILY GUARD DISINFECTANT FRAGRANCE FREE 280ML</t>
  </si>
  <si>
    <t>4800047865282</t>
  </si>
  <si>
    <t>GC MOIST PROTECTION BAR AQUA CLEAN 125G</t>
  </si>
  <si>
    <t>4800047863134</t>
  </si>
  <si>
    <t>GC MOIST PROTECTION BAR COOL MOUNTAIN 125G</t>
  </si>
  <si>
    <t>4800047865312</t>
  </si>
  <si>
    <t>GC MOIST PROTECTION BAR PAPAYA &amp; HONEY 125G</t>
  </si>
  <si>
    <t>4801234146061</t>
  </si>
  <si>
    <t>GLADE AIR FRESHENER FRESH LEMON VALUE PACK</t>
  </si>
  <si>
    <t>4801234141714</t>
  </si>
  <si>
    <t>GLADE AIR FRESHENER MORNING FRESHNESS 320ML</t>
  </si>
  <si>
    <t>4801234061418</t>
  </si>
  <si>
    <t>GLADE AIR FRESHENER ORANGE SQUEEZE 262G</t>
  </si>
  <si>
    <t>9555222605904</t>
  </si>
  <si>
    <t>GLADE AIR FRESHENER PEONY AND BERRY BLISS 320ML</t>
  </si>
  <si>
    <t>9555222601463</t>
  </si>
  <si>
    <t>GLADE AIR FRESHENER WILD LAVENDER 320ML</t>
  </si>
  <si>
    <t>9555222605072</t>
  </si>
  <si>
    <t>GLADE SENSATIONS REFILLS-OCEAN ESCAPE 8G</t>
  </si>
  <si>
    <t>4801234146085</t>
  </si>
  <si>
    <t>GLADE SG LAVENDER 180G VALUE PACK</t>
  </si>
  <si>
    <t>9555222610038</t>
  </si>
  <si>
    <t>GLADE SG OCEAN ESCAPE 180G VALUE PACK</t>
  </si>
  <si>
    <t>4800067601723</t>
  </si>
  <si>
    <t>GLEAM MURIATIC ACID 250ML</t>
  </si>
  <si>
    <t>expired apr 2024</t>
  </si>
  <si>
    <t>4800067601747</t>
  </si>
  <si>
    <t>GLEAM MURIATIC ACID 500ML</t>
  </si>
  <si>
    <t>4800314009708</t>
  </si>
  <si>
    <t>HEAVY DUTY SCRUBBING PAD MINI</t>
  </si>
  <si>
    <t>4806502359440</t>
  </si>
  <si>
    <t>JADE VALUE TABLE NAPKINS 1000S</t>
  </si>
  <si>
    <t>4902430389556</t>
  </si>
  <si>
    <t>JOY DISHWASHING LIQUID ANTIBAC 36ML</t>
  </si>
  <si>
    <t>4902430434393</t>
  </si>
  <si>
    <t>JOY DISHWASHING LIQUID KALAMANSI 18.5ML</t>
  </si>
  <si>
    <t>4902430468732</t>
  </si>
  <si>
    <t>JOY DISHWASHING LIQUID KALAMANSI 540ML</t>
  </si>
  <si>
    <t>4902430389570</t>
  </si>
  <si>
    <t>JOY DISHWASHING LIQUID LEMON 18.5ML</t>
  </si>
  <si>
    <t>4902430389532</t>
  </si>
  <si>
    <t>JOY KALAMANSI 40ML</t>
  </si>
  <si>
    <t>4902430389563</t>
  </si>
  <si>
    <t>JOY LEMON 40ML</t>
  </si>
  <si>
    <t>4902430389549</t>
  </si>
  <si>
    <t>JOY SAFEGUARD ANTIBAC 17ML</t>
  </si>
  <si>
    <t>4801234014421</t>
  </si>
  <si>
    <t>KIWI BROWN CREAM SACHET 5ML</t>
  </si>
  <si>
    <t>4801002036242</t>
  </si>
  <si>
    <t>LYSOL ANTI-BACTERIAL HAND SOAP FRESH 225ML</t>
  </si>
  <si>
    <t>888123456781919</t>
  </si>
  <si>
    <t>LYSOL DS FRESH BLOSSOM BUY 1 TAKE 1</t>
  </si>
  <si>
    <t>4809015059012</t>
  </si>
  <si>
    <t>MAXGLOW GREEN 1L</t>
  </si>
  <si>
    <t>6925162500158</t>
  </si>
  <si>
    <t>MOUSE TRAP</t>
  </si>
  <si>
    <t>888123456781692</t>
  </si>
  <si>
    <t>MULTI SURFACE CLEANER &amp; DISINFECTANT APPLE GREEN</t>
  </si>
  <si>
    <t>EXPIRED  JULY 2022</t>
  </si>
  <si>
    <t>4809014971087</t>
  </si>
  <si>
    <t>MURIATIC ACID COMMERCIAL 1L</t>
  </si>
  <si>
    <t>4809014971025</t>
  </si>
  <si>
    <t>MURIATIC ACID PURE 1L</t>
  </si>
  <si>
    <t>4800374032135</t>
  </si>
  <si>
    <t>PIONEER MIGHTY BOND 1G</t>
  </si>
  <si>
    <t>4801234056728</t>
  </si>
  <si>
    <t>PLEDGE LEMON 330ML</t>
  </si>
  <si>
    <t>4801234051235</t>
  </si>
  <si>
    <t>PLEDGE ORANGE ENHANCING POLISH 330ML</t>
  </si>
  <si>
    <t>2</t>
  </si>
  <si>
    <t>PR GAZ</t>
  </si>
  <si>
    <t>4902430803724</t>
  </si>
  <si>
    <t>SAFEGUARD BAR LEMON 135G</t>
  </si>
  <si>
    <t>4800314010124</t>
  </si>
  <si>
    <t xml:space="preserve">SCOTCH BRITE STAINLESS STEEL </t>
  </si>
  <si>
    <t>4800314007926</t>
  </si>
  <si>
    <t>SCOTCH BRITE STAINLESS STEEL REGULAR</t>
  </si>
  <si>
    <t>4800314093813</t>
  </si>
  <si>
    <t>SCOTCH BRITE TOUGH CLEAN SCRUB SPONGE 3 PACK</t>
  </si>
  <si>
    <t>4800314000118</t>
  </si>
  <si>
    <t>SCOTH BRITE HEAVY DUTY SCRUB SPONGE TRIAL W/ MULTI-PURPOSE SPONGE TRIAL</t>
  </si>
  <si>
    <t>888123456781481</t>
  </si>
  <si>
    <t>SET PR GAZ STOVE</t>
  </si>
  <si>
    <t>4806020440576</t>
  </si>
  <si>
    <t>SPEED BABAD FRESH ROSES POWDER 55G</t>
  </si>
  <si>
    <t>4806020456355</t>
  </si>
  <si>
    <t>SPEED BABAD KALAMANSI POWDER 55G</t>
  </si>
  <si>
    <t>4806020440187</t>
  </si>
  <si>
    <t>SPEED BABAD POWER WHITETENER POWDER 55G</t>
  </si>
  <si>
    <t>4806020456362</t>
  </si>
  <si>
    <t>SPEED BABAD SUN FLOWER BURST POWDER 55G</t>
  </si>
  <si>
    <t>888123456781882</t>
  </si>
  <si>
    <t>SPEED KALAMANSI POWDER 55G BUY 6 +2FREE</t>
  </si>
  <si>
    <t>BO KUPAS</t>
  </si>
  <si>
    <t>888123456781883</t>
  </si>
  <si>
    <t>SPEED SUN FLOWER BURST POWDER 55G BUY 6 +2FREE</t>
  </si>
  <si>
    <t>4800888136671</t>
  </si>
  <si>
    <t>SURF BAR BLOSSOM FRESH 120G</t>
  </si>
  <si>
    <t>4800888136688</t>
  </si>
  <si>
    <t>SURF BAR BLOSSOM FRESH 380G</t>
  </si>
  <si>
    <t>4800888190970</t>
  </si>
  <si>
    <t>SURF BAR CHERRY BLOSSOM 120G</t>
  </si>
  <si>
    <t>4800888190987</t>
  </si>
  <si>
    <t>SURF BAR CHERRY BLOSSOM 380G</t>
  </si>
  <si>
    <t>4800888136749</t>
  </si>
  <si>
    <t>SURF BAR OXYBUBBLES KALAMANSI 380G</t>
  </si>
  <si>
    <t>4800888136770</t>
  </si>
  <si>
    <t>SURF BAR SUN FRESH 120G</t>
  </si>
  <si>
    <t>4800888157614</t>
  </si>
  <si>
    <t>SURF FABCON BLOSSOM FRESH 25ML</t>
  </si>
  <si>
    <t>8934868139362</t>
  </si>
  <si>
    <t>SURF FABCON CHARCOAL FRESH 25ML</t>
  </si>
  <si>
    <t>8934868094982</t>
  </si>
  <si>
    <t>SURF FABCON FRENCH PERFUME 25ML</t>
  </si>
  <si>
    <t>8934868110170</t>
  </si>
  <si>
    <t>SURF FABCON LUXE PERFUME 25ML</t>
  </si>
  <si>
    <t>4800888287984</t>
  </si>
  <si>
    <t>SURF FABCON LUXE PERFUME 28ML BUY 5 GET 1 FREE</t>
  </si>
  <si>
    <t>8934868125211</t>
  </si>
  <si>
    <t>SURF FABCON MAGICAL BLOOM 28ML</t>
  </si>
  <si>
    <t>4800888151834</t>
  </si>
  <si>
    <t>SURF FABCON TAWAS 61G</t>
  </si>
  <si>
    <t>8934868139393</t>
  </si>
  <si>
    <t>SURF FABCON W/ MINT EXTRACT 25ML</t>
  </si>
  <si>
    <t>4800888218940</t>
  </si>
  <si>
    <t>SURF POWDER ANTIBACTERIAL 60G</t>
  </si>
  <si>
    <t>4800888189806</t>
  </si>
  <si>
    <t>SURF POWDER CHERRY BLOSSOM 57G</t>
  </si>
  <si>
    <t>4800888221056</t>
  </si>
  <si>
    <t>SURF POWDER CHERRY BLOSSOM 6+1</t>
  </si>
  <si>
    <t>4800888151827</t>
  </si>
  <si>
    <t>SURF POWDER KALAMANSI 61G</t>
  </si>
  <si>
    <t>4800888199133</t>
  </si>
  <si>
    <t>SURF POWDER PURPLE BLOSSOMS 57G</t>
  </si>
  <si>
    <t>4800888221049</t>
  </si>
  <si>
    <t>SURF POWDER ROSE FRESH 6+1</t>
  </si>
  <si>
    <t>4800888183804</t>
  </si>
  <si>
    <t>SURF POWDER ROSE FRESH 70G</t>
  </si>
  <si>
    <t>4800888151841</t>
  </si>
  <si>
    <t>SURF POWDER SUN FRESH 65G</t>
  </si>
  <si>
    <t>4800888218544</t>
  </si>
  <si>
    <t>SURF SUNRISE FRESH YELLOW 6+1 65G</t>
  </si>
  <si>
    <t>4809015002681</t>
  </si>
  <si>
    <t xml:space="preserve">TEMOX CHALK ROACH AND ANT KILLER </t>
  </si>
  <si>
    <t>4809015002773</t>
  </si>
  <si>
    <t>TEMOX MULTI-INSECT KILLER BLUE 100ML</t>
  </si>
  <si>
    <t>4809015002940</t>
  </si>
  <si>
    <t>TEMOX MULTI-INSECT KILLER BLUE 300ML</t>
  </si>
  <si>
    <t>4809015002988</t>
  </si>
  <si>
    <t>TEMOX MULTI-INSECT KILLER BLUE 600ML</t>
  </si>
  <si>
    <t>4809015002957</t>
  </si>
  <si>
    <t>TEMOX MULTI-INSECT KILLER WATER BASED 300ML</t>
  </si>
  <si>
    <t>4809015002995</t>
  </si>
  <si>
    <t>TEMOX MULTI-INSECT KILLER WATER BASED 600ML</t>
  </si>
  <si>
    <t>4902430800846</t>
  </si>
  <si>
    <t>TIDE BAR W/ DOWNY PERFUME FANTASY 130G</t>
  </si>
  <si>
    <t>4902430831406</t>
  </si>
  <si>
    <t>TIDE PERFECT CLEAN ORIGINAL FRESH 74G</t>
  </si>
  <si>
    <t>4902430831161</t>
  </si>
  <si>
    <t>TIDE PERFECT CLEAN W/ DOWNY GARDEN BLOOM 74G</t>
  </si>
  <si>
    <t>4902430831338</t>
  </si>
  <si>
    <t>TIDE PERFECT CLEAN W/ DOWNY PERFUME FANTASY 64G</t>
  </si>
  <si>
    <t>4902430899604</t>
  </si>
  <si>
    <t>TIDE SPARKLING FRESH POWER GEL 60G</t>
  </si>
  <si>
    <t>888123456781722</t>
  </si>
  <si>
    <t>TOP BRIGHT DISWASHING LIQUID ANTIBAC</t>
  </si>
  <si>
    <t>9551007000049</t>
  </si>
  <si>
    <t>TRAP-A-ROACH HOY HOY</t>
  </si>
  <si>
    <t>4803746400013</t>
  </si>
  <si>
    <t>TUFF NATURALS LIQUID LAUNDRY DETERGENT 1000ML</t>
  </si>
  <si>
    <t>EXPIRED DEC 2024</t>
  </si>
  <si>
    <t>4803746332833</t>
  </si>
  <si>
    <t>TUFF TOILET BOWL CLEANSER 1000ML</t>
  </si>
  <si>
    <t>6925419077969</t>
  </si>
  <si>
    <t>WAWANG MOSQUITO COIL 10SPIRALES</t>
  </si>
  <si>
    <t>8998866801928</t>
  </si>
  <si>
    <t>WINGS SOLVE BLOOMING GARDEN 60G</t>
  </si>
  <si>
    <t>8998866801614</t>
  </si>
  <si>
    <t>WINGS SOLVE CALAMANSI CLEAN 65G</t>
  </si>
  <si>
    <t>8998866619967</t>
  </si>
  <si>
    <t>WINGS SOLVE SUMMER SUNSHINE 65G</t>
  </si>
  <si>
    <t>8998866803564</t>
  </si>
  <si>
    <t>WINGS TOTAL CARE LAVENDER DREAM 60G</t>
  </si>
  <si>
    <t>8998866616058</t>
  </si>
  <si>
    <t>WINGS TOTAL CARE SAKURA ESSENCE 60G</t>
  </si>
  <si>
    <t>8998866605076</t>
  </si>
  <si>
    <t>WINGS TOTAL CARE W/ LAUNDRY SANITIZER 60G</t>
  </si>
  <si>
    <t>8998866800808</t>
  </si>
  <si>
    <t>WINGS TOTAL CARE W/ POWER BLEACH 60G</t>
  </si>
  <si>
    <t>4806519893449</t>
  </si>
  <si>
    <t>YEN YEN FABCON BLUE 900ML</t>
  </si>
  <si>
    <t>4800047840043</t>
  </si>
  <si>
    <t>ZONROX BLEACH ORIGINAL 100ML</t>
  </si>
  <si>
    <t>4800047840012</t>
  </si>
  <si>
    <t>ZONROX BLEACH ORIGINAL 1L</t>
  </si>
  <si>
    <t>4800047840036</t>
  </si>
  <si>
    <t>ZONROX BLEACH ORIGINAL 250ML</t>
  </si>
  <si>
    <t>4800047840029</t>
  </si>
  <si>
    <t>ZONROX BLEACH ORIGINAL 500ML</t>
  </si>
  <si>
    <t>4800047840296</t>
  </si>
  <si>
    <t>ZONROX BLEACH SCENTED LEMON 100ML</t>
  </si>
  <si>
    <t>4800047840272</t>
  </si>
  <si>
    <t>ZONROX BLEACH SCENTED LEMON 500ML</t>
  </si>
  <si>
    <t>4800047841729</t>
  </si>
  <si>
    <t>ZONROX COLORSAFE BLEACH BLOSSOM FRESH 225ML</t>
  </si>
  <si>
    <t>4800047841712</t>
  </si>
  <si>
    <t>ZONROX COLORSAFE BLEACH BLOSSOM FRESH 450ML</t>
  </si>
  <si>
    <t>4800047841705</t>
  </si>
  <si>
    <t>ZONROX COLORSAFE BLEACH BLOSSOM FRESH 900ML</t>
  </si>
  <si>
    <t>4800047841781</t>
  </si>
  <si>
    <t>ZONROX COLORSAFE BLEACH BLOSSOM FRESH 95ML</t>
  </si>
  <si>
    <t>4800047847196</t>
  </si>
  <si>
    <t>ZONROX GENTLE CLEAN BLEACH 225ML</t>
  </si>
  <si>
    <t>4800047847219</t>
  </si>
  <si>
    <t>ZONROX GENTLE CLEAN BLEACH 900ML</t>
  </si>
  <si>
    <t>4800047847202</t>
  </si>
  <si>
    <t>ZONROXGENTLE CLEAN BLEACH 450ML</t>
  </si>
  <si>
    <t>CLIENTS PRODUCTS</t>
  </si>
  <si>
    <t>888123456781983</t>
  </si>
  <si>
    <t>AEVA 001</t>
  </si>
  <si>
    <t>888123456781985</t>
  </si>
  <si>
    <t>AEVA 003</t>
  </si>
  <si>
    <t>888123456781986</t>
  </si>
  <si>
    <t>AEVA 004</t>
  </si>
  <si>
    <t>888123456781991</t>
  </si>
  <si>
    <t>AEVA 005 - MINI</t>
  </si>
  <si>
    <t>888123456781992</t>
  </si>
  <si>
    <t>AEVA 006 - W/ DESIGN SMALL</t>
  </si>
  <si>
    <t>888123456781943</t>
  </si>
  <si>
    <t>AURORAS KIT TEA COFFEE PEANUT</t>
  </si>
  <si>
    <t>888123456781941</t>
  </si>
  <si>
    <t>AURORAS KIT TEA HONEY PURO</t>
  </si>
  <si>
    <t>888123456781942</t>
  </si>
  <si>
    <t>AURORAS KIT TEA PEANUT BUTTER CHIA SEED 340G</t>
  </si>
  <si>
    <t>888123456781939</t>
  </si>
  <si>
    <t>AURORAS KIT TEA SUKANG ATSARA</t>
  </si>
  <si>
    <t>888123456781940</t>
  </si>
  <si>
    <t>AURORAS KIT TEA SUKANG SINAMAK</t>
  </si>
  <si>
    <t>0764460243888</t>
  </si>
  <si>
    <t>BIGAS MAIS CORN GRITS 1KL</t>
  </si>
  <si>
    <t>888123456782026</t>
  </si>
  <si>
    <t>BUTCHERON MUSHROOM CHIPS</t>
  </si>
  <si>
    <t>888123456781960</t>
  </si>
  <si>
    <t>CAPINTALAN FOOD PRODUCTS TURMERIC W/ LEMON GRASS 150G</t>
  </si>
  <si>
    <t>CLMA62611-2X-BLKCATN</t>
  </si>
  <si>
    <t>COMPRESSION SHORTS BLACK CATION 2X</t>
  </si>
  <si>
    <t>CLMA62511-S-GRYHBL</t>
  </si>
  <si>
    <t>COMPRESSION SHORTS GRAYISH BLUE S</t>
  </si>
  <si>
    <t>888123456781946</t>
  </si>
  <si>
    <t>DINA CHEESY TART</t>
  </si>
  <si>
    <t>888123456781949</t>
  </si>
  <si>
    <t>DINA CHEWY BROWNIES</t>
  </si>
  <si>
    <t>888123456781948</t>
  </si>
  <si>
    <t>DINA REVEL BAR</t>
  </si>
  <si>
    <t>888123456781947</t>
  </si>
  <si>
    <t>DINA YEMA BALLS</t>
  </si>
  <si>
    <t>888123456781541</t>
  </si>
  <si>
    <t>ECURAS DELICACIES BANANA CHIPS 125G</t>
  </si>
  <si>
    <t>888123456781542</t>
  </si>
  <si>
    <t>ECURAS DELICACIES TARO CHIPS SOUR CREAM 85G</t>
  </si>
  <si>
    <t>888123456781959</t>
  </si>
  <si>
    <t>ECURAS DELICACIES TOASTED PASTILLAS 100G</t>
  </si>
  <si>
    <t>OLFM10113-FLORA-L</t>
  </si>
  <si>
    <t>FEM PANTY IG COTTON PRINTED-FLORA L</t>
  </si>
  <si>
    <t>OLFM10113-FLORA-M</t>
  </si>
  <si>
    <t>FEM PANTY IG COTTON PRINTED-FLORA M</t>
  </si>
  <si>
    <t>OLFM10113-FLORA-S</t>
  </si>
  <si>
    <t>FEM PANTY IG COTTON PRINTED-FLORA S</t>
  </si>
  <si>
    <t>OLFM10113-FLORA-XL</t>
  </si>
  <si>
    <t>FEM PANTY IG COTTON PRINTED-FLORA XL</t>
  </si>
  <si>
    <t>OLFM10313-AVAH-2X</t>
  </si>
  <si>
    <t>FEM PANTY OG BIKINI HIPSTER COTTON PLAIN-AVAH 2X</t>
  </si>
  <si>
    <t>OLFM10313-AVAH-L</t>
  </si>
  <si>
    <t>FEM PANTY OG BIKINI HIPSTER COTTON PLAIN-AVAH L</t>
  </si>
  <si>
    <t>OLFM10313-AVAH-M</t>
  </si>
  <si>
    <t>FEM PANTY OG BIKINI HIPSTER COTTON PLAIN-AVAH M</t>
  </si>
  <si>
    <t>OLFM10313-AVAH-S</t>
  </si>
  <si>
    <t>FEM PANTY OG BIKINI HIPSTER COTTON PLAIN-AVAH S</t>
  </si>
  <si>
    <t>OLFM10313-AVAH-XL</t>
  </si>
  <si>
    <t>FEM PANTY OG BIKINI HIPSTER COTTON PLAIN-AVAH XL</t>
  </si>
  <si>
    <t>OLFM10013-PAIGE-M</t>
  </si>
  <si>
    <t>FEM PANTY OG COTTON PLAIN-PAIGE M</t>
  </si>
  <si>
    <t>OLFM10013-PAIGE-S</t>
  </si>
  <si>
    <t>FEM PANTY OG COTTON PLAIN-PAIGE S</t>
  </si>
  <si>
    <t>OLFM10013-PAIGE-XL</t>
  </si>
  <si>
    <t>FEM PANTY OG COTTON PLAIN-PAIGE XL</t>
  </si>
  <si>
    <t>OLFM50011-WILLOW-M</t>
  </si>
  <si>
    <t>FEM SHORTS IG WOVEN 100% COTTON-ASSORTED PATTERN M</t>
  </si>
  <si>
    <t>OLFM50011-WILLOW-S</t>
  </si>
  <si>
    <t>FEM SHORTS IG WOVEN 100% COTTON-ASSORTED PATTERN S</t>
  </si>
  <si>
    <t>888123456781997</t>
  </si>
  <si>
    <t>GARLIC MAYO 300G</t>
  </si>
  <si>
    <t>888123456781998</t>
  </si>
  <si>
    <t>GARLIC MAYO 500G</t>
  </si>
  <si>
    <t>CLMP11516-2X-ASSTD-F</t>
  </si>
  <si>
    <t>HANDFORD MENS BRIEFS IG BUY5+1FREE 2X</t>
  </si>
  <si>
    <t>CLMP80111-M-MDNTBLU</t>
  </si>
  <si>
    <t>HANDFORD MENS R-NECK SHIRT MODERN FIT SHORT SLEEVE MIDNIGHT BLUE M</t>
  </si>
  <si>
    <t>CLMA60211-M-BLACK</t>
  </si>
  <si>
    <t>HANFORD ATHLETIC MENS SPANDEX SUPPORTER BRIEFS M</t>
  </si>
  <si>
    <t>CLMA60211-S-BLACK</t>
  </si>
  <si>
    <t>HANFORD ATHLETIC MENS SPANDEX SUPPORTER BRIEFS S</t>
  </si>
  <si>
    <t>CLMA60211-XL-BLACK</t>
  </si>
  <si>
    <t>HANFORD ATHLETIC MENS SPANDEX SUPPORTER BRIEFS XL</t>
  </si>
  <si>
    <t>CLMA63101-XL-NATURAL</t>
  </si>
  <si>
    <t>HANFORD ATHLETIC MENS SUPPORTER 3S</t>
  </si>
  <si>
    <t>CLMA63111-L-BLACK</t>
  </si>
  <si>
    <t>HANFORD ATHLETIC MENS SUPPORTER 3S L</t>
  </si>
  <si>
    <t>CLMA63101-L-NATURAL</t>
  </si>
  <si>
    <t>CLMA63111-M-BLACK</t>
  </si>
  <si>
    <t>HANFORD ATHLETIC MENS SUPPORTER 3S M</t>
  </si>
  <si>
    <t>CLMA63101-M-NATURAL</t>
  </si>
  <si>
    <t>CLMA63111-S-BLACK</t>
  </si>
  <si>
    <t>HANFORD ATHLETIC MENS SUPPORTER 3S S</t>
  </si>
  <si>
    <t>CLMA63101-S-NATURAL</t>
  </si>
  <si>
    <t>CLMA63111-XL-BLACK</t>
  </si>
  <si>
    <t>HANFORD ATHLETIC MENS SUPPORTER 3S XL</t>
  </si>
  <si>
    <t>CLMA63511-AIRE-L</t>
  </si>
  <si>
    <t>HANFORD ATHLETIC PRO COOL COMPRESSION SHORTS MESHPOUCH-AIRE L</t>
  </si>
  <si>
    <t>CLMA63511-AIRE-M</t>
  </si>
  <si>
    <t>HANFORD ATHLETIC PRO COOL COMPRESSION SHORTS MESHPOUCH-AIRE M</t>
  </si>
  <si>
    <t>CLMA63511-AIRE-XL</t>
  </si>
  <si>
    <t>HANFORD ATHLETIC PRO COOL COMPRESSION SHORTS MESHPOUCH-AIRE XL</t>
  </si>
  <si>
    <t>DLBP31113-L-ASSTD</t>
  </si>
  <si>
    <t>HANFORD BOYS BRIEFS HIPSTER COMBI-CURTIS L</t>
  </si>
  <si>
    <t>DLBP31113-M-ASSTD</t>
  </si>
  <si>
    <t>HANFORD BOYS BRIEFS HIPSTER COMBI-CURTIS M</t>
  </si>
  <si>
    <t>DLBP10616-L-ASSTD-D</t>
  </si>
  <si>
    <t>HANFORD BOYS BRIEFS IG BUY5+1FREE L</t>
  </si>
  <si>
    <t>DLBP10516-XL-ASSTD-C</t>
  </si>
  <si>
    <t>HANFORD BOYS BRIEFS IG BUY5+1FREE-MARSHAL XL</t>
  </si>
  <si>
    <t>DLBP10516-M-ASSTD-C</t>
  </si>
  <si>
    <t>HANFORD BOYS BRIEFS IG BUY5+1FREE-MARSHALL M</t>
  </si>
  <si>
    <t>DLBP30813-L-ASSTD</t>
  </si>
  <si>
    <t>HANFORD BOYS BRIEFS ORBIT L</t>
  </si>
  <si>
    <t>DLBP30813-M-ASSTD</t>
  </si>
  <si>
    <t>HANFORD BOYS BRIEFS ORBIT M</t>
  </si>
  <si>
    <t>DLBP40003-L-WHITE</t>
  </si>
  <si>
    <t>HANFORD BOYS COMFORTER BRIEFS (LYCRA WAISTBAND) L</t>
  </si>
  <si>
    <t>DLBP90001-14-WHITE</t>
  </si>
  <si>
    <t>HANFORD BOYS PREMIUM CAMISA SHIRT-SHORT SLEEVES 14</t>
  </si>
  <si>
    <t>DLBP90001-16-WHITE</t>
  </si>
  <si>
    <t>HANFORD BOYS PREMIUM CAMISA SHIRT-SHORT SLEEVES 16</t>
  </si>
  <si>
    <t>DLBP80001-14-WHITE</t>
  </si>
  <si>
    <t>HANFORD BOYS PREMIUM R-NECK SHIRT-SHIRT SLEEVES 14</t>
  </si>
  <si>
    <t>DLBP80001-16-WHITE</t>
  </si>
  <si>
    <t>HANFORD BOYS PREMIUM R-NECK SHIRT-SHORT SLEEVES 16</t>
  </si>
  <si>
    <t>DLBP80021-16-WHITE</t>
  </si>
  <si>
    <t>HANFORD BOYS PREMIUM V-NECK SHIRT-SHOR SLEEVES 16</t>
  </si>
  <si>
    <t>DLBP80021-14-WHITE</t>
  </si>
  <si>
    <t>HANFORD BOYS PREMIUM V-NECK SHIRT-SHORT SLEEVES 14</t>
  </si>
  <si>
    <t>DLBP80611-08-10-STGY</t>
  </si>
  <si>
    <t>HANFORD BOYS SHIRT R-NECK STEEL GRAY 16-18</t>
  </si>
  <si>
    <t>DLBP80611-XS-S-CSBL</t>
  </si>
  <si>
    <t>HANFORD BOYS SHIRT R-NECK XS-S</t>
  </si>
  <si>
    <t>DLBP80711-12-14-BLK</t>
  </si>
  <si>
    <t>HANFORD BOYS SHIRT V-NECK 12-14</t>
  </si>
  <si>
    <t>DLBP71101-16-18-WHT</t>
  </si>
  <si>
    <t>HANFORD BOYS VEST R-NECK 20-22</t>
  </si>
  <si>
    <t>DLBP80611-12-14-ISLANDGRN</t>
  </si>
  <si>
    <t>HANFORD COTTON R-NECK SHORT SLEEVE SHIRT ISLAND GREEN 12-14</t>
  </si>
  <si>
    <t>CLMP70101-M</t>
  </si>
  <si>
    <t>HANFORD COTTON RIB TANK WHITE M</t>
  </si>
  <si>
    <t>CLMI55011-L-AIRCOOL</t>
  </si>
  <si>
    <t>HANFORD ICE MENS BOXER VISCOSE SPANDEX MESH POUCH-AIRCOOL L</t>
  </si>
  <si>
    <t>CLMP51811-2X-CHEKERD</t>
  </si>
  <si>
    <t>HANFORD MEN SHORTS IG WOVEN 100% COTTON 2X</t>
  </si>
  <si>
    <t>CLMP51811-S-CHEKERD</t>
  </si>
  <si>
    <t>HANFORD MEN SHORTS IG WOVEN 100% COTTON S</t>
  </si>
  <si>
    <t>CLMP51811-XL-CHEKERD</t>
  </si>
  <si>
    <t>HANFORD MEN SHORTS IG WOVEN 100% COTTON XL</t>
  </si>
  <si>
    <t>CLMI54511-L-STLGREY</t>
  </si>
  <si>
    <t>HANFORD MEN SHORTS WOVEN 100% C-BARKS STEEL GRAY L</t>
  </si>
  <si>
    <t>CLMP54411-L-NVYPONY</t>
  </si>
  <si>
    <t>HANFORD MENS BOXER COTTON SPANDEX-KAYDEN L</t>
  </si>
  <si>
    <t>CLMP54411-M-NVYPONY</t>
  </si>
  <si>
    <t>HANFORD MENS BOXER COTTON SPANDEX-KAYDEN M</t>
  </si>
  <si>
    <t>CLMP54411-S-NVYPONY</t>
  </si>
  <si>
    <t>HANFORD MENS BOXER COTTON SPANDEX-KAYDEN S</t>
  </si>
  <si>
    <t>CLMP55411-RADIAN-L</t>
  </si>
  <si>
    <t>HANFORD MENS BOXER COTTON SPANDEX-RADIAN L</t>
  </si>
  <si>
    <t>CLMP55411-RADIAN-M</t>
  </si>
  <si>
    <t>HANFORD MENS BOXER COTTON SPANDEX-RADIAN M</t>
  </si>
  <si>
    <t>CLMP55411-RAVISH-M</t>
  </si>
  <si>
    <t>HANFORD MENS BOXER COTTON SPANDEX-RAVISH M</t>
  </si>
  <si>
    <t>CLMP55411-RUSSET-L</t>
  </si>
  <si>
    <t>HANFORD MENS BOXER COTTON SPANDEX-RUSSET L</t>
  </si>
  <si>
    <t>CLMP55411-RUSSET-M</t>
  </si>
  <si>
    <t>HANFORD MENS BOXER COTTON SPANDEX-RUSSET M</t>
  </si>
  <si>
    <t>CLMP11516-L-ASSTD-F</t>
  </si>
  <si>
    <t>HANFORD MENS BRIEFS IG BUY5+1FREE L</t>
  </si>
  <si>
    <t>CLMP23613-DKNIGHT-2X</t>
  </si>
  <si>
    <t>HANFORD MENS BRIEFS OG-DARK KNIGHT 2X</t>
  </si>
  <si>
    <t>CLMP23613-DKNIGHT-M</t>
  </si>
  <si>
    <t>HANFORD MENS BRIEFS OG-DARK KNIGHT M</t>
  </si>
  <si>
    <t>CLMP23613-DKNIGHT-XL</t>
  </si>
  <si>
    <t>HANFORD MENS BRIEFS OG-DARK KNIGHT XL</t>
  </si>
  <si>
    <t>CLMP23713-ECLIPSE-L</t>
  </si>
  <si>
    <t>HANFORD MENS BRIEFS OG-ECLIPSE L</t>
  </si>
  <si>
    <t>CLMP23713-ECLIPSE-M</t>
  </si>
  <si>
    <t>HANFORD MENS BRIEFS OG-ECLIPSE M</t>
  </si>
  <si>
    <t>CLMP23013-JAXEN-L</t>
  </si>
  <si>
    <t>HANFORD MENS BRIEFS OG-JAXEN L</t>
  </si>
  <si>
    <t>CLMP23013-JAXEN-M</t>
  </si>
  <si>
    <t>HANFORD MENS BRIEFS OG-JAXEN M</t>
  </si>
  <si>
    <t>CLMP23113-TREVOR-L</t>
  </si>
  <si>
    <t>HANFORD MENS BRIEFS OG-TREVOR L</t>
  </si>
  <si>
    <t>CLMP23113-TREVOR-M</t>
  </si>
  <si>
    <t>HANFORD MENS BRIEFS OG-TREVOR M</t>
  </si>
  <si>
    <t>CLMP30813-L-ASSTD</t>
  </si>
  <si>
    <t>HANFORD MENS BRIEFS-AXIS L</t>
  </si>
  <si>
    <t>CLMP90101-L-WHITE</t>
  </si>
  <si>
    <t>HANFORD MENS CAMISA SHIRT REGULAR SHORT SLEEVE L</t>
  </si>
  <si>
    <t>CLMP30003-26-WHITE</t>
  </si>
  <si>
    <t>HANFORD MENS CLASSIC BRIEFS 26</t>
  </si>
  <si>
    <t>CLMP30003-30-WHITE</t>
  </si>
  <si>
    <t>HANFORD MENS CLASSIC BRIEFS 30</t>
  </si>
  <si>
    <t>CLMP30003-36-WHITE</t>
  </si>
  <si>
    <t>HANFORD MENS CLASSIC BRIEFS 36</t>
  </si>
  <si>
    <t>CLMP40103-L-WHITE</t>
  </si>
  <si>
    <t>HANFORD MENS COMFORTER BRIEFS L (LYCRA WAISTBAND)</t>
  </si>
  <si>
    <t>CLMP40103-M-WHITE</t>
  </si>
  <si>
    <t>HANFORD MENS COMFORTER BRIEFS M (LYCRA WAISTBAND)</t>
  </si>
  <si>
    <t>CLMP30103-L-WHITE</t>
  </si>
  <si>
    <t>HANFORD MENS HIPSTER BRIEFS L</t>
  </si>
  <si>
    <t>CLMP80101-L-WHITE</t>
  </si>
  <si>
    <t>HANFORD MENS R-NECK SHIRT MODERN FIT SHORT SLEEVE L</t>
  </si>
  <si>
    <t>CLMP80101-M-WHITE</t>
  </si>
  <si>
    <t>HANFORD MENS R-NECK SHIRT MODERN FIT SHORT SLEEVE M</t>
  </si>
  <si>
    <t>CLMP80111-L-MDNTBLU</t>
  </si>
  <si>
    <t xml:space="preserve">HANFORD MENS R-NECK SHIRT MODERN FIT SHORT SLEEVE MIDNIGHT BLUE L </t>
  </si>
  <si>
    <t>CLMP80101-XL-WHITE</t>
  </si>
  <si>
    <t>HANFORD MENS R-NECK SHIRT MODERN FIT SHORT SLEEVE XL</t>
  </si>
  <si>
    <t>CLMP70301-M-WHITE</t>
  </si>
  <si>
    <t>HANFORD MENS R-NECK VEST SHIRT MODERN FIT M</t>
  </si>
  <si>
    <t>CLMP80111-M-ISLNDGREEN</t>
  </si>
  <si>
    <t>HANFORD MENS SHIRT R-NECK MODERN FIT M ISLAND GREEN</t>
  </si>
  <si>
    <t>CLMP70501-L-WHITE</t>
  </si>
  <si>
    <t>HANFORD MENS V-NECK VEST SHIRT MODERN FIT L</t>
  </si>
  <si>
    <t>CLMP70501-M-WHITE</t>
  </si>
  <si>
    <t>HANFORD MENS V-NECK VEST SHIRT MODERN FIT M</t>
  </si>
  <si>
    <t>CLMP70501-S-WHITE</t>
  </si>
  <si>
    <t>HANFORD MENS V-NECK VEST SHIRT MODERN FIT S</t>
  </si>
  <si>
    <t>CLMP52811-L</t>
  </si>
  <si>
    <t>HANFORD PREMIUM KNITTED AND WOVEN SHORTS L</t>
  </si>
  <si>
    <t>CLMP52811-M</t>
  </si>
  <si>
    <t>HANFORD PREMIUM KNITTED AND WOVEN SHORTS M</t>
  </si>
  <si>
    <t>CLMP52811-S</t>
  </si>
  <si>
    <t>HANFORD PREMIUM KNITTED AND WOVEN SHORTS S</t>
  </si>
  <si>
    <t>DLBP30003-16-WHITE</t>
  </si>
  <si>
    <t>HANFORD TEENS BRIEFS-PREMIUM 16</t>
  </si>
  <si>
    <t>DLBP30003-18-WHITE</t>
  </si>
  <si>
    <t>HANFORD TEENS BRIEFS-PREMIUM 18</t>
  </si>
  <si>
    <t>888123456781147</t>
  </si>
  <si>
    <t>HCI ALLORIA BEAUTY SOAP 90G</t>
  </si>
  <si>
    <t>888123456781144</t>
  </si>
  <si>
    <t>HCI ALLORIA HAND &amp; BODY LOTION 120ML</t>
  </si>
  <si>
    <t>888123456781145</t>
  </si>
  <si>
    <t>HCI ALLORIA MINERAL SHAMPOO 250ML</t>
  </si>
  <si>
    <t>CLMP80201-L-WHITE</t>
  </si>
  <si>
    <t>HM V-NECK SHIRT MODERN FIT SHORT SLEEVE L</t>
  </si>
  <si>
    <t>CLMP80201-S-WHITE</t>
  </si>
  <si>
    <t>HM V-NECK SHIRT MODERN FIT SHORT SLEEVE S</t>
  </si>
  <si>
    <t>CLMP80201-XL-WHITE</t>
  </si>
  <si>
    <t>HM V-NECK SHIRT MODERN FIT SHORT SLEEVE XL</t>
  </si>
  <si>
    <t>888123456781610</t>
  </si>
  <si>
    <t>KACHIMOGO FILIPINO STYLE KIMCHI</t>
  </si>
  <si>
    <t>888123456781232</t>
  </si>
  <si>
    <t>MSC GUYABANO TEA 15 TEA BAGS</t>
  </si>
  <si>
    <t>Expired-4 2/2019</t>
  </si>
  <si>
    <t>888123456782025</t>
  </si>
  <si>
    <t>MUSHARAP MUSHROOM CHIPS-2</t>
  </si>
  <si>
    <t>4806528710003</t>
  </si>
  <si>
    <t>NLIGHTEN BODY CREAM 100G</t>
  </si>
  <si>
    <t>4806528710027</t>
  </si>
  <si>
    <t>NLIGHTEN CC CUSHION 15G</t>
  </si>
  <si>
    <t>4806528710157</t>
  </si>
  <si>
    <t>NLIGHTEN CLOUD CREAM</t>
  </si>
  <si>
    <t>4806528710102</t>
  </si>
  <si>
    <t>NLIGHTEN EYE GEL 10G</t>
  </si>
  <si>
    <t>4806528710256</t>
  </si>
  <si>
    <t>NLIGHTEN FACIAL CLEANSER 100ML</t>
  </si>
  <si>
    <t>4806528710201</t>
  </si>
  <si>
    <t>NLIGHTEN O2 BUBBLE CLEANSER 70ML</t>
  </si>
  <si>
    <t>4806528710058</t>
  </si>
  <si>
    <t>NLIGHTEN UNDERARM CREAM 30G</t>
  </si>
  <si>
    <t>888123456781304</t>
  </si>
  <si>
    <t>PANI-PEANUT</t>
  </si>
  <si>
    <t>4800258485378</t>
  </si>
  <si>
    <t>PETRICH ALL NATURAL PET POWDER FRESH 150ML</t>
  </si>
  <si>
    <t>888123456781970</t>
  </si>
  <si>
    <t>PETRICH ALL NATURAL PET SHAMPOO W/ CONDITIONER POWDER FRESH 500ML</t>
  </si>
  <si>
    <t>888123456781962</t>
  </si>
  <si>
    <t>PETRICH ALL NATURAL PET SHAMPOO W/ CONDITIONER SEA BREEZE 500ML</t>
  </si>
  <si>
    <t>888123456781938</t>
  </si>
  <si>
    <t>PETRICH ALL NATURAL PET SOAP SEA BREEZE 100ML</t>
  </si>
  <si>
    <t>4800258485361</t>
  </si>
  <si>
    <t>PETRICH ALL NATURAL PET SPRAY RASPBERRY 250ML</t>
  </si>
  <si>
    <t>888123456781999</t>
  </si>
  <si>
    <t>PICKLED GARLIC 150G</t>
  </si>
  <si>
    <t>888123456782000</t>
  </si>
  <si>
    <t>PICKLED GARLIC 325G</t>
  </si>
  <si>
    <t>888123456781971</t>
  </si>
  <si>
    <t>PINECREST ALL NATURAL HAND SANITIZER 100ML</t>
  </si>
  <si>
    <t>4800258476291</t>
  </si>
  <si>
    <t>PINECREST ALL NATURAL HAND SANITIZER 500ML</t>
  </si>
  <si>
    <t>4800258475874</t>
  </si>
  <si>
    <t>PINECREST ALL NATURAL HANDWASH ALCOWASH 500ML</t>
  </si>
  <si>
    <t>4800258477229</t>
  </si>
  <si>
    <t>PINECREST ALL NATURAL INSECT REPELLENT SPRAY 100ML</t>
  </si>
  <si>
    <t>4800258475843</t>
  </si>
  <si>
    <t>PINECREST ALL NATURAL SANITIZING ALCOHOL 70% ETHYL 100ML</t>
  </si>
  <si>
    <t>4800258475850</t>
  </si>
  <si>
    <t>PINECREST ALL NATURAL SANITIZING ALCOHOL 70% ETHYL 250ML</t>
  </si>
  <si>
    <t>888123456781936</t>
  </si>
  <si>
    <t>PINECREST ALL NATURAL SANITIZING ALCOHOL 70% ETHYL 500ML</t>
  </si>
  <si>
    <t>4800258475881</t>
  </si>
  <si>
    <t>PINECREST ALL NATURAL SANITIZING ALCOHOL 70% ETHYL 500ML PUMP</t>
  </si>
  <si>
    <t>4800258485255</t>
  </si>
  <si>
    <t>PINECREST ORAGANIC SOAP SEAGRASS 100G</t>
  </si>
  <si>
    <t>4800258481042</t>
  </si>
  <si>
    <t>PINECREST ORGANIC CONDITIONER GREEN TEA 250ML</t>
  </si>
  <si>
    <t>4800258481035</t>
  </si>
  <si>
    <t>PINECREST ORGANIC CONDITIONER PURE MILK 250ML</t>
  </si>
  <si>
    <t>4800258481073</t>
  </si>
  <si>
    <t>PINECREST ORGANIC CONDITIONER VIRGIN COCONUT 250ML</t>
  </si>
  <si>
    <t>4800258480991</t>
  </si>
  <si>
    <t>PINECREST ORGANIC SHAMPOO GREEN TEA 250ML</t>
  </si>
  <si>
    <t>4800258480984</t>
  </si>
  <si>
    <t>PINECREST ORGANIC SHAMPOO PURE MILK 250ML</t>
  </si>
  <si>
    <t>4800258481028</t>
  </si>
  <si>
    <t>PINECREST ORGANIC SHAMPOO VIRGIN COCONUT 250ML</t>
  </si>
  <si>
    <t>4800258489743</t>
  </si>
  <si>
    <t>PINECREST ORGANIC SOAP AMAZING GUAVA 100G</t>
  </si>
  <si>
    <t>4800258469774</t>
  </si>
  <si>
    <t>PINECREST ORGANIC SOAP BAMBOO CHARCOAL 100G</t>
  </si>
  <si>
    <t>888123456781935</t>
  </si>
  <si>
    <t>PINECREST ORGANIC SOAP CARROT TEEN 100G</t>
  </si>
  <si>
    <t>4800258485231</t>
  </si>
  <si>
    <t>PINECREST ORGANIC SOAP COLLAGEN 100G</t>
  </si>
  <si>
    <t>4800258480953</t>
  </si>
  <si>
    <t>PINECREST ORGANIC SOAP LAVENDER 100G</t>
  </si>
  <si>
    <t>4800258476307</t>
  </si>
  <si>
    <t>PINECREST ORGANIC SOAP MINTY GREEN ANTIOXIDANT 100G</t>
  </si>
  <si>
    <t>4800258469736</t>
  </si>
  <si>
    <t>PINECREST ORGANIC SOAP PAPAYA BRIGHT 100G</t>
  </si>
  <si>
    <t>4800258476314</t>
  </si>
  <si>
    <t>PINECREST ORGANIC SOAP PURE MILK NOURISHING 100G</t>
  </si>
  <si>
    <t>4800258479650</t>
  </si>
  <si>
    <t>PINECREST ORGANIC SOAP TRANSPARENT ALOE VERA 100G</t>
  </si>
  <si>
    <t>4800258480977</t>
  </si>
  <si>
    <t>PINECREST ORGANIC SOAP TRANSPARENT CITRUS LEMON 100G</t>
  </si>
  <si>
    <t>4800258479643</t>
  </si>
  <si>
    <t>PINECREST ORGANIC SOAP TRANSPARENT FROSTY BLAST 100G</t>
  </si>
  <si>
    <t>4800258476321</t>
  </si>
  <si>
    <t>PINECREST ORGANIC SOAP VANILLA OATMEAL SKIN RENEWAL 100G</t>
  </si>
  <si>
    <t>4800258476192</t>
  </si>
  <si>
    <t>PLANT WELL ORGANIC PLANT SUPPLEMENT READY TO SPRAY 500ML</t>
  </si>
  <si>
    <t>888123456781514</t>
  </si>
  <si>
    <t>RED MUSHARAP MUSHROOM CHIPS</t>
  </si>
  <si>
    <t>888123456781937</t>
  </si>
  <si>
    <t>SO SAFE ALL NATURAL DISHWASHING LIQUID 250ML</t>
  </si>
  <si>
    <t>4800258477243</t>
  </si>
  <si>
    <t>SO SAFE ALL NATURAL MULTI-SURFACE DISINFECTANT CLEANER 500ML</t>
  </si>
  <si>
    <t>888123456781969</t>
  </si>
  <si>
    <t>SO SAFE ALL NATURAL MULTIPURPOSE DISINFECTANT CLEANER 1LITER</t>
  </si>
  <si>
    <t>4800258469750</t>
  </si>
  <si>
    <t>SO SAFE DISINFECTANT SPRAY 100ML</t>
  </si>
  <si>
    <t>4800258469767</t>
  </si>
  <si>
    <t>SO SAFE DISINFECTANT SPRAY 250ML</t>
  </si>
  <si>
    <t>4800258476338</t>
  </si>
  <si>
    <t>SO SAFE ORGANIC TOILET BOWL CLEANER 500ML</t>
  </si>
  <si>
    <t>ICE CREAM</t>
  </si>
  <si>
    <t>4800086050519</t>
  </si>
  <si>
    <t xml:space="preserve"> CORNETTO UBE CARAMEL 110ML</t>
  </si>
  <si>
    <t>8999999035631</t>
  </si>
  <si>
    <t>MAGNUM MINI VANILLA ALMOND 45ML</t>
  </si>
  <si>
    <t>888123456781567</t>
  </si>
  <si>
    <t>MAGNUM MINI VANILLA ALMOND 45ML RETAIL</t>
  </si>
  <si>
    <t>8999999035624</t>
  </si>
  <si>
    <t>MAGNUM MINI VANILLA CLASSIC 45ML</t>
  </si>
  <si>
    <t>4800086005610</t>
  </si>
  <si>
    <t>MAGNUM VANILLA ALMOND 80ML</t>
  </si>
  <si>
    <t>4800086050311</t>
  </si>
  <si>
    <t>SEL 3+1 CHOCO VANILLA SALAD UBE 1.3L</t>
  </si>
  <si>
    <t>4800086049674</t>
  </si>
  <si>
    <t>SEL 3IN1 CHOCO KESO UBE 750ML</t>
  </si>
  <si>
    <t>4800086050304</t>
  </si>
  <si>
    <t>SEL 3IN1 CHOCO-VANILLA-STRAWBERRY 750ML</t>
  </si>
  <si>
    <t>4800086050328</t>
  </si>
  <si>
    <t>SEL 3IN1 UBE-MANGO-AVOCADO 750ML</t>
  </si>
  <si>
    <t>4800086044372</t>
  </si>
  <si>
    <t>SEL BDAY BASO CHOCO 400ML</t>
  </si>
  <si>
    <t>4800086044365</t>
  </si>
  <si>
    <t>SEL BDAY BASO UBE 400ML</t>
  </si>
  <si>
    <t>4800086045751</t>
  </si>
  <si>
    <t>SEL BOOM BOOM CHOCOLATE 60ML</t>
  </si>
  <si>
    <t>4800086047472</t>
  </si>
  <si>
    <t>SEL BOOM BOOM COOKIES &amp; CREAM 60ML</t>
  </si>
  <si>
    <t>4800086050359</t>
  </si>
  <si>
    <t>SEL CHOCKY STICK 45ML</t>
  </si>
  <si>
    <t>4800086040909</t>
  </si>
  <si>
    <t>SEL COFFEE CRUMBLE 750ML</t>
  </si>
  <si>
    <t>4800086050649</t>
  </si>
  <si>
    <t>SEL CORNETTO APPLE CRUMBLE 110ML</t>
  </si>
  <si>
    <t>4800086134325</t>
  </si>
  <si>
    <t>SEL CORNETTO CLASSIC CHOCO 110ML</t>
  </si>
  <si>
    <t>4800086043306</t>
  </si>
  <si>
    <t>SEL CORNETTO COOKIES &amp; DREAM 110ML</t>
  </si>
  <si>
    <t>4800086046482</t>
  </si>
  <si>
    <t>SEL CORNETTO DISC BLACK CHOCO COOKIE 115ML</t>
  </si>
  <si>
    <t>4800086049551</t>
  </si>
  <si>
    <t>SEL CORNETTO DISC MATCHA CRUMBLE 115ML</t>
  </si>
  <si>
    <t>4800086045676</t>
  </si>
  <si>
    <t>SEL CORNETTO DISC WHITE CHOCO COOKIES &amp; CREAM 115ML</t>
  </si>
  <si>
    <t>4800086034670</t>
  </si>
  <si>
    <t>SEL CORNETTO VANILLA 110ML</t>
  </si>
  <si>
    <t>4800086047717</t>
  </si>
  <si>
    <t>SEL CREAMDAE 3+1 CHOCO KESO UBE MANGO 1.5L</t>
  </si>
  <si>
    <t>4800086046987</t>
  </si>
  <si>
    <t>SEL CREAMDAE CUPS CHOCO 100ML</t>
  </si>
  <si>
    <t>4800086049230</t>
  </si>
  <si>
    <t>SEL CREAMDAE CUPS MANGO 100ML</t>
  </si>
  <si>
    <t>4800086049162</t>
  </si>
  <si>
    <t>SEL CREAMDAE STICK CHOCO MALLOW 60ML</t>
  </si>
  <si>
    <t>4800086050120</t>
  </si>
  <si>
    <t>SEL CUPS DOUBLE CHOCO SUNDAE 100ML</t>
  </si>
  <si>
    <t>4800086051011</t>
  </si>
  <si>
    <t>SEL NAMA CHOCOLATE 1.25L</t>
  </si>
  <si>
    <t>4800086051028</t>
  </si>
  <si>
    <t>SEL NAMA CHOCOLATE 450ML</t>
  </si>
  <si>
    <t>4800086051035</t>
  </si>
  <si>
    <t>SEL SHOYU CARAMEL 1.25L</t>
  </si>
  <si>
    <t>4800086043627</t>
  </si>
  <si>
    <t>SEL SOLO PACK COOKIES &amp; CREAM 450ML</t>
  </si>
  <si>
    <t>4800086043603</t>
  </si>
  <si>
    <t>SEL SOLO PACK DOUBLE DUTCH 450ML</t>
  </si>
  <si>
    <t>4800086043610</t>
  </si>
  <si>
    <t>SEL SOLO PACK ROCKY ROAD 475ML</t>
  </si>
  <si>
    <t>4800086050847</t>
  </si>
  <si>
    <t>SEL STRAW CHEESECAKE 450ML</t>
  </si>
  <si>
    <t>4800086050212</t>
  </si>
  <si>
    <t>SEL SUP AVOCADO DREAM 1.3L</t>
  </si>
  <si>
    <t>4800086035943</t>
  </si>
  <si>
    <t>SEL SUP COFFEE CRUMBLE 1.5L</t>
  </si>
  <si>
    <t>4800086035929</t>
  </si>
  <si>
    <t>SEL SUP COOKIES &amp; CREAM 1.5L</t>
  </si>
  <si>
    <t>4800086040893</t>
  </si>
  <si>
    <t>SEL SUP COOKIES &amp; CREAM 750ML</t>
  </si>
  <si>
    <t>4800086035967</t>
  </si>
  <si>
    <t>SEL SUP DOUBLE DUTCH 1.3L</t>
  </si>
  <si>
    <t>4800086040879</t>
  </si>
  <si>
    <t>SEL SUP DOUBLE DUTCH 750ML</t>
  </si>
  <si>
    <t>4800086045560</t>
  </si>
  <si>
    <t>SEL SUP PISTACHIO N CASHEW 1.3L</t>
  </si>
  <si>
    <t>4800086036186</t>
  </si>
  <si>
    <t>SEL SUP ROCKY ROAD 1.3L</t>
  </si>
  <si>
    <t>4800086040886</t>
  </si>
  <si>
    <t>SEL SUP ROCKY ROAD 750ML</t>
  </si>
  <si>
    <t>4800086050663</t>
  </si>
  <si>
    <t>SELECTA BDAY 3+1 UBE MANGO AVO STRAW 1.25L</t>
  </si>
  <si>
    <t>4800086049452</t>
  </si>
  <si>
    <t>SELECTA COOKIES N CREAM 100ML</t>
  </si>
  <si>
    <t>4800086049520</t>
  </si>
  <si>
    <t>SELECTA DOUBLE DUTCH 100ML</t>
  </si>
  <si>
    <t>8851932478502</t>
  </si>
  <si>
    <t>WALLS BITES STRAW YOGHURT 14G</t>
  </si>
  <si>
    <t>8851932441438</t>
  </si>
  <si>
    <t>WALLS BITES TIME VANILLA TOFFEE &amp; CARAMEL 60G</t>
  </si>
  <si>
    <t>RTD &amp; REFRI</t>
  </si>
  <si>
    <t>4800016052774</t>
  </si>
  <si>
    <t>C2 APPLE 1L</t>
  </si>
  <si>
    <t>4800016052040</t>
  </si>
  <si>
    <t>C2 APPLE 355ML</t>
  </si>
  <si>
    <t>4800016068010</t>
  </si>
  <si>
    <t>C2 SOLO APPLE FLAVOR 230ML</t>
  </si>
  <si>
    <t>0721688115007</t>
  </si>
  <si>
    <t>CALM-C CALAMANSI JUICE 250ML</t>
  </si>
  <si>
    <t>4800249004748</t>
  </si>
  <si>
    <t>CDO FUNTASTYK YOUNG PORK TOCINO 225G</t>
  </si>
  <si>
    <t>888123456781877</t>
  </si>
  <si>
    <t>COBRA ORIG FLAVOR ASTIG 300ML</t>
  </si>
  <si>
    <t>4800014134083</t>
  </si>
  <si>
    <t>COLT 45 500ML</t>
  </si>
  <si>
    <t>00008</t>
  </si>
  <si>
    <t>CONVIE COKE 1.5</t>
  </si>
  <si>
    <t>00004</t>
  </si>
  <si>
    <t>CONVIE COKE 237ML</t>
  </si>
  <si>
    <t>00007</t>
  </si>
  <si>
    <t>CONVIE COKE 75OML</t>
  </si>
  <si>
    <t>00005</t>
  </si>
  <si>
    <t>CONVIE COKE IN CAN ZERO SUGAR 320ML</t>
  </si>
  <si>
    <t>7-Expired 6/2025</t>
  </si>
  <si>
    <t>00048</t>
  </si>
  <si>
    <t>CONVIE COKE LIGHT 1.5</t>
  </si>
  <si>
    <t>00003</t>
  </si>
  <si>
    <t>CONVIE COKE MISMO 295ML</t>
  </si>
  <si>
    <t>00001</t>
  </si>
  <si>
    <t>CONVIE COKE SWAKTO 200ML</t>
  </si>
  <si>
    <t>00002</t>
  </si>
  <si>
    <t>CONVIE COKE SWAKTO ZERO SUGAR 200ML</t>
  </si>
  <si>
    <t>00032</t>
  </si>
  <si>
    <t>CONVIE COKE ZERO 1.5</t>
  </si>
  <si>
    <t>00041</t>
  </si>
  <si>
    <t>CONVIE JACK AND COKE IN CAN 320ML</t>
  </si>
  <si>
    <t>00019</t>
  </si>
  <si>
    <t>CONVIE M.M APPLE 200ML</t>
  </si>
  <si>
    <t>3-Expired 12/4/2024</t>
  </si>
  <si>
    <t>00042</t>
  </si>
  <si>
    <t>CONVIE NUTRI CHOCO 110MLX24</t>
  </si>
  <si>
    <t>Expired 6/9/2024</t>
  </si>
  <si>
    <t>00044</t>
  </si>
  <si>
    <t>CONVIE NUTRI STRAWBERRY 110MLX24</t>
  </si>
  <si>
    <t>00046</t>
  </si>
  <si>
    <t>CONVIE PREDATOR</t>
  </si>
  <si>
    <t>00018</t>
  </si>
  <si>
    <t>CONVIE ROYAL 1.5</t>
  </si>
  <si>
    <t>00017</t>
  </si>
  <si>
    <t>CONVIE ROYAL 750ML</t>
  </si>
  <si>
    <t>00036</t>
  </si>
  <si>
    <t>CONVIE ROYAL LEMON 237ML</t>
  </si>
  <si>
    <t>00015</t>
  </si>
  <si>
    <t>CONVIE ROYAL MISMO 250ML</t>
  </si>
  <si>
    <t>00047</t>
  </si>
  <si>
    <t>CONVIE ROYAL STRAWBERRY MISMO</t>
  </si>
  <si>
    <t>000014</t>
  </si>
  <si>
    <t>CONVIE ROYAL SWAKTO 200ML</t>
  </si>
  <si>
    <t>00013</t>
  </si>
  <si>
    <t>CONVIE SPRITE 1.5</t>
  </si>
  <si>
    <t>00011</t>
  </si>
  <si>
    <t>CONVIE SPRITE 237ML</t>
  </si>
  <si>
    <t>000012</t>
  </si>
  <si>
    <t>CONVIE SPRITE 750ML</t>
  </si>
  <si>
    <t>00010</t>
  </si>
  <si>
    <t>CONVIE SPRITE MISMO 295ML</t>
  </si>
  <si>
    <t>00009</t>
  </si>
  <si>
    <t>CONVIE SPRITE SWAKTO 200ML</t>
  </si>
  <si>
    <t>00029</t>
  </si>
  <si>
    <t>CONVIE WILKINS 1L</t>
  </si>
  <si>
    <t>00027</t>
  </si>
  <si>
    <t>CONVIE WILKINS 330ML</t>
  </si>
  <si>
    <t>00028</t>
  </si>
  <si>
    <t>CONVIE WILKINS 500ML</t>
  </si>
  <si>
    <t>00030</t>
  </si>
  <si>
    <t>CONVIE WILKINS 7L</t>
  </si>
  <si>
    <t>4800024587978</t>
  </si>
  <si>
    <t>DM FRUITY ZING APPLE-LYCHEE 330ML</t>
  </si>
  <si>
    <t>4800024587985</t>
  </si>
  <si>
    <t>DM FRUITY ZING CALAMANSI-LEMON 330ML</t>
  </si>
  <si>
    <t>EXPIRED SEP 2026</t>
  </si>
  <si>
    <t>888123456781247</t>
  </si>
  <si>
    <t>DM JUICE DRINK PINEAPPLE 100% W/ ACE</t>
  </si>
  <si>
    <t>4800024581105</t>
  </si>
  <si>
    <t>DM JUICE DRINK PINEAPPLE ACE 6S</t>
  </si>
  <si>
    <t>4800024562692</t>
  </si>
  <si>
    <t>DM PINEAPPLE JUICE ACE 100% 220ML-2</t>
  </si>
  <si>
    <t>888123456782018</t>
  </si>
  <si>
    <t>DM PINEAPPLE JUICE ACE 220ML</t>
  </si>
  <si>
    <t>4800024572981</t>
  </si>
  <si>
    <t>DM PINEAPPLE JUICE HEART SMART 240ML</t>
  </si>
  <si>
    <t>8851717040245</t>
  </si>
  <si>
    <t>DUTCH MILL BLUEBERRY 180ML</t>
  </si>
  <si>
    <t>8851717200014</t>
  </si>
  <si>
    <t>DUTCH MILL BLUEBERRY 90ML</t>
  </si>
  <si>
    <t>8851717904967</t>
  </si>
  <si>
    <t>DUTCH MILL DELIGHT 100ML</t>
  </si>
  <si>
    <t>8851717905407</t>
  </si>
  <si>
    <t>DUTCH MILL DELIGHT 400ML</t>
  </si>
  <si>
    <t>8853002310385</t>
  </si>
  <si>
    <t>DUTCH MILL MANGO 180ML</t>
  </si>
  <si>
    <t>8853002310415</t>
  </si>
  <si>
    <t>DUTCH MILL MANGO 90ML</t>
  </si>
  <si>
    <t>8851717040030</t>
  </si>
  <si>
    <t>DUTCH MILL MIXED FRUITS 180ML</t>
  </si>
  <si>
    <t>8851717200045</t>
  </si>
  <si>
    <t>DUTCH MILL MIXED FRUITS 90ML</t>
  </si>
  <si>
    <t>8851717040023</t>
  </si>
  <si>
    <t>DUTCH MILL ORANGE 180ML</t>
  </si>
  <si>
    <t>8851717200038</t>
  </si>
  <si>
    <t>DUTCH MILL ORANGE 90ML</t>
  </si>
  <si>
    <t>8851717040016</t>
  </si>
  <si>
    <t>DUTCH MILL STRAWBERRY 180ML</t>
  </si>
  <si>
    <t>8851717200007</t>
  </si>
  <si>
    <t>DUTCH MILL STRAWBERRY 90ML</t>
  </si>
  <si>
    <t>8853002302038</t>
  </si>
  <si>
    <t>DUTCH MILL SUPERFRUITS 180ML</t>
  </si>
  <si>
    <t>8853002303110</t>
  </si>
  <si>
    <t>DUTCH MILL SUPERFRUITS 90ML</t>
  </si>
  <si>
    <t>5701215046832</t>
  </si>
  <si>
    <t>EMBORG FULL CREAM MILK 1L</t>
  </si>
  <si>
    <t>8410028903252</t>
  </si>
  <si>
    <t>ESCOBAR LIGHT 1L</t>
  </si>
  <si>
    <t>4803925241130</t>
  </si>
  <si>
    <t>4803925350054</t>
  </si>
  <si>
    <t>GATORADE BLUE BOLT 350ML</t>
  </si>
  <si>
    <t>4803925061141</t>
  </si>
  <si>
    <t>GATORADE BLUE BOLT 500ML</t>
  </si>
  <si>
    <t>8992714073024</t>
  </si>
  <si>
    <t>GOODDAY CULTURED MILK DRINK STRAWBERRY 80ML</t>
  </si>
  <si>
    <t>888123456782020</t>
  </si>
  <si>
    <t>JAMON DE BOLA-EXTRA 5PCS</t>
  </si>
  <si>
    <t>14809011294803</t>
  </si>
  <si>
    <t>KOOLERS FUN DRINK APPLE 10X220ML</t>
  </si>
  <si>
    <t>4809014280646</t>
  </si>
  <si>
    <t>KOOLERS FUN DRINK APPLE 220ML</t>
  </si>
  <si>
    <t>14809011294797</t>
  </si>
  <si>
    <t>KOOLERS FUN DRINK ORANGE 10X220ML</t>
  </si>
  <si>
    <t>4800016073632</t>
  </si>
  <si>
    <t>MINERAL WATER REFRESH 350ML</t>
  </si>
  <si>
    <t>4800361331500</t>
  </si>
  <si>
    <t>NESTLE BEARBRAND STERILIZED 200ML</t>
  </si>
  <si>
    <t>4800361388313</t>
  </si>
  <si>
    <t>NESTLE CHUCKIE 180ML</t>
  </si>
  <si>
    <t>4800361395687</t>
  </si>
  <si>
    <t>NESTLE CHUCKIE BULILIT PACK 110ML</t>
  </si>
  <si>
    <t>4800313031106</t>
  </si>
  <si>
    <t>PAMPANGAS BEST SKINLESS LONGANIZA 225G</t>
  </si>
  <si>
    <t>4800313030147</t>
  </si>
  <si>
    <t>PAMPANGAS BEST TOCINO ORIGINAL 220G</t>
  </si>
  <si>
    <t>888123456781812</t>
  </si>
  <si>
    <t>PUREFOODS FIESTA HAM PRE-SLICED</t>
  </si>
  <si>
    <t>4800139030222</t>
  </si>
  <si>
    <t>RB GOKU GOKU JELLY DRINKS 230G</t>
  </si>
  <si>
    <t>4801032211138</t>
  </si>
  <si>
    <t>RED HORSE BEER 1000ML</t>
  </si>
  <si>
    <t>4801032211077</t>
  </si>
  <si>
    <t>RED HORSE BEER 500ML</t>
  </si>
  <si>
    <t>4801032741048</t>
  </si>
  <si>
    <t>SAN MIG LIGHT REGULAR FLAVOR 330ML</t>
  </si>
  <si>
    <t>4801032281049</t>
  </si>
  <si>
    <t>SAN MIGUEL APPLE 330ML</t>
  </si>
  <si>
    <t>4801032111025</t>
  </si>
  <si>
    <t>SAN MIGUEL PALE PILSEN 320ML</t>
  </si>
  <si>
    <t>4800220531355</t>
  </si>
  <si>
    <t>TANDUAY ICE ALCOMIX ORIGINAL 330ML</t>
  </si>
  <si>
    <t>4809015648254</t>
  </si>
  <si>
    <t>TAPCO CALAMANSI JUICE WITH HONEY 250ML</t>
  </si>
  <si>
    <t>4804888889728</t>
  </si>
  <si>
    <t>ZEST-O BIG ORANGE DRINK 250MLX10</t>
  </si>
  <si>
    <t>Expired 9/5/2024</t>
  </si>
  <si>
    <t>OVER THE COUNTER (OTC)</t>
  </si>
  <si>
    <t>888123456781081</t>
  </si>
  <si>
    <t>GOLDEN DEER PLASTIC BAG MEDIUM</t>
  </si>
  <si>
    <t>4809012413046</t>
  </si>
  <si>
    <t>KATINKO OINTMENT 10G</t>
  </si>
  <si>
    <t>48044295</t>
  </si>
  <si>
    <t>MARLBORO RED PACK</t>
  </si>
  <si>
    <t>48041812</t>
  </si>
  <si>
    <t>MIGHTY GREEN PACK</t>
  </si>
  <si>
    <t>8881234567826</t>
  </si>
  <si>
    <t>OTC ALAXAN FR</t>
  </si>
  <si>
    <t>4800204002048</t>
  </si>
  <si>
    <t>OTC BETADINE WOUND SOLUTION 15ML</t>
  </si>
  <si>
    <t>888123456781205</t>
  </si>
  <si>
    <t>OTC BIOFLU</t>
  </si>
  <si>
    <t>4800116136008</t>
  </si>
  <si>
    <t>OTC BUTTER CREAM CHEESE SPREAD 17G</t>
  </si>
  <si>
    <t>4800116135001</t>
  </si>
  <si>
    <t>OTC BUTTER CREAM CHOCOLATE SPREAD 17G</t>
  </si>
  <si>
    <t>8935001721550</t>
  </si>
  <si>
    <t>OTC CHUPA CHUPS MILKY CARAMEL LOLLIPOP 9G</t>
  </si>
  <si>
    <t>8935001721567</t>
  </si>
  <si>
    <t>OTC CHUPA CHUPS STRAWBERRY &amp; CREAM FLAVOR 9G</t>
  </si>
  <si>
    <t>888123456781387</t>
  </si>
  <si>
    <t>OTC DIATABS</t>
  </si>
  <si>
    <t>888123456781207</t>
  </si>
  <si>
    <t>OTC DOLFENAL</t>
  </si>
  <si>
    <t>888123456781549</t>
  </si>
  <si>
    <t>OTC DYNAMITE CHOCO MINT RETAIL</t>
  </si>
  <si>
    <t>8881234567818</t>
  </si>
  <si>
    <t>OTC EVEREADY SUPER HEAVY DUTY BATTERY BLACK AA 2S</t>
  </si>
  <si>
    <t>4800042112138</t>
  </si>
  <si>
    <t>OTC EVEREADY SUPER HEAVY DUTY BATTERY BLACK AAA 2S</t>
  </si>
  <si>
    <t>4806518844015</t>
  </si>
  <si>
    <t>OTC HONEY HOUSE CLASSIC</t>
  </si>
  <si>
    <t>4800818802010</t>
  </si>
  <si>
    <t>OTC LUV LOV BERRY MILK</t>
  </si>
  <si>
    <t>888123456781258</t>
  </si>
  <si>
    <t>OTC MAXX CHERRY</t>
  </si>
  <si>
    <t>888123456781561</t>
  </si>
  <si>
    <t>OTC MAXX HONEY LEMON</t>
  </si>
  <si>
    <t>8881234567829</t>
  </si>
  <si>
    <t>OTC MED CARBO TUSERAN</t>
  </si>
  <si>
    <t>8881234567827</t>
  </si>
  <si>
    <t>OTC MED PARACETAMOL NEOZEP</t>
  </si>
  <si>
    <t>888123456782002</t>
  </si>
  <si>
    <t>OTC REXONA CLEAN SHOWER</t>
  </si>
  <si>
    <t>888123456782003</t>
  </si>
  <si>
    <t>OTC REXONA POWDER DRY</t>
  </si>
  <si>
    <t>888123456781866</t>
  </si>
  <si>
    <t>OTC SOLMUX 500MG</t>
  </si>
  <si>
    <t>888123456782001</t>
  </si>
  <si>
    <t>OTC SUPERLAMIG CANDY</t>
  </si>
  <si>
    <t>4806515650305</t>
  </si>
  <si>
    <t>TAWAS PASTE BLUE 50G</t>
  </si>
  <si>
    <t>4806515650299</t>
  </si>
  <si>
    <t>TAWAS POWDER RED 50G</t>
  </si>
  <si>
    <t>4806515650312</t>
  </si>
  <si>
    <t>TAWAS W/ SCENT POWDER YELLOW 50G</t>
  </si>
  <si>
    <t>8998898101409</t>
  </si>
  <si>
    <t>TOLAK ANGIN HERBAL MINT HONEY 15ML</t>
  </si>
  <si>
    <t>888123456781608</t>
  </si>
  <si>
    <t>WASHABLE FACE MASK</t>
  </si>
  <si>
    <t>48040594</t>
  </si>
  <si>
    <t>WINSTON RED PACK</t>
  </si>
  <si>
    <t>OTHER PRODUCTS</t>
  </si>
  <si>
    <t>888123456781870</t>
  </si>
  <si>
    <t>BABY FEEDING BOTTLE 5OZ</t>
  </si>
  <si>
    <t>888123456781871</t>
  </si>
  <si>
    <t>BABY FEEDING BOTTLE 8OZ</t>
  </si>
  <si>
    <t>4800067051443</t>
  </si>
  <si>
    <t>BABYFLO BOTTLE NURSERY RHYME 8OZ</t>
  </si>
  <si>
    <t>4800067048962</t>
  </si>
  <si>
    <t xml:space="preserve">BABYFLO BOTTLE PLAYTIME NURSERY 12 OZ </t>
  </si>
  <si>
    <t>0710535987874</t>
  </si>
  <si>
    <t>BELLE MICROWAVE SAFE CONTAINERS 500ML 10S</t>
  </si>
  <si>
    <t>888123456781634</t>
  </si>
  <si>
    <t>BEST SILICONE NIPPLE LARGE 6 MOS &amp; ABOVE</t>
  </si>
  <si>
    <t>888123456781863</t>
  </si>
  <si>
    <t>BEST SILICONE NIPPLE MEDIUM 3 TO 7 MONTHS</t>
  </si>
  <si>
    <t>888123456781862</t>
  </si>
  <si>
    <t>BEST SILICONE NIPPLE SMALL 0 TO 3 MONTHS</t>
  </si>
  <si>
    <t>4806502161364</t>
  </si>
  <si>
    <t>CHEERS TRASH BAG LARGE 10 BAGS</t>
  </si>
  <si>
    <t>4806502161371</t>
  </si>
  <si>
    <t>CHEERS TRASH BAG X-LARGE 10 BAGS</t>
  </si>
  <si>
    <t>888123456781291</t>
  </si>
  <si>
    <t>CHICHARON</t>
  </si>
  <si>
    <t>4800065113112</t>
  </si>
  <si>
    <t>COMMANDO SAFETY MATCHES 10S</t>
  </si>
  <si>
    <t>4806523175838</t>
  </si>
  <si>
    <t>DIARY OF A PULUBI BOOK</t>
  </si>
  <si>
    <t>888123456781289</t>
  </si>
  <si>
    <t>ECO BAG</t>
  </si>
  <si>
    <t>888123456781288</t>
  </si>
  <si>
    <t>ECO BAG BLUE LARGE</t>
  </si>
  <si>
    <t>888123456781954</t>
  </si>
  <si>
    <t>ECO BAG LARGE</t>
  </si>
  <si>
    <t>888123456781953</t>
  </si>
  <si>
    <t>ECO BAG MEDIUM</t>
  </si>
  <si>
    <t>888123456781528</t>
  </si>
  <si>
    <t>ECO BAG XL</t>
  </si>
  <si>
    <t>888123456781577</t>
  </si>
  <si>
    <t xml:space="preserve">GAS LITE BBQ GRILL SET </t>
  </si>
  <si>
    <t>4800888606709</t>
  </si>
  <si>
    <t>GERM KILL KIT 3000L</t>
  </si>
  <si>
    <t>888123456781793</t>
  </si>
  <si>
    <t>GOLDEN DEER PLASTIC BAG LARGE</t>
  </si>
  <si>
    <t>888123456781224</t>
  </si>
  <si>
    <t>GOLDEN DEER PLASTIC BAG MINI</t>
  </si>
  <si>
    <t>888123456781779</t>
  </si>
  <si>
    <t>GOLDEN DEER PLASTIC BAG TINY</t>
  </si>
  <si>
    <t>888123456781764</t>
  </si>
  <si>
    <t>HOUSEHOLD GLOVES LARGE</t>
  </si>
  <si>
    <t>888123456781913</t>
  </si>
  <si>
    <t>JILLY TURMERIC GINGER TEA 150G</t>
  </si>
  <si>
    <t>888123456781472</t>
  </si>
  <si>
    <t>MIKKO CLING WRAP</t>
  </si>
  <si>
    <t>888123456781285</t>
  </si>
  <si>
    <t>MSC MALUNGAY TEA 15 TEA BAGS</t>
  </si>
  <si>
    <t>Expired 12/2021</t>
  </si>
  <si>
    <t>888123456781912</t>
  </si>
  <si>
    <t>MSC PROMO PACK</t>
  </si>
  <si>
    <t>888123456781235</t>
  </si>
  <si>
    <t>MSC RICE COFFEE 100G</t>
  </si>
  <si>
    <t>Expired 11/2020</t>
  </si>
  <si>
    <t>4806523176392</t>
  </si>
  <si>
    <t>MY IPON DIARY BOOK</t>
  </si>
  <si>
    <t>4806535990016</t>
  </si>
  <si>
    <t>ONE OPTI JUICE 30G</t>
  </si>
  <si>
    <t>888123456781326</t>
  </si>
  <si>
    <t>PAPER CUPS 10 OZ</t>
  </si>
  <si>
    <t>888123456781638</t>
  </si>
  <si>
    <t>PLASTIC BAG 5X10 1000S</t>
  </si>
  <si>
    <t>888123456781080</t>
  </si>
  <si>
    <t>RC PLASTIC BAG MEDIUM</t>
  </si>
  <si>
    <t>888123456781201</t>
  </si>
  <si>
    <t>ROLL X HD BAG 10X14</t>
  </si>
  <si>
    <t>4800155010550</t>
  </si>
  <si>
    <t>ROYAL CLING WRAP</t>
  </si>
  <si>
    <t>888123456781806</t>
  </si>
  <si>
    <t>SCENTED CANDLE ASSORTED</t>
  </si>
  <si>
    <t>888123456781379</t>
  </si>
  <si>
    <t>SUKI CLING WRAP JUMBO</t>
  </si>
  <si>
    <t>4809014547473</t>
  </si>
  <si>
    <t>SUNWAY MICROWAVABLE RECTANGLE 500ML</t>
  </si>
  <si>
    <t>888123456781792</t>
  </si>
  <si>
    <t xml:space="preserve">SUPER STAR WHITE BUNDLE 20X30 </t>
  </si>
  <si>
    <t>4806525912271</t>
  </si>
  <si>
    <t>TRIGEM MICROWAVABLE PLASTIC CONTAINER 750</t>
  </si>
  <si>
    <t>4806525912288</t>
  </si>
  <si>
    <t>TRIGEM MICROWAVABLE PLASTIC CONTAINER RE1000 10S</t>
  </si>
  <si>
    <t>888123456781377</t>
  </si>
  <si>
    <t>VERSA ALUMINUM FOIL JUMBO ROLL</t>
  </si>
  <si>
    <t>SUPER MORINGA PRODUCTS</t>
  </si>
  <si>
    <t>4809015665916</t>
  </si>
  <si>
    <t>SUPER MORINGA 7IN1 BOTANICAL LUYANG DILAW 60ML</t>
  </si>
  <si>
    <t>4809015665206</t>
  </si>
  <si>
    <t>SUPER MORINGA CALMING OIL 10ML</t>
  </si>
  <si>
    <t>4809015665954</t>
  </si>
  <si>
    <t>SUPER MORINGA GLUTA KOJIC 135G</t>
  </si>
  <si>
    <t>4809015665039</t>
  </si>
  <si>
    <t>SUPER MORINGA GREEN COFFEE 10X21G</t>
  </si>
  <si>
    <t>4809015665961</t>
  </si>
  <si>
    <t>SUPER MORINGA GUAVA &amp; TEA TREE SOAP 135G</t>
  </si>
  <si>
    <t>4809015665022</t>
  </si>
  <si>
    <t>SUPER MORINGA HERBAL COFFEE 10X21G</t>
  </si>
  <si>
    <t>888123456781560</t>
  </si>
  <si>
    <t>SUPER MORINGA HERBAL CREAM 25G</t>
  </si>
  <si>
    <t>4809015665152</t>
  </si>
  <si>
    <t>SUPER MORINGA ISOPROPYL ALCOHOL 70% SOL 100ML</t>
  </si>
  <si>
    <t>4809015665305</t>
  </si>
  <si>
    <t>SUPER MORINGA MOISTURIZING MASSAGE GEL</t>
  </si>
  <si>
    <t>4809015665312</t>
  </si>
  <si>
    <t>SUPER MORINGA MOISTURIZING MASSAGE OIL 60ML</t>
  </si>
  <si>
    <t>SCHOOL SUPPLIES</t>
  </si>
  <si>
    <t>4806021302040</t>
  </si>
  <si>
    <t>2 HOLE JOY PUNCHER</t>
  </si>
  <si>
    <t>4806021300053</t>
  </si>
  <si>
    <t>BINDER CLIP BIG</t>
  </si>
  <si>
    <t>4806021316931</t>
  </si>
  <si>
    <t>BINDER CLIP SMALL</t>
  </si>
  <si>
    <t>200035</t>
  </si>
  <si>
    <t>BRITE FASTENER #8 1/2</t>
  </si>
  <si>
    <t>200036</t>
  </si>
  <si>
    <t>BROWN ENVELOPE - LONG</t>
  </si>
  <si>
    <t>200037</t>
  </si>
  <si>
    <t>BROWN ENVELOPE - SHORT</t>
  </si>
  <si>
    <t>200006</t>
  </si>
  <si>
    <t>COLORED FOLDER LONG - VIOLET</t>
  </si>
  <si>
    <t>200003</t>
  </si>
  <si>
    <t>COLORED FOLDER LONG - YELLOW</t>
  </si>
  <si>
    <t>200009</t>
  </si>
  <si>
    <t>COLORED FOLDER SHORT - RED</t>
  </si>
  <si>
    <t>200010</t>
  </si>
  <si>
    <t>COLORED FOLDER SHORT - YELLOW</t>
  </si>
  <si>
    <t>4806021388082</t>
  </si>
  <si>
    <t>CORRECTION TAPE JOY</t>
  </si>
  <si>
    <t>8802203648315</t>
  </si>
  <si>
    <t>DONG-A REFILL .7</t>
  </si>
  <si>
    <t>200016</t>
  </si>
  <si>
    <t>EXPANDING FOLDER SHORT - PINK</t>
  </si>
  <si>
    <t>200018</t>
  </si>
  <si>
    <t>EXPANDING FOLDER SHORT - ROYAL BLUE</t>
  </si>
  <si>
    <t>200038</t>
  </si>
  <si>
    <t>FOLDER WHITE - LONG 14PTS</t>
  </si>
  <si>
    <t>200049</t>
  </si>
  <si>
    <t>HBW MATRIX BALLPEN RED</t>
  </si>
  <si>
    <t>6926341889729</t>
  </si>
  <si>
    <t xml:space="preserve">HBW STAMP PAD #3 </t>
  </si>
  <si>
    <t>4802870729288</t>
  </si>
  <si>
    <t>MAX STAPLER W/ REMOVER</t>
  </si>
  <si>
    <t>4806502211137</t>
  </si>
  <si>
    <t>OFFICE PRO - A4 SUBS 20</t>
  </si>
  <si>
    <t>200040</t>
  </si>
  <si>
    <t>PAID STAMP W/ DATE</t>
  </si>
  <si>
    <t>200041</t>
  </si>
  <si>
    <t>PAPER CLIP GATOR 50MM</t>
  </si>
  <si>
    <t>8993242596726</t>
  </si>
  <si>
    <t>PERFECT PRINT BONDPAPER SHORT</t>
  </si>
  <si>
    <t>4902505088827</t>
  </si>
  <si>
    <t>PILOT WYTEBORD MARKER BLACK</t>
  </si>
  <si>
    <t>200021</t>
  </si>
  <si>
    <t>PLASTIC FOLDER LONG - BLUE</t>
  </si>
  <si>
    <t>200022</t>
  </si>
  <si>
    <t>PLASTIC FOLDER LONG - PINK</t>
  </si>
  <si>
    <t>200023</t>
  </si>
  <si>
    <t>PLASTIC FOLDER LONG - RED</t>
  </si>
  <si>
    <t>200025</t>
  </si>
  <si>
    <t>PLASTIC FOLDER LONG - YELLOW</t>
  </si>
  <si>
    <t>6923980330124</t>
  </si>
  <si>
    <t>RECEIVED STAMP W/ DATE</t>
  </si>
  <si>
    <t>&gt;</t>
  </si>
  <si>
    <t>6925722100514</t>
  </si>
  <si>
    <t>STAPLE WIRE #10</t>
  </si>
  <si>
    <t>NOT IN LIST</t>
  </si>
  <si>
    <t>4807770122712</t>
  </si>
  <si>
    <t>MONDE CHOCO PUFF PACK</t>
  </si>
  <si>
    <t>4800818801761</t>
  </si>
  <si>
    <t>PRETZEE CHOCOLATE 21G</t>
  </si>
  <si>
    <t>4800116043023</t>
  </si>
  <si>
    <t>BUTTER CREAM CRACKERS</t>
  </si>
  <si>
    <t>4807770101076</t>
  </si>
  <si>
    <t>NISSIN CUBEE WAFER 25G</t>
  </si>
  <si>
    <t>021169</t>
  </si>
  <si>
    <t>GT ORIGINAL</t>
  </si>
  <si>
    <t>022314</t>
  </si>
  <si>
    <t>LD BACON SPREAD</t>
  </si>
  <si>
    <t>SAFEGUARD IVORY WHITE CARE 135G</t>
  </si>
  <si>
    <t>4800067600474</t>
  </si>
  <si>
    <t xml:space="preserve">ALBATROSS KIWI </t>
  </si>
  <si>
    <t>PP BAGS</t>
  </si>
  <si>
    <t>902430453295</t>
  </si>
  <si>
    <t>9555222605058</t>
  </si>
  <si>
    <t>GLADE</t>
  </si>
  <si>
    <t>610687</t>
  </si>
  <si>
    <t>FAMILY GUARD DISINFECT FRESH FLORAL 155 ML</t>
  </si>
  <si>
    <t>SCOTH BRITE</t>
  </si>
  <si>
    <t>CONVIE M.M ORANGE 200ML</t>
  </si>
  <si>
    <t>SUPER MORINGA SUPER FRESH CREAM</t>
  </si>
  <si>
    <t>REXONA POWDER DRY 25ML</t>
  </si>
  <si>
    <t>4809014971032</t>
  </si>
  <si>
    <t>GARIN ENTERPRISE MURIATIC ACID</t>
  </si>
  <si>
    <t>TOP BRIGHT FABRIC CONDITIONER</t>
  </si>
  <si>
    <t>0745125093543</t>
  </si>
  <si>
    <t>TURMERIC 150G</t>
  </si>
  <si>
    <t>EXPIRED MAY 2025</t>
  </si>
  <si>
    <t>4806513800146</t>
  </si>
  <si>
    <t>FAFAFA LONGKOU VERMICELI</t>
  </si>
  <si>
    <t>EXPIRED OCT 2023</t>
  </si>
  <si>
    <t>COKE IN CAN ORIG</t>
  </si>
  <si>
    <t>FEMME DÉCOR BATHROOM TISSUE 12 ROLLS</t>
  </si>
  <si>
    <t>MADILAW</t>
  </si>
  <si>
    <t>ZONROX LEMON 250ML</t>
  </si>
  <si>
    <t>WING TOTAL CARE W/ FABCON</t>
  </si>
  <si>
    <t>4809013542028</t>
  </si>
  <si>
    <t>GOLDEN COOLERS</t>
  </si>
  <si>
    <t>4800361380140</t>
  </si>
  <si>
    <t>NESTEA LEMON</t>
  </si>
  <si>
    <t>4800194153225</t>
  </si>
  <si>
    <t>OISHI BREAD FUN SAVORY TOASTED</t>
  </si>
  <si>
    <t>105972</t>
  </si>
  <si>
    <t>OISHI CARAMEL POPCORN</t>
  </si>
  <si>
    <t>550420</t>
  </si>
  <si>
    <t>RICHNUTS</t>
  </si>
  <si>
    <t>215044</t>
  </si>
  <si>
    <t>110001</t>
  </si>
  <si>
    <t>164868</t>
  </si>
  <si>
    <t>MINUTE MAID ORANGE 180ML</t>
  </si>
  <si>
    <t>4800034017441</t>
  </si>
  <si>
    <t>HAPEE 55G BLUE</t>
  </si>
  <si>
    <t>4800014601664</t>
  </si>
  <si>
    <t>HAPEE 30G</t>
  </si>
  <si>
    <t>DELICIOUS SULIT PLUS SPAGHETTI 400G</t>
  </si>
  <si>
    <t>4806500470352</t>
  </si>
  <si>
    <t>DELICIOUS FAVORITO 400G</t>
  </si>
  <si>
    <t>KNORR SINIGANG SA SAMPALOK GAB1</t>
  </si>
  <si>
    <t>DON FRANK GULAMAN RED</t>
  </si>
  <si>
    <t>4800086046598</t>
  </si>
  <si>
    <t>SEL CHOCO ALMOND FUDGE 475ML</t>
  </si>
  <si>
    <t>4800116016003</t>
  </si>
  <si>
    <t>OTC SUNFLOWER CRACKERS STRAWBERRY 27G</t>
  </si>
  <si>
    <t>4808680021805</t>
  </si>
  <si>
    <t>LADYS CHOICE REAL MAYONNAISE 3.5L</t>
  </si>
  <si>
    <t>4800139990212</t>
  </si>
  <si>
    <t>JELLIYUM ICE POP 8PCS</t>
  </si>
  <si>
    <t>4800361393744</t>
  </si>
  <si>
    <t>NESCAFE CLASSIC DECAF</t>
  </si>
  <si>
    <t>4800888602268</t>
  </si>
  <si>
    <t>LADYS CHOICE REAL MAYONNAISE DOYPACK 220ML</t>
  </si>
  <si>
    <t>4804888804868</t>
  </si>
  <si>
    <t>MAMA SITAS OYSTER SAUCE 4.2KG</t>
  </si>
  <si>
    <t>4806502720172</t>
  </si>
  <si>
    <t>GAR BUTTER TOAST 2-SLICE PACK 50G</t>
  </si>
  <si>
    <t>4807770122705</t>
  </si>
  <si>
    <t>OTC MONDE CHOCO PUFF</t>
  </si>
  <si>
    <t>4809012413244</t>
  </si>
  <si>
    <t>KATINKO OIL LINIMENT 10ML</t>
  </si>
  <si>
    <t>750515030152</t>
  </si>
  <si>
    <t>OTC SKYFLAKES GARLIC 25G</t>
  </si>
  <si>
    <t>OTC SKYFLAKES ONION &amp; CHIVES 25G</t>
  </si>
  <si>
    <t>888123456781858</t>
  </si>
  <si>
    <t>OTC DYNAMITE MELON MINT RETAIL</t>
  </si>
  <si>
    <t>999055</t>
  </si>
  <si>
    <t>CONVIE SWIVEL CHAIR</t>
  </si>
  <si>
    <t>999056</t>
  </si>
  <si>
    <t>CONVIE OX WALL MOUNTED AIRCON 3.0HP</t>
  </si>
  <si>
    <t>999061</t>
  </si>
  <si>
    <t>CONVIE EXCESS COPPER TUBE</t>
  </si>
  <si>
    <t>999040</t>
  </si>
  <si>
    <t>CONVIE WATER DISPENSER -HFSWD 750SS</t>
  </si>
  <si>
    <t>4806512022051</t>
  </si>
  <si>
    <t>MAMA SITAS BARBECUE MARINADE 150ML</t>
  </si>
  <si>
    <t>750515021358</t>
  </si>
  <si>
    <t>M.Y. SAN GRAHAMS CRUSHED HONEY GRAHAM CRACKERS 200G</t>
  </si>
  <si>
    <t>4800361428408</t>
  </si>
  <si>
    <t>NESCAFE CLASSIC 48STCKS 91.2G</t>
  </si>
  <si>
    <t>4809010249845</t>
  </si>
  <si>
    <t>HAILEYS TAWAS POWDER BRIGTENING 50G</t>
  </si>
  <si>
    <t>4806513103353</t>
  </si>
  <si>
    <t>HAILEYS TAWAS POWDER UNSCENTED 50G</t>
  </si>
  <si>
    <t>4806513103018</t>
  </si>
  <si>
    <t>HAILEYS TAWAS POWDER SOFT &amp; SCENTED 50G</t>
  </si>
  <si>
    <t>4806502359709</t>
  </si>
  <si>
    <t>TISYU CORELESS TWIN 2PLY</t>
  </si>
  <si>
    <t>4987176345684</t>
  </si>
  <si>
    <t xml:space="preserve">TIDE EXPERT CLEAN </t>
  </si>
  <si>
    <t>4987176285249</t>
  </si>
  <si>
    <t>JOY LEMON DISHWASHING LIQUID 540ML</t>
  </si>
  <si>
    <t>4987176285232</t>
  </si>
  <si>
    <t>JOY KALAMANSI DISHWASHING LIQUID 540ML</t>
  </si>
  <si>
    <t>4987176361684</t>
  </si>
  <si>
    <t>JOY KALAMANSI DISWASHING LIQUID 475ML</t>
  </si>
  <si>
    <t>4987176361660</t>
  </si>
  <si>
    <t>JOY LEMON DISWASHING LIQUID 475ML</t>
  </si>
  <si>
    <t>4987176363411</t>
  </si>
  <si>
    <t>DOWNY COTTON FRESH 24ML</t>
  </si>
  <si>
    <t>4800116054128</t>
  </si>
  <si>
    <t>LOBO BISCUITS ORIGINAL</t>
  </si>
  <si>
    <t>4800116150028</t>
  </si>
  <si>
    <t>LOBO SUPREME BISCUITS</t>
  </si>
  <si>
    <t>4806502720080</t>
  </si>
  <si>
    <t>GAR PREMIUM PANDESAL 350G</t>
  </si>
  <si>
    <t>4800047847295</t>
  </si>
  <si>
    <t>ZONROX MULTI CLEAN FLORAL BLAST 450ML</t>
  </si>
  <si>
    <t>4800047841415</t>
  </si>
  <si>
    <t>DEL FABRIC SOFTENER SHOWER FRESH 1000ML</t>
  </si>
  <si>
    <t>4800047841422</t>
  </si>
  <si>
    <t>DEL FABRIC SOFTENER LAVENDER BREEZE 1000ML</t>
  </si>
  <si>
    <t>DIFF BARCODE</t>
  </si>
  <si>
    <t>4800047841408</t>
  </si>
  <si>
    <t>DEL FABRIC SOFTENER BLOSSOM FRESH 1000ML</t>
  </si>
  <si>
    <t>SEL SHOYU CARAMEL 450ML</t>
  </si>
  <si>
    <t>Overage will be adjusted to the system while shortage will be charge to the accountable staff/s.</t>
  </si>
  <si>
    <t>TERESITA B. OLAR</t>
  </si>
  <si>
    <t>JENNY-LYN R. GANIGAN</t>
  </si>
  <si>
    <t>ACTING BOOKEEPER</t>
  </si>
  <si>
    <t>ACCOUNTING SUPERVISOR</t>
  </si>
  <si>
    <t>FINANCE, ACCTG &amp; ADMIN MANAGER/OPERATIONS MANAGER</t>
  </si>
  <si>
    <t>VARIANCE BREAKDOWN (CONVIE)</t>
  </si>
  <si>
    <t>DATE</t>
  </si>
  <si>
    <t>SUPPLIER</t>
  </si>
  <si>
    <t>PARTICULAR</t>
  </si>
  <si>
    <t>ACRO DISTRIBUTION AND LOGISTICS, INC.</t>
  </si>
  <si>
    <t>PC/S</t>
  </si>
  <si>
    <t>PACK/S</t>
  </si>
  <si>
    <t>PROS MARKETING &amp; PHARMAPLUS DRUGSTORE</t>
  </si>
  <si>
    <t>PADSA ENTERPRISES CORPORATION</t>
  </si>
  <si>
    <t>4800086051042</t>
  </si>
  <si>
    <t>IBEST CORPORATION</t>
  </si>
  <si>
    <t>KIMBERLIN ENTERPRISES</t>
  </si>
  <si>
    <t>EDELIAS MARKETING</t>
  </si>
  <si>
    <t>BUTTER CREAM CRACKERS 10X25G</t>
  </si>
  <si>
    <t>4806526074305</t>
  </si>
  <si>
    <t>SUNFLOWER SEEDS 13GX20PCS</t>
  </si>
  <si>
    <t>RETAIL</t>
  </si>
  <si>
    <t>PULL OUT</t>
  </si>
  <si>
    <t>UNIT</t>
  </si>
  <si>
    <t>4800086045973</t>
  </si>
  <si>
    <t>SEL WATERMELON SLICE STICK 60ML</t>
  </si>
  <si>
    <t>4809011681392</t>
  </si>
  <si>
    <t>DELICIOUS SPAGHETTI 400G</t>
  </si>
  <si>
    <t>EXPIRED MAY 2025- 100PCS</t>
  </si>
  <si>
    <t>TRANSACTION NO:</t>
  </si>
  <si>
    <t>DESCRIPTION</t>
  </si>
  <si>
    <t>QTY.</t>
  </si>
  <si>
    <t>COST PRICE</t>
  </si>
  <si>
    <t>UNIT PRICE</t>
  </si>
  <si>
    <t xml:space="preserve">CASH SALE </t>
  </si>
  <si>
    <t>4807770121326</t>
  </si>
  <si>
    <t>OTC MONDE SPECIAL MAMON CLASSIC 43G</t>
  </si>
  <si>
    <t>75051030176</t>
  </si>
  <si>
    <t>OTC SKYFLAKES ONION &amp; CHIVES</t>
  </si>
  <si>
    <t>4800086050267</t>
  </si>
  <si>
    <t>SEL ORANGE BLAST 45ML</t>
  </si>
  <si>
    <t>750515031029</t>
  </si>
  <si>
    <t>OTC SKYFLAKES TSOKOLATE</t>
  </si>
  <si>
    <t>750515030176</t>
  </si>
  <si>
    <t>4800086050168</t>
  </si>
  <si>
    <t>SEL CRUNCHY MAX 65ML</t>
  </si>
  <si>
    <t>4806517042061</t>
  </si>
  <si>
    <t>GOYA BAR CREAM WHITE CHOCOLATE 38G</t>
  </si>
  <si>
    <t>4800116077004</t>
  </si>
  <si>
    <t>OTC BUTTER CREAM CHOCOLATE CRACKERS 25G</t>
  </si>
  <si>
    <t>4806500802450</t>
  </si>
  <si>
    <t>MAGIC PANTS DIAPERS PULL-UPS 30S-XL</t>
  </si>
  <si>
    <t>4800116099006</t>
  </si>
  <si>
    <t>OTC BUTTER CREAM ENSAYMADA 25G</t>
  </si>
  <si>
    <t>888123456782039</t>
  </si>
  <si>
    <t>OTC SUPERLAMIG PEPPERMINT</t>
  </si>
  <si>
    <t>4806506151118</t>
  </si>
  <si>
    <t>SOFT N WHITE TRAVEL PACK 2PLY 50PULLS</t>
  </si>
  <si>
    <t>93682961</t>
  </si>
  <si>
    <t>M&amp;M'S MILK CHOCOLATE 40G</t>
  </si>
  <si>
    <t>93682978</t>
  </si>
  <si>
    <t>M&amp;M'S PEANUT 40G</t>
  </si>
  <si>
    <t>4806500802429</t>
  </si>
  <si>
    <t>MAGIC PANTS PULL-UPS XL 10S</t>
  </si>
  <si>
    <t>4806500802351</t>
  </si>
  <si>
    <t>MAGIC PANTS DIAPERS PULL-UPS 30PCS-LARGE</t>
  </si>
  <si>
    <t>750515031043</t>
  </si>
  <si>
    <t>OTC SKYFLAKES CONDENSADA</t>
  </si>
  <si>
    <t>4800016021169</t>
  </si>
  <si>
    <t>GREAT TASTE ORIGINAL TWIN PACK 33G</t>
  </si>
  <si>
    <t>888123456781413</t>
  </si>
  <si>
    <t>OTC ICE POP ASSORTED FLAVOR</t>
  </si>
  <si>
    <t>4806026378101</t>
  </si>
  <si>
    <t>SNICKERS CLASSIC BUY2SAVE15</t>
  </si>
  <si>
    <t>4806526070093</t>
  </si>
  <si>
    <t>HELLO KITTY SOFT CANDY 30PCS</t>
  </si>
  <si>
    <t>4902430381765</t>
  </si>
  <si>
    <t>4800888158925</t>
  </si>
  <si>
    <t>REXONA WOMEN DEO-ROLL ON POWDER DRY 25ML</t>
  </si>
  <si>
    <t>00006</t>
  </si>
  <si>
    <t xml:space="preserve">ACCOUNT RECEIVABLE </t>
  </si>
  <si>
    <t>SALES DISCOUNT</t>
  </si>
  <si>
    <t>NET SALES</t>
  </si>
  <si>
    <t>COGS</t>
  </si>
  <si>
    <t>PURCHASES</t>
  </si>
  <si>
    <t>CV No.</t>
  </si>
  <si>
    <t xml:space="preserve"> QTY </t>
  </si>
  <si>
    <t xml:space="preserve"> UNIT PRICE </t>
  </si>
  <si>
    <t xml:space="preserve"> PURCHASES </t>
  </si>
  <si>
    <t>WING-AN MARKETING INC.</t>
  </si>
  <si>
    <t>AS-LS DISTRIBUTORS</t>
  </si>
  <si>
    <t>FLORDELIZA S. ANTONIO</t>
  </si>
  <si>
    <t>CHIP ACCENDO ENTERPRISES INC.</t>
  </si>
  <si>
    <t>SNICKERS CLASSIC 35G</t>
  </si>
  <si>
    <t>M&amp;MS PEANUT 40G</t>
  </si>
  <si>
    <t>M&amp;MS MILK CHOCOLATE 40G</t>
  </si>
  <si>
    <t>MAGIC PANTS PULL-UPS MEDIUM 10PCS</t>
  </si>
  <si>
    <t>MAGIC PANTS PULL-UPS LARGE 10S</t>
  </si>
  <si>
    <t>MAGIC PANTS DIAPERS PULL-UPS 30PCS-XXXL</t>
  </si>
  <si>
    <t>MAGIC PANTS DIAPERS PULL-UPS 30PCS-MEDIUM</t>
  </si>
  <si>
    <t>MAGIC PANTS PULL-UPS 10S-XXXL</t>
  </si>
  <si>
    <t>SOFT N WHITE EASY PACK 2PLY 40PULLS</t>
  </si>
  <si>
    <t>NESTLE BEARBRAND CHOCO SWAK PACK 29G</t>
  </si>
  <si>
    <t>MAXIPLUS MARKETING CORPORATION</t>
  </si>
  <si>
    <t>GC ETHYL ALCOHOL W/ MOIST 70% 500ML W/ FREE GC BAR 55G</t>
  </si>
  <si>
    <t>SEL SOLO PACK COFFEE CRUMBLE 475ML</t>
  </si>
  <si>
    <t>SEL SOLO PACK PISTACHIO &amp; CASHEW 475ML</t>
  </si>
  <si>
    <t>SUNFLOWER CREAM SANDWICH BLUEBERRY 10X27G</t>
  </si>
  <si>
    <t>BUTTER CREAM MACAROON CRACKERS 250G</t>
  </si>
  <si>
    <t>69024894</t>
  </si>
  <si>
    <t>4806500802221</t>
  </si>
  <si>
    <t>4806500802320</t>
  </si>
  <si>
    <t>4806500802658</t>
  </si>
  <si>
    <t>4806500802252</t>
  </si>
  <si>
    <t>4806500802627</t>
  </si>
  <si>
    <t>4806506150258</t>
  </si>
  <si>
    <t>4800361409117</t>
  </si>
  <si>
    <t>4800047820304</t>
  </si>
  <si>
    <t>4800086043634</t>
  </si>
  <si>
    <t>4800086043641</t>
  </si>
  <si>
    <t>4800116024022</t>
  </si>
  <si>
    <t>4800116133021</t>
  </si>
  <si>
    <t>PCS</t>
  </si>
  <si>
    <t>4809011 681392</t>
  </si>
  <si>
    <t>480652 6074305</t>
  </si>
  <si>
    <t>480036 1410892</t>
  </si>
  <si>
    <t>SAFEGUARD CLASSIC BEIGE</t>
  </si>
  <si>
    <t>GATORADE BLUE BOLT 1L</t>
  </si>
  <si>
    <t xml:space="preserve">DOWNY GARDEN BLOOM </t>
  </si>
  <si>
    <t>RED HORSE BEER  INCAN</t>
  </si>
  <si>
    <t>OVER 1 SALES</t>
  </si>
  <si>
    <t>OVER 12 SALES</t>
  </si>
  <si>
    <t>over 3 SALES</t>
  </si>
  <si>
    <t>over 21 sales</t>
  </si>
  <si>
    <t>over 13 sales</t>
  </si>
  <si>
    <t>over 15 sales</t>
  </si>
  <si>
    <t>over 14 sales</t>
  </si>
  <si>
    <t>over 6 sales</t>
  </si>
  <si>
    <t>over 9 sales</t>
  </si>
  <si>
    <t>over 8 sales</t>
  </si>
  <si>
    <t>over 11 sales</t>
  </si>
  <si>
    <t>OVER 6 SALES</t>
  </si>
  <si>
    <t>OVER 9SALES</t>
  </si>
  <si>
    <t>over 1 sales</t>
  </si>
  <si>
    <t>over 1 sale</t>
  </si>
  <si>
    <t>CREAMSILK KERATIN &amp; REBOND</t>
  </si>
  <si>
    <t>overr 3 sales</t>
  </si>
  <si>
    <t>0ver 36sales</t>
  </si>
  <si>
    <t>over 137 sale</t>
  </si>
  <si>
    <t>x</t>
  </si>
  <si>
    <t>ANGELIKA B. MANUCOT</t>
  </si>
  <si>
    <t>1 KINALNGUYAN</t>
  </si>
  <si>
    <t>2 KILANGUYAN</t>
  </si>
  <si>
    <t>AS OF JULY 2026</t>
  </si>
  <si>
    <t>ANGELA G. RAYMUNDO    /     MICHAEL S. GUTIERREZ</t>
  </si>
  <si>
    <t>JENNY-LYN GANIGAN</t>
  </si>
  <si>
    <t>Actual Count JUNE 2026</t>
  </si>
  <si>
    <t>07/01/2026</t>
  </si>
  <si>
    <t>07/02/2026</t>
  </si>
  <si>
    <t>07/03/2026</t>
  </si>
  <si>
    <t>07/04/2026</t>
  </si>
  <si>
    <t>07/05/2026</t>
  </si>
  <si>
    <t>07/06/2026</t>
  </si>
  <si>
    <t>07/07/2026</t>
  </si>
  <si>
    <t>8997035600010</t>
  </si>
  <si>
    <t>750515018402</t>
  </si>
  <si>
    <t>07/08/2026</t>
  </si>
  <si>
    <t>4806526074299</t>
  </si>
  <si>
    <t>888123456782042</t>
  </si>
  <si>
    <t>07/09/2026</t>
  </si>
  <si>
    <t>999086</t>
  </si>
  <si>
    <t>999093</t>
  </si>
  <si>
    <t>999091</t>
  </si>
  <si>
    <t>999070</t>
  </si>
  <si>
    <t>999080</t>
  </si>
  <si>
    <t>999081</t>
  </si>
  <si>
    <t>999082</t>
  </si>
  <si>
    <t>999083</t>
  </si>
  <si>
    <t>999084</t>
  </si>
  <si>
    <t>999085</t>
  </si>
  <si>
    <t>07/10/2026</t>
  </si>
  <si>
    <t>999003</t>
  </si>
  <si>
    <t>888123456782041</t>
  </si>
  <si>
    <t>07/11/2026</t>
  </si>
  <si>
    <t>07/12/2026</t>
  </si>
  <si>
    <t>07/13/2026</t>
  </si>
  <si>
    <t>4800116131003</t>
  </si>
  <si>
    <t>4800116024008</t>
  </si>
  <si>
    <t>07/14/2026</t>
  </si>
  <si>
    <t>07/15/2026</t>
  </si>
  <si>
    <t>999087</t>
  </si>
  <si>
    <t>07/16/2026</t>
  </si>
  <si>
    <t>07/17/2026</t>
  </si>
  <si>
    <t>07/18/2026</t>
  </si>
  <si>
    <t>8998389124160</t>
  </si>
  <si>
    <t>888123456782053</t>
  </si>
  <si>
    <t>888123456782056</t>
  </si>
  <si>
    <t>07/19/2026</t>
  </si>
  <si>
    <t>07/20/2026</t>
  </si>
  <si>
    <t>888123456782054</t>
  </si>
  <si>
    <t>8992760121021</t>
  </si>
  <si>
    <t>4806502720219</t>
  </si>
  <si>
    <t>4800888605078</t>
  </si>
  <si>
    <t>888123456782059</t>
  </si>
  <si>
    <t>07/21/2026</t>
  </si>
  <si>
    <t>8992760223039</t>
  </si>
  <si>
    <t>07/22/2026</t>
  </si>
  <si>
    <t>888123456782051</t>
  </si>
  <si>
    <t>07/23/2026</t>
  </si>
  <si>
    <t>4800116137029</t>
  </si>
  <si>
    <t>4800552888103</t>
  </si>
  <si>
    <t>07/24/2026</t>
  </si>
  <si>
    <t>999088</t>
  </si>
  <si>
    <t>999069</t>
  </si>
  <si>
    <t>888123456782057</t>
  </si>
  <si>
    <t>888123456782055</t>
  </si>
  <si>
    <t>07/25/2026</t>
  </si>
  <si>
    <t>4806518844022</t>
  </si>
  <si>
    <t>07/26/2026</t>
  </si>
  <si>
    <t>07/27/2026</t>
  </si>
  <si>
    <t>888123456782043</t>
  </si>
  <si>
    <t>888123456782023</t>
  </si>
  <si>
    <t>4800047861406</t>
  </si>
  <si>
    <t>888123456782052</t>
  </si>
  <si>
    <t>4800047865275</t>
  </si>
  <si>
    <t>999068</t>
  </si>
  <si>
    <t>999073</t>
  </si>
  <si>
    <t>0-145208</t>
  </si>
  <si>
    <t>0-145209</t>
  </si>
  <si>
    <t>0-145210</t>
  </si>
  <si>
    <t>0-145211</t>
  </si>
  <si>
    <t>0-145213</t>
  </si>
  <si>
    <t>0-145216</t>
  </si>
  <si>
    <t>0-145218</t>
  </si>
  <si>
    <t>0-145219</t>
  </si>
  <si>
    <t>0-145220</t>
  </si>
  <si>
    <t>0-145222</t>
  </si>
  <si>
    <t>0-145224</t>
  </si>
  <si>
    <t>0-145225</t>
  </si>
  <si>
    <t>0-145229</t>
  </si>
  <si>
    <t>0-145230</t>
  </si>
  <si>
    <t>0-145236</t>
  </si>
  <si>
    <t>0-145237</t>
  </si>
  <si>
    <t>0-145238</t>
  </si>
  <si>
    <t>0-145239</t>
  </si>
  <si>
    <t>0-145242</t>
  </si>
  <si>
    <t>0-145243</t>
  </si>
  <si>
    <t>0-145244</t>
  </si>
  <si>
    <t>0-145246</t>
  </si>
  <si>
    <t>0-145247</t>
  </si>
  <si>
    <t>0-145248</t>
  </si>
  <si>
    <t>0-145249</t>
  </si>
  <si>
    <t>0-145250</t>
  </si>
  <si>
    <t>0-145251</t>
  </si>
  <si>
    <t>0-145253</t>
  </si>
  <si>
    <t>0-145256</t>
  </si>
  <si>
    <t>0-145257</t>
  </si>
  <si>
    <t>0-145258</t>
  </si>
  <si>
    <t>0-145259</t>
  </si>
  <si>
    <t>0-145260</t>
  </si>
  <si>
    <t>0-145261</t>
  </si>
  <si>
    <t>0-145262</t>
  </si>
  <si>
    <t>0-145263</t>
  </si>
  <si>
    <t>0-145266</t>
  </si>
  <si>
    <t>0-145271</t>
  </si>
  <si>
    <t>0-145272</t>
  </si>
  <si>
    <t>0-145275</t>
  </si>
  <si>
    <t>0-145276</t>
  </si>
  <si>
    <t>0-145278</t>
  </si>
  <si>
    <t>0-145279</t>
  </si>
  <si>
    <t>0-145280</t>
  </si>
  <si>
    <t>0-145284</t>
  </si>
  <si>
    <t>0-145285</t>
  </si>
  <si>
    <t>0-145289</t>
  </si>
  <si>
    <t>0-145291</t>
  </si>
  <si>
    <t>0-145292</t>
  </si>
  <si>
    <t>0-145294</t>
  </si>
  <si>
    <t>0-145295</t>
  </si>
  <si>
    <t>0-145297</t>
  </si>
  <si>
    <t>0-145298</t>
  </si>
  <si>
    <t>0-145299</t>
  </si>
  <si>
    <t>0-145300</t>
  </si>
  <si>
    <t>0-145301</t>
  </si>
  <si>
    <t>0-145303</t>
  </si>
  <si>
    <t>0-145305</t>
  </si>
  <si>
    <t>0-145309</t>
  </si>
  <si>
    <t>0-145312</t>
  </si>
  <si>
    <t>0-145313</t>
  </si>
  <si>
    <t>0-145314</t>
  </si>
  <si>
    <t>0-145315</t>
  </si>
  <si>
    <t>0-145316</t>
  </si>
  <si>
    <t>0-145320</t>
  </si>
  <si>
    <t>0-145322</t>
  </si>
  <si>
    <t>0-145323</t>
  </si>
  <si>
    <t>0-145325</t>
  </si>
  <si>
    <t>0-145326</t>
  </si>
  <si>
    <t>0-145327</t>
  </si>
  <si>
    <t>0-145329</t>
  </si>
  <si>
    <t>0-145330</t>
  </si>
  <si>
    <t>0-145331</t>
  </si>
  <si>
    <t>0-145332</t>
  </si>
  <si>
    <t>0-145333</t>
  </si>
  <si>
    <t>0-145334</t>
  </si>
  <si>
    <t>0-145335</t>
  </si>
  <si>
    <t>0-145337</t>
  </si>
  <si>
    <t>0-145339</t>
  </si>
  <si>
    <t>0-145340</t>
  </si>
  <si>
    <t>0-145342</t>
  </si>
  <si>
    <t>0-145343</t>
  </si>
  <si>
    <t>0-145345</t>
  </si>
  <si>
    <t>0-145346</t>
  </si>
  <si>
    <t>0-145348</t>
  </si>
  <si>
    <t>0-145349</t>
  </si>
  <si>
    <t>0-145350</t>
  </si>
  <si>
    <t>0-145351</t>
  </si>
  <si>
    <t>0-145354</t>
  </si>
  <si>
    <t>0-145357</t>
  </si>
  <si>
    <t>0-145359</t>
  </si>
  <si>
    <t>0-145360</t>
  </si>
  <si>
    <t>0-145361</t>
  </si>
  <si>
    <t>0-145362</t>
  </si>
  <si>
    <t>0-145363</t>
  </si>
  <si>
    <t>0-145364</t>
  </si>
  <si>
    <t>0-145365</t>
  </si>
  <si>
    <t>0-145366</t>
  </si>
  <si>
    <t>0-145367</t>
  </si>
  <si>
    <t>0-145368</t>
  </si>
  <si>
    <t>0-145370</t>
  </si>
  <si>
    <t>0-145371</t>
  </si>
  <si>
    <t>0-145372</t>
  </si>
  <si>
    <t>0-145376</t>
  </si>
  <si>
    <t>0-145377</t>
  </si>
  <si>
    <t>0-145378</t>
  </si>
  <si>
    <t>0-145380</t>
  </si>
  <si>
    <t>0-145381</t>
  </si>
  <si>
    <t>0-145383</t>
  </si>
  <si>
    <t>0-145384</t>
  </si>
  <si>
    <t>0-145385</t>
  </si>
  <si>
    <t>0-145386</t>
  </si>
  <si>
    <t>0-145390</t>
  </si>
  <si>
    <t>0-145391</t>
  </si>
  <si>
    <t>0-145392</t>
  </si>
  <si>
    <t>0-145393</t>
  </si>
  <si>
    <t>0-145394</t>
  </si>
  <si>
    <t>0-145395</t>
  </si>
  <si>
    <t>0-145396</t>
  </si>
  <si>
    <t>0-145397</t>
  </si>
  <si>
    <t>0-145399</t>
  </si>
  <si>
    <t>0-145401</t>
  </si>
  <si>
    <t>0-145402</t>
  </si>
  <si>
    <t>POCARI SWEAT 350ML</t>
  </si>
  <si>
    <t>0-145403</t>
  </si>
  <si>
    <t>0-145404</t>
  </si>
  <si>
    <t>0-145406</t>
  </si>
  <si>
    <t>0-145407</t>
  </si>
  <si>
    <t>0-145408</t>
  </si>
  <si>
    <t>0-145409</t>
  </si>
  <si>
    <t>0-145410</t>
  </si>
  <si>
    <t>0-145412</t>
  </si>
  <si>
    <t>0-145413</t>
  </si>
  <si>
    <t>0-145414</t>
  </si>
  <si>
    <t>0-145415</t>
  </si>
  <si>
    <t>0-145416</t>
  </si>
  <si>
    <t>0-145417</t>
  </si>
  <si>
    <t>OTC SKYFLAKES CRACKERS 25G</t>
  </si>
  <si>
    <t>0-145419</t>
  </si>
  <si>
    <t>0-145421</t>
  </si>
  <si>
    <t>0-145422</t>
  </si>
  <si>
    <t>0-145426</t>
  </si>
  <si>
    <t>0-145429</t>
  </si>
  <si>
    <t>0-145431</t>
  </si>
  <si>
    <t>0-145432</t>
  </si>
  <si>
    <t>0-145433</t>
  </si>
  <si>
    <t>0-145435</t>
  </si>
  <si>
    <t>0-145436</t>
  </si>
  <si>
    <t>0-145437</t>
  </si>
  <si>
    <t>0-145438</t>
  </si>
  <si>
    <t>0-145439</t>
  </si>
  <si>
    <t>0-145441</t>
  </si>
  <si>
    <t>0-145443</t>
  </si>
  <si>
    <t>0-145445</t>
  </si>
  <si>
    <t>0-145446</t>
  </si>
  <si>
    <t>0-145447</t>
  </si>
  <si>
    <t>0-145449</t>
  </si>
  <si>
    <t>OTC SUNFLOWER SEEDS 13G</t>
  </si>
  <si>
    <t>0-145450</t>
  </si>
  <si>
    <t>0-145455</t>
  </si>
  <si>
    <t>0-145456</t>
  </si>
  <si>
    <t>0-145458</t>
  </si>
  <si>
    <t>0-145459</t>
  </si>
  <si>
    <t>OTC O PUFF CHOCO</t>
  </si>
  <si>
    <t>0-145460</t>
  </si>
  <si>
    <t>0-145465</t>
  </si>
  <si>
    <t>0-145466</t>
  </si>
  <si>
    <t>0-145468</t>
  </si>
  <si>
    <t>0-145469</t>
  </si>
  <si>
    <t>0-145470</t>
  </si>
  <si>
    <t>0-145472</t>
  </si>
  <si>
    <t>0-145474</t>
  </si>
  <si>
    <t>0-145476</t>
  </si>
  <si>
    <t>0-145478</t>
  </si>
  <si>
    <t>0-145484</t>
  </si>
  <si>
    <t>0-145487</t>
  </si>
  <si>
    <t>0-145488</t>
  </si>
  <si>
    <t>0-145489</t>
  </si>
  <si>
    <t>0-145490</t>
  </si>
  <si>
    <t>0-145491</t>
  </si>
  <si>
    <t>0-145492</t>
  </si>
  <si>
    <t>0-145493</t>
  </si>
  <si>
    <t>0-145494</t>
  </si>
  <si>
    <t>0-145496</t>
  </si>
  <si>
    <t>0-145497</t>
  </si>
  <si>
    <t>0-145498</t>
  </si>
  <si>
    <t>0-145501</t>
  </si>
  <si>
    <t>0-145502</t>
  </si>
  <si>
    <t>0-145503</t>
  </si>
  <si>
    <t>0-145504</t>
  </si>
  <si>
    <t>0-145505</t>
  </si>
  <si>
    <t>0-145509</t>
  </si>
  <si>
    <t>RBV KAPE DE ILOKO</t>
  </si>
  <si>
    <t>RBV PAPER BAG-3</t>
  </si>
  <si>
    <t>RBV PAPER BAG-1</t>
  </si>
  <si>
    <t>0-145511</t>
  </si>
  <si>
    <t>RBV SANDOK BAO 12"</t>
  </si>
  <si>
    <t>RBV TOASTED MAMON</t>
  </si>
  <si>
    <t>RBV MACAPUNO BALLS</t>
  </si>
  <si>
    <t>RBV BISCOCHO</t>
  </si>
  <si>
    <t>RBV GARLIC BREAD</t>
  </si>
  <si>
    <t>RBV SUKA BALER</t>
  </si>
  <si>
    <t>RBV CHOCO DE ILOKO</t>
  </si>
  <si>
    <t>0-145514</t>
  </si>
  <si>
    <t>0-145515</t>
  </si>
  <si>
    <t>0-145517</t>
  </si>
  <si>
    <t>0-145518</t>
  </si>
  <si>
    <t>0-145519</t>
  </si>
  <si>
    <t>0-145520</t>
  </si>
  <si>
    <t>0-145521</t>
  </si>
  <si>
    <t>0-145522</t>
  </si>
  <si>
    <t>0-145523</t>
  </si>
  <si>
    <t>0-145524</t>
  </si>
  <si>
    <t>0-145525</t>
  </si>
  <si>
    <t>0-145526</t>
  </si>
  <si>
    <t>0-145527</t>
  </si>
  <si>
    <t>0-145528</t>
  </si>
  <si>
    <t>0-145529</t>
  </si>
  <si>
    <t>0-145530</t>
  </si>
  <si>
    <t>0-145531</t>
  </si>
  <si>
    <t>0-145532</t>
  </si>
  <si>
    <t>0-145534</t>
  </si>
  <si>
    <t>0-145535</t>
  </si>
  <si>
    <t>0-145539</t>
  </si>
  <si>
    <t>0-145540</t>
  </si>
  <si>
    <t>0-145542</t>
  </si>
  <si>
    <t>0-145543</t>
  </si>
  <si>
    <t>0-145544</t>
  </si>
  <si>
    <t>0-145546</t>
  </si>
  <si>
    <t>0-145547</t>
  </si>
  <si>
    <t>0-145548</t>
  </si>
  <si>
    <t>CONVIE TV LC LED 5D UR7350</t>
  </si>
  <si>
    <t>0-145549</t>
  </si>
  <si>
    <t>PANI-COATED PEANUTS</t>
  </si>
  <si>
    <t>0-145550</t>
  </si>
  <si>
    <t>0-145551</t>
  </si>
  <si>
    <t>0-145552</t>
  </si>
  <si>
    <t>0-145553</t>
  </si>
  <si>
    <t>0-145554</t>
  </si>
  <si>
    <t>0-145555</t>
  </si>
  <si>
    <t>0-145556</t>
  </si>
  <si>
    <t>0-145557</t>
  </si>
  <si>
    <t>0-145558</t>
  </si>
  <si>
    <t>0-145563</t>
  </si>
  <si>
    <t>0-145564</t>
  </si>
  <si>
    <t>0-145568</t>
  </si>
  <si>
    <t>0-145569</t>
  </si>
  <si>
    <t>0-145570</t>
  </si>
  <si>
    <t>0-145571</t>
  </si>
  <si>
    <t>0-145572</t>
  </si>
  <si>
    <t>0-145574</t>
  </si>
  <si>
    <t>0-145575</t>
  </si>
  <si>
    <t>0-145576</t>
  </si>
  <si>
    <t>0-145577</t>
  </si>
  <si>
    <t>0-145578</t>
  </si>
  <si>
    <t>0-145579</t>
  </si>
  <si>
    <t>0-145582</t>
  </si>
  <si>
    <t>0-145583</t>
  </si>
  <si>
    <t>0-145584</t>
  </si>
  <si>
    <t>0-145585</t>
  </si>
  <si>
    <t>0-145587</t>
  </si>
  <si>
    <t>0-145593</t>
  </si>
  <si>
    <t>0-145595</t>
  </si>
  <si>
    <t>0-145596</t>
  </si>
  <si>
    <t>0-145597</t>
  </si>
  <si>
    <t>0-145598</t>
  </si>
  <si>
    <t>0-145599</t>
  </si>
  <si>
    <t>0-145600</t>
  </si>
  <si>
    <t>0-145601</t>
  </si>
  <si>
    <t>0-145602</t>
  </si>
  <si>
    <t>0-145603</t>
  </si>
  <si>
    <t>0-145605</t>
  </si>
  <si>
    <t>0-145608</t>
  </si>
  <si>
    <t>0-145609</t>
  </si>
  <si>
    <t>0-145610</t>
  </si>
  <si>
    <t>0-145611</t>
  </si>
  <si>
    <t>0-145613</t>
  </si>
  <si>
    <t>0-145614</t>
  </si>
  <si>
    <t>0-145615</t>
  </si>
  <si>
    <t>0-145617</t>
  </si>
  <si>
    <t>0-145618</t>
  </si>
  <si>
    <t>0-145620</t>
  </si>
  <si>
    <t>0-145621</t>
  </si>
  <si>
    <t>0-145622</t>
  </si>
  <si>
    <t>0-145623</t>
  </si>
  <si>
    <t>0-145624</t>
  </si>
  <si>
    <t>0-145625</t>
  </si>
  <si>
    <t>0-145629</t>
  </si>
  <si>
    <t>0-145633</t>
  </si>
  <si>
    <t>OTC BUTTER CREAM CRACKERS LECHE FLAN</t>
  </si>
  <si>
    <t>0-145634</t>
  </si>
  <si>
    <t>0-145636</t>
  </si>
  <si>
    <t>OTC SUNFLOWER CRACKERS BLUEBERRY</t>
  </si>
  <si>
    <t>0-145643</t>
  </si>
  <si>
    <t>0-145644</t>
  </si>
  <si>
    <t>0-145652</t>
  </si>
  <si>
    <t>0-145653</t>
  </si>
  <si>
    <t>0-145654</t>
  </si>
  <si>
    <t>0-145655</t>
  </si>
  <si>
    <t>0-145656</t>
  </si>
  <si>
    <t>0-145658</t>
  </si>
  <si>
    <t>0-145659</t>
  </si>
  <si>
    <t>0-145660</t>
  </si>
  <si>
    <t>0-145661</t>
  </si>
  <si>
    <t>0-145662</t>
  </si>
  <si>
    <t>0-145663</t>
  </si>
  <si>
    <t>0-145664</t>
  </si>
  <si>
    <t>0-145665</t>
  </si>
  <si>
    <t>0-145666</t>
  </si>
  <si>
    <t>0-145670</t>
  </si>
  <si>
    <t>0-145674</t>
  </si>
  <si>
    <t>0-145675</t>
  </si>
  <si>
    <t>0-145678</t>
  </si>
  <si>
    <t>0-145681</t>
  </si>
  <si>
    <t>0-145682</t>
  </si>
  <si>
    <t>0-145684</t>
  </si>
  <si>
    <t>0-145685</t>
  </si>
  <si>
    <t>0-145686</t>
  </si>
  <si>
    <t>0-145690</t>
  </si>
  <si>
    <t>0-145696</t>
  </si>
  <si>
    <t>0-145697</t>
  </si>
  <si>
    <t>0-145698</t>
  </si>
  <si>
    <t>0-145699</t>
  </si>
  <si>
    <t>0-145713</t>
  </si>
  <si>
    <t>0-145714</t>
  </si>
  <si>
    <t>0-145717</t>
  </si>
  <si>
    <t>0-145719</t>
  </si>
  <si>
    <t>0-145720</t>
  </si>
  <si>
    <t>0-145721</t>
  </si>
  <si>
    <t>0-145723</t>
  </si>
  <si>
    <t>0-145724</t>
  </si>
  <si>
    <t>0-145727</t>
  </si>
  <si>
    <t>0-145729</t>
  </si>
  <si>
    <t>0-145730</t>
  </si>
  <si>
    <t>0-145731</t>
  </si>
  <si>
    <t>0-145732</t>
  </si>
  <si>
    <t>0-145733</t>
  </si>
  <si>
    <t>0-145734</t>
  </si>
  <si>
    <t>RBV TT-RIC COFFEE</t>
  </si>
  <si>
    <t>0-145737</t>
  </si>
  <si>
    <t>0-145739</t>
  </si>
  <si>
    <t>0-145740</t>
  </si>
  <si>
    <t>0-145741</t>
  </si>
  <si>
    <t>0-145742</t>
  </si>
  <si>
    <t>0-145743</t>
  </si>
  <si>
    <t>0-145744</t>
  </si>
  <si>
    <t>0-145745</t>
  </si>
  <si>
    <t>0-145746</t>
  </si>
  <si>
    <t>0-145747</t>
  </si>
  <si>
    <t>0-145748</t>
  </si>
  <si>
    <t>0-145749</t>
  </si>
  <si>
    <t>0-145750</t>
  </si>
  <si>
    <t>0-145751</t>
  </si>
  <si>
    <t>0-145752</t>
  </si>
  <si>
    <t>0-145753</t>
  </si>
  <si>
    <t>0-145755</t>
  </si>
  <si>
    <t>0-145756</t>
  </si>
  <si>
    <t>0-145757</t>
  </si>
  <si>
    <t>0-145758</t>
  </si>
  <si>
    <t>0-145761</t>
  </si>
  <si>
    <t>0-145762</t>
  </si>
  <si>
    <t>0-145763</t>
  </si>
  <si>
    <t>0-145764</t>
  </si>
  <si>
    <t>0-145765</t>
  </si>
  <si>
    <t>0-145766</t>
  </si>
  <si>
    <t>0-145767</t>
  </si>
  <si>
    <t>0-145768</t>
  </si>
  <si>
    <t>0-145769</t>
  </si>
  <si>
    <t>0-145770</t>
  </si>
  <si>
    <t>0-145771</t>
  </si>
  <si>
    <t>0-145772</t>
  </si>
  <si>
    <t>0-145773</t>
  </si>
  <si>
    <t>0-145776</t>
  </si>
  <si>
    <t>0-145777</t>
  </si>
  <si>
    <t>0-145778</t>
  </si>
  <si>
    <t>0-145779</t>
  </si>
  <si>
    <t>0-145780</t>
  </si>
  <si>
    <t>0-145781</t>
  </si>
  <si>
    <t>0-145782</t>
  </si>
  <si>
    <t>0-145783</t>
  </si>
  <si>
    <t>0-145784</t>
  </si>
  <si>
    <t>0-145785</t>
  </si>
  <si>
    <t>0-145788</t>
  </si>
  <si>
    <t>0-145789</t>
  </si>
  <si>
    <t>0-145792</t>
  </si>
  <si>
    <t>0-145793</t>
  </si>
  <si>
    <t>0-145795</t>
  </si>
  <si>
    <t>0-145797</t>
  </si>
  <si>
    <t>0-145800</t>
  </si>
  <si>
    <t>0-145801</t>
  </si>
  <si>
    <t>0-145802</t>
  </si>
  <si>
    <t>0-145803</t>
  </si>
  <si>
    <t>0-145804</t>
  </si>
  <si>
    <t>0-145807</t>
  </si>
  <si>
    <t>0-145809</t>
  </si>
  <si>
    <t>0-145810</t>
  </si>
  <si>
    <t>0-145813</t>
  </si>
  <si>
    <t>0-145814</t>
  </si>
  <si>
    <t>0-145815</t>
  </si>
  <si>
    <t>0-145816</t>
  </si>
  <si>
    <t>0-145817</t>
  </si>
  <si>
    <t>0-145818</t>
  </si>
  <si>
    <t>0-145819</t>
  </si>
  <si>
    <t>0-145820</t>
  </si>
  <si>
    <t>0-145825</t>
  </si>
  <si>
    <t>0-145826</t>
  </si>
  <si>
    <t>0-145827</t>
  </si>
  <si>
    <t>0-145829</t>
  </si>
  <si>
    <t>0-145830</t>
  </si>
  <si>
    <t>KUKIS BUTTER COOKIES 60G</t>
  </si>
  <si>
    <t>0-145831</t>
  </si>
  <si>
    <t>0-145832</t>
  </si>
  <si>
    <t>0-145835</t>
  </si>
  <si>
    <t>0-145836</t>
  </si>
  <si>
    <t>0-145838</t>
  </si>
  <si>
    <t>0-145843</t>
  </si>
  <si>
    <t>0-145845</t>
  </si>
  <si>
    <t>0-145846</t>
  </si>
  <si>
    <t>0-145848</t>
  </si>
  <si>
    <t>0-145849</t>
  </si>
  <si>
    <t>0-145850</t>
  </si>
  <si>
    <t>COXIME PANDA FOIL 12X300-1.3KG</t>
  </si>
  <si>
    <t>QUARTER FOLD TISSUE BROWN</t>
  </si>
  <si>
    <t>0-145851</t>
  </si>
  <si>
    <t>0-145852</t>
  </si>
  <si>
    <t>0-145853</t>
  </si>
  <si>
    <t>0-145854</t>
  </si>
  <si>
    <t>0-145855</t>
  </si>
  <si>
    <t>0-145857</t>
  </si>
  <si>
    <t>0-145858</t>
  </si>
  <si>
    <t>0-145859</t>
  </si>
  <si>
    <t>0-145860</t>
  </si>
  <si>
    <t>0-145861</t>
  </si>
  <si>
    <t>0-145862</t>
  </si>
  <si>
    <t>0-145864</t>
  </si>
  <si>
    <t>0-145865</t>
  </si>
  <si>
    <t>0-145866</t>
  </si>
  <si>
    <t>0-145867</t>
  </si>
  <si>
    <t>0-145868</t>
  </si>
  <si>
    <t>0-145870</t>
  </si>
  <si>
    <t>0-145872</t>
  </si>
  <si>
    <t>0-145874</t>
  </si>
  <si>
    <t>0-145875</t>
  </si>
  <si>
    <t>0-145876</t>
  </si>
  <si>
    <t>0-145878</t>
  </si>
  <si>
    <t>0-145879</t>
  </si>
  <si>
    <t>0-145880</t>
  </si>
  <si>
    <t>SB 16X24 (4.2G) ROLL BAG 5ROLLS</t>
  </si>
  <si>
    <t>0-145881</t>
  </si>
  <si>
    <t>0-145882</t>
  </si>
  <si>
    <t>0-145883</t>
  </si>
  <si>
    <t>0-145884</t>
  </si>
  <si>
    <t>0-145885</t>
  </si>
  <si>
    <t>0-145886</t>
  </si>
  <si>
    <t>0-145887</t>
  </si>
  <si>
    <t>0-145888</t>
  </si>
  <si>
    <t>OTC OREO VANILLA 26.25G</t>
  </si>
  <si>
    <t>0-145889</t>
  </si>
  <si>
    <t>0-145890</t>
  </si>
  <si>
    <t>0-145891</t>
  </si>
  <si>
    <t>0-145897</t>
  </si>
  <si>
    <t>GAR TOASTIES 25G</t>
  </si>
  <si>
    <t>0-145899</t>
  </si>
  <si>
    <t>KNORR SINIGANG NA MAY GABI 11G</t>
  </si>
  <si>
    <t>0-145900</t>
  </si>
  <si>
    <t>0-145905</t>
  </si>
  <si>
    <t>0-145906</t>
  </si>
  <si>
    <t>0-145907</t>
  </si>
  <si>
    <t>IBRE750 (BLACK) 6PACKSX50PCS</t>
  </si>
  <si>
    <t>0-145908</t>
  </si>
  <si>
    <t>0-145910</t>
  </si>
  <si>
    <t>0-145911</t>
  </si>
  <si>
    <t>0-145914</t>
  </si>
  <si>
    <t>0-145915</t>
  </si>
  <si>
    <t>0-145917</t>
  </si>
  <si>
    <t>0-145918</t>
  </si>
  <si>
    <t>0-145919</t>
  </si>
  <si>
    <t>0-145920</t>
  </si>
  <si>
    <t>0-145921</t>
  </si>
  <si>
    <t>0-145922</t>
  </si>
  <si>
    <t>0-145924</t>
  </si>
  <si>
    <t>0-145925</t>
  </si>
  <si>
    <t>0-145926</t>
  </si>
  <si>
    <t>0-145927</t>
  </si>
  <si>
    <t>OTC OREO CHOCOCREME 26.25G</t>
  </si>
  <si>
    <t>0-145929</t>
  </si>
  <si>
    <t>0-145930</t>
  </si>
  <si>
    <t>0-145931</t>
  </si>
  <si>
    <t>0-145932</t>
  </si>
  <si>
    <t>0-145936</t>
  </si>
  <si>
    <t>0-145943</t>
  </si>
  <si>
    <t>0-145944</t>
  </si>
  <si>
    <t>0-145945</t>
  </si>
  <si>
    <t>0-145954</t>
  </si>
  <si>
    <t>0-145955</t>
  </si>
  <si>
    <t>0-145956</t>
  </si>
  <si>
    <t>0-145957</t>
  </si>
  <si>
    <t>0-145960</t>
  </si>
  <si>
    <t>0-145961</t>
  </si>
  <si>
    <t>0-145962</t>
  </si>
  <si>
    <t>0-145966</t>
  </si>
  <si>
    <t>0-145968</t>
  </si>
  <si>
    <t>0-145973</t>
  </si>
  <si>
    <t>0-145974</t>
  </si>
  <si>
    <t>0-145975</t>
  </si>
  <si>
    <t>0-145977</t>
  </si>
  <si>
    <t>0-145978</t>
  </si>
  <si>
    <t>0-145979</t>
  </si>
  <si>
    <t>0-145980</t>
  </si>
  <si>
    <t>0-145981</t>
  </si>
  <si>
    <t>0-145982</t>
  </si>
  <si>
    <t>0-145983</t>
  </si>
  <si>
    <t>0-145984</t>
  </si>
  <si>
    <t>0-145985</t>
  </si>
  <si>
    <t>0-145986</t>
  </si>
  <si>
    <t>0-145988</t>
  </si>
  <si>
    <t>0-145990</t>
  </si>
  <si>
    <t>0-145992</t>
  </si>
  <si>
    <t>0-145993</t>
  </si>
  <si>
    <t>0-145995</t>
  </si>
  <si>
    <t>0-145996</t>
  </si>
  <si>
    <t>0-146000</t>
  </si>
  <si>
    <t>3IN1 PLAIN KRAFT WOODEN CUTLERY SET(SPOON FORK&amp;TISSUE)</t>
  </si>
  <si>
    <t>0-146003</t>
  </si>
  <si>
    <t>0-146005</t>
  </si>
  <si>
    <t>0-146006</t>
  </si>
  <si>
    <t>0-146007</t>
  </si>
  <si>
    <t>0-146008</t>
  </si>
  <si>
    <t>0-146009</t>
  </si>
  <si>
    <t>0-146010</t>
  </si>
  <si>
    <t>0-146013</t>
  </si>
  <si>
    <t>0-146015</t>
  </si>
  <si>
    <t>BUTTER CREAM RAINBOW CRACKERS 10X25G</t>
  </si>
  <si>
    <t>0-146017</t>
  </si>
  <si>
    <t>0-146018</t>
  </si>
  <si>
    <t>0-146019</t>
  </si>
  <si>
    <t>0-146020</t>
  </si>
  <si>
    <t>0-146022</t>
  </si>
  <si>
    <t>0-146023</t>
  </si>
  <si>
    <t>0-146024</t>
  </si>
  <si>
    <t>0-146025</t>
  </si>
  <si>
    <t>0-146026</t>
  </si>
  <si>
    <t>CHIPS DELIGHT STRIPED CHOCOLATE CHIP COOKIES 70G</t>
  </si>
  <si>
    <t>0-146027</t>
  </si>
  <si>
    <t>0-146028</t>
  </si>
  <si>
    <t>0-146029</t>
  </si>
  <si>
    <t>0-146030</t>
  </si>
  <si>
    <t>0-146035</t>
  </si>
  <si>
    <t>0-146037</t>
  </si>
  <si>
    <t>0-146040</t>
  </si>
  <si>
    <t>0-146041</t>
  </si>
  <si>
    <t>0-146042</t>
  </si>
  <si>
    <t>0-146045</t>
  </si>
  <si>
    <t>0-146047</t>
  </si>
  <si>
    <t>0-146053</t>
  </si>
  <si>
    <t>0-146054</t>
  </si>
  <si>
    <t>0-146055</t>
  </si>
  <si>
    <t>0-146060</t>
  </si>
  <si>
    <t>0-146061</t>
  </si>
  <si>
    <t>0-146062</t>
  </si>
  <si>
    <t>0-146063</t>
  </si>
  <si>
    <t>0-146064</t>
  </si>
  <si>
    <t>0-146065</t>
  </si>
  <si>
    <t>0-146066</t>
  </si>
  <si>
    <t>0-146067</t>
  </si>
  <si>
    <t>0-146068</t>
  </si>
  <si>
    <t>0-146069</t>
  </si>
  <si>
    <t>0-146070</t>
  </si>
  <si>
    <t>0-146072</t>
  </si>
  <si>
    <t>0-146073</t>
  </si>
  <si>
    <t>0-146074</t>
  </si>
  <si>
    <t>0-146076</t>
  </si>
  <si>
    <t>0-146077</t>
  </si>
  <si>
    <t>0-146078</t>
  </si>
  <si>
    <t>0-146081</t>
  </si>
  <si>
    <t>0-146082</t>
  </si>
  <si>
    <t>0-146083</t>
  </si>
  <si>
    <t>0-146084</t>
  </si>
  <si>
    <t>0-146085</t>
  </si>
  <si>
    <t>0-146088</t>
  </si>
  <si>
    <t>RBV BOOSTER COFFEE</t>
  </si>
  <si>
    <t>RBV SANDOK ANAHAW 9"</t>
  </si>
  <si>
    <t>0-146089</t>
  </si>
  <si>
    <t>0-146090</t>
  </si>
  <si>
    <t>0-146091</t>
  </si>
  <si>
    <t>0-146093</t>
  </si>
  <si>
    <t>0-146094</t>
  </si>
  <si>
    <t>0-146096</t>
  </si>
  <si>
    <t>0-146097</t>
  </si>
  <si>
    <t>0-146100</t>
  </si>
  <si>
    <t>0-146101</t>
  </si>
  <si>
    <t>IBRE2D (CLEAR) 3PACKSX50PCS</t>
  </si>
  <si>
    <t>KRAFT PAPER BAG 120</t>
  </si>
  <si>
    <t>0-146102</t>
  </si>
  <si>
    <t>0-146105</t>
  </si>
  <si>
    <t>0-146107</t>
  </si>
  <si>
    <t>0-146110</t>
  </si>
  <si>
    <t>0-146112</t>
  </si>
  <si>
    <t>0-146115</t>
  </si>
  <si>
    <t>0-146116</t>
  </si>
  <si>
    <t>0-146118</t>
  </si>
  <si>
    <t>0-146119</t>
  </si>
  <si>
    <t>0-146120</t>
  </si>
  <si>
    <t>OTC HONEY HOUSE SOUR CREAM &amp; ONION 22G</t>
  </si>
  <si>
    <t>0-146121</t>
  </si>
  <si>
    <t>0-146122</t>
  </si>
  <si>
    <t>0-146123</t>
  </si>
  <si>
    <t>0-146124</t>
  </si>
  <si>
    <t>0-146125</t>
  </si>
  <si>
    <t>0-146126</t>
  </si>
  <si>
    <t>0-146131</t>
  </si>
  <si>
    <t>0-146132</t>
  </si>
  <si>
    <t>0-146135</t>
  </si>
  <si>
    <t>0-146136</t>
  </si>
  <si>
    <t>0-146137</t>
  </si>
  <si>
    <t>0-146138</t>
  </si>
  <si>
    <t>0-146139</t>
  </si>
  <si>
    <t>0-146141</t>
  </si>
  <si>
    <t>0-146142</t>
  </si>
  <si>
    <t>0-146143</t>
  </si>
  <si>
    <t>0-146144</t>
  </si>
  <si>
    <t>0-146145</t>
  </si>
  <si>
    <t>0-146146</t>
  </si>
  <si>
    <t>0-146147</t>
  </si>
  <si>
    <t>0-146148</t>
  </si>
  <si>
    <t>0-146149</t>
  </si>
  <si>
    <t>0-146150</t>
  </si>
  <si>
    <t>0-146151</t>
  </si>
  <si>
    <t>0-146152</t>
  </si>
  <si>
    <t>0-146153</t>
  </si>
  <si>
    <t>0-146154</t>
  </si>
  <si>
    <t>0-146155</t>
  </si>
  <si>
    <t>0-146163</t>
  </si>
  <si>
    <t>0-146164</t>
  </si>
  <si>
    <t>0-146166</t>
  </si>
  <si>
    <t>0-146167</t>
  </si>
  <si>
    <t>0-146168</t>
  </si>
  <si>
    <t>0-146169</t>
  </si>
  <si>
    <t>0-146170</t>
  </si>
  <si>
    <t>0-146171</t>
  </si>
  <si>
    <t>0-146173</t>
  </si>
  <si>
    <t>0-146174</t>
  </si>
  <si>
    <t>0-146175</t>
  </si>
  <si>
    <t>0-146176</t>
  </si>
  <si>
    <t>0-146177</t>
  </si>
  <si>
    <t>0-146178</t>
  </si>
  <si>
    <t>0-146179</t>
  </si>
  <si>
    <t>0-146180</t>
  </si>
  <si>
    <t>0-146181</t>
  </si>
  <si>
    <t>0-146182</t>
  </si>
  <si>
    <t>0-146183</t>
  </si>
  <si>
    <t>0-146184</t>
  </si>
  <si>
    <t>0-146185</t>
  </si>
  <si>
    <t>0-146186</t>
  </si>
  <si>
    <t>0-146187</t>
  </si>
  <si>
    <t>0-146188</t>
  </si>
  <si>
    <t>0-146189</t>
  </si>
  <si>
    <t>0-146190</t>
  </si>
  <si>
    <t>0-146192</t>
  </si>
  <si>
    <t>0-146193</t>
  </si>
  <si>
    <t>0-146197</t>
  </si>
  <si>
    <t>0-146198</t>
  </si>
  <si>
    <t>0-146201</t>
  </si>
  <si>
    <t>0-146202</t>
  </si>
  <si>
    <t>0-146203</t>
  </si>
  <si>
    <t>0-146205</t>
  </si>
  <si>
    <t>0-146207</t>
  </si>
  <si>
    <t>0-146211</t>
  </si>
  <si>
    <t>0-146212</t>
  </si>
  <si>
    <t>0-146213</t>
  </si>
  <si>
    <t>0-146214</t>
  </si>
  <si>
    <t>0-146215</t>
  </si>
  <si>
    <t>0-146216</t>
  </si>
  <si>
    <t>0-146217</t>
  </si>
  <si>
    <t>0-146218</t>
  </si>
  <si>
    <t>0-146219</t>
  </si>
  <si>
    <t>0-146220</t>
  </si>
  <si>
    <t>0-146221</t>
  </si>
  <si>
    <t>0-146222</t>
  </si>
  <si>
    <t>0-146223</t>
  </si>
  <si>
    <t>0-146224</t>
  </si>
  <si>
    <t>0-146226</t>
  </si>
  <si>
    <t>0-146228</t>
  </si>
  <si>
    <t>0-146232</t>
  </si>
  <si>
    <t>0-146233</t>
  </si>
  <si>
    <t>DM PINEAPPLE JUICE ACE 220ML-3</t>
  </si>
  <si>
    <t>0-146235</t>
  </si>
  <si>
    <t>0-146236</t>
  </si>
  <si>
    <t>0-146237</t>
  </si>
  <si>
    <t>0-146239</t>
  </si>
  <si>
    <t>0-146240</t>
  </si>
  <si>
    <t>0-146241</t>
  </si>
  <si>
    <t>0-146243</t>
  </si>
  <si>
    <t>0-146244</t>
  </si>
  <si>
    <t>0-146247</t>
  </si>
  <si>
    <t>0-146248</t>
  </si>
  <si>
    <t>ISYNERGIES-4 DRAWERS LATERAL FILING CABINET</t>
  </si>
  <si>
    <t>0-146249</t>
  </si>
  <si>
    <t>0-146250</t>
  </si>
  <si>
    <t>0-146251</t>
  </si>
  <si>
    <t>0-146252</t>
  </si>
  <si>
    <t>0-146255</t>
  </si>
  <si>
    <t>0-146257</t>
  </si>
  <si>
    <t>L&amp;P SCENTSHOP COOL FANTASY 75ML W/ FREE COIN PURSE</t>
  </si>
  <si>
    <t>0-146258</t>
  </si>
  <si>
    <t>0-146259</t>
  </si>
  <si>
    <t>0-146260</t>
  </si>
  <si>
    <t>0-146261</t>
  </si>
  <si>
    <t>0-146262</t>
  </si>
  <si>
    <t>0-146263</t>
  </si>
  <si>
    <t>0-146264</t>
  </si>
  <si>
    <t>0-146265</t>
  </si>
  <si>
    <t>0-146266</t>
  </si>
  <si>
    <t>0-146267</t>
  </si>
  <si>
    <t>0-146268</t>
  </si>
  <si>
    <t>0-146270</t>
  </si>
  <si>
    <t>CLING WRAP 2.74KG 15"X500M</t>
  </si>
  <si>
    <t>0-146272</t>
  </si>
  <si>
    <t>0-146273</t>
  </si>
  <si>
    <t>0-146274</t>
  </si>
  <si>
    <t>0-146275</t>
  </si>
  <si>
    <t>0-146276</t>
  </si>
  <si>
    <t>0-146277</t>
  </si>
  <si>
    <t>0-146278</t>
  </si>
  <si>
    <t>0-146280</t>
  </si>
  <si>
    <t>0-146283</t>
  </si>
  <si>
    <t>0-146286</t>
  </si>
  <si>
    <t>0-146287</t>
  </si>
  <si>
    <t>0-146288</t>
  </si>
  <si>
    <t>0-146290</t>
  </si>
  <si>
    <t>0-146291</t>
  </si>
  <si>
    <t>0-146292</t>
  </si>
  <si>
    <t>0-146294</t>
  </si>
  <si>
    <t>0-146295</t>
  </si>
  <si>
    <t>0-146296</t>
  </si>
  <si>
    <t>0-146297</t>
  </si>
  <si>
    <t>0-146298</t>
  </si>
  <si>
    <t>0-146299</t>
  </si>
  <si>
    <t>0-146300</t>
  </si>
  <si>
    <t>0-146301</t>
  </si>
  <si>
    <t>0-146302</t>
  </si>
  <si>
    <t>0-146303</t>
  </si>
  <si>
    <t>0-146304</t>
  </si>
  <si>
    <t>0-146305</t>
  </si>
  <si>
    <t>0-146306</t>
  </si>
  <si>
    <t>0-146308</t>
  </si>
  <si>
    <t>0-146309</t>
  </si>
  <si>
    <t>0-146310</t>
  </si>
  <si>
    <t>0-146311</t>
  </si>
  <si>
    <t>0-146313</t>
  </si>
  <si>
    <t>0-146320</t>
  </si>
  <si>
    <t>0-146323</t>
  </si>
  <si>
    <t>0-146326</t>
  </si>
  <si>
    <t>0-146336</t>
  </si>
  <si>
    <t>0-146337</t>
  </si>
  <si>
    <t>0-146347</t>
  </si>
  <si>
    <t>0-146348</t>
  </si>
  <si>
    <t>0-146349</t>
  </si>
  <si>
    <t>0-146350</t>
  </si>
  <si>
    <t>0-146351</t>
  </si>
  <si>
    <t>0-146353</t>
  </si>
  <si>
    <t>L&amp;P SCENTSHOP COLOGNE NEW YORK 125ML</t>
  </si>
  <si>
    <t>0-146354</t>
  </si>
  <si>
    <t>0-146358</t>
  </si>
  <si>
    <t>0-146361</t>
  </si>
  <si>
    <t>0-146364</t>
  </si>
  <si>
    <t>0-146369</t>
  </si>
  <si>
    <t>0-146371</t>
  </si>
  <si>
    <t>0-146372</t>
  </si>
  <si>
    <t>RBV BAO SANDOK 14"</t>
  </si>
  <si>
    <t>RBV ALMIRIS</t>
  </si>
  <si>
    <t>OPTIPRIME DISTRIBUTION CORPORATION</t>
  </si>
  <si>
    <t>SHARON FRANCISCO</t>
  </si>
  <si>
    <t>ELEVEN FOURTEEN SWEET CANDIES</t>
  </si>
  <si>
    <t>BRIANNA FOOD CREATIONS</t>
  </si>
  <si>
    <t>DELIGHTCO CORP</t>
  </si>
  <si>
    <t>EVA J. BONIFACIO</t>
  </si>
  <si>
    <t>DENMAR PACKAGING SUPPLIES</t>
  </si>
  <si>
    <t>VALUE CHAIN SOLUTIONS, INC.</t>
  </si>
  <si>
    <t>CABRERAS TRADING</t>
  </si>
  <si>
    <t>PERSONAL COLLECTION DIRECT SELLING, INC.</t>
  </si>
  <si>
    <t>RBV ROSE BAG</t>
  </si>
  <si>
    <t>RBV ELLA BAG</t>
  </si>
  <si>
    <t>RBV LEYA BAG</t>
  </si>
  <si>
    <t>RBV FAN BALER</t>
  </si>
  <si>
    <t>RBV ABANICO</t>
  </si>
  <si>
    <t>RBV ANAHAW SANDOK 12"</t>
  </si>
  <si>
    <t>RBV ANAHAW SANDOK 14"</t>
  </si>
  <si>
    <t>RBV SANDOK BAO 9"</t>
  </si>
  <si>
    <t>RBV SANDOK BAO 14"</t>
  </si>
  <si>
    <t>RBV PITCHEL SET</t>
  </si>
  <si>
    <t>RBV SANGKALAN</t>
  </si>
  <si>
    <t>RBV BOWL WITH SPOON</t>
  </si>
  <si>
    <t>RBV FRUIT TRAY</t>
  </si>
  <si>
    <t>RBV COASTERS</t>
  </si>
  <si>
    <t>RBV SAUCERS</t>
  </si>
  <si>
    <t>RBV TRAY</t>
  </si>
  <si>
    <t>RBV CHIRATA COFFEE</t>
  </si>
  <si>
    <t>RBV MULTI-CEE</t>
  </si>
  <si>
    <t>RBV PAPER BAG-2</t>
  </si>
  <si>
    <t>DM PINEAPPLE HEART SMART 220ML-3</t>
  </si>
  <si>
    <t>GOYA CHOCO HAZELNUT 350G</t>
  </si>
  <si>
    <t>GOYA RICH CHOCO 350G</t>
  </si>
  <si>
    <t>GOYA SPREAD CHOCO HAZELNUT N MILK 350G</t>
  </si>
  <si>
    <t>GOYA SPREAD DOUBLE HAZELNUT 350G</t>
  </si>
  <si>
    <t>GEISHA WHITE SCAR AND BLEMISH 65G</t>
  </si>
  <si>
    <t>AEVA 001-SMALL</t>
  </si>
  <si>
    <t>AEVA 003-MEDIUM</t>
  </si>
  <si>
    <t>AEVA 004-LARGE</t>
  </si>
  <si>
    <t>AEVA 007 - W/ DESIGN MEDIUM</t>
  </si>
  <si>
    <t>KRAFT OCTAGONAL BOWL-750ML</t>
  </si>
  <si>
    <t>KRAFT OCTAGONAL BOWL-100ML</t>
  </si>
  <si>
    <t>2IN1 WOODEN CUTLERY SET(FORK&amp;NAPKIN)</t>
  </si>
  <si>
    <t>IBRE3D (CLEAR) 3PACKSX50PCS</t>
  </si>
  <si>
    <t>IBRE100 (BLACK) 6PACKSX50PCS</t>
  </si>
  <si>
    <t>L&amp;P SCENTSHOP PINK PASSION 125ML</t>
  </si>
  <si>
    <t>L&amp;P SCENTSHOP COLOGNE PINK PASSION 75ML</t>
  </si>
  <si>
    <t>L&amp;P SCENTSHOP COOL FANTASY 125ML</t>
  </si>
  <si>
    <t>L&amp;P SCENTSHOP BLUE NAVY 125ML W/ FREE POCKET SPRAY</t>
  </si>
  <si>
    <t>L&amp;P SCENTSHOP BLUE NAVY 75ML W/ FREE COIN PURSE</t>
  </si>
  <si>
    <t>L&amp;P SCENTSHOP COLOGNE DREAM 125ML</t>
  </si>
  <si>
    <t>L&amp;P SCENTSHOP COLOGNE DREAM 75ML</t>
  </si>
  <si>
    <t>L&amp;P SCENTSHOP ICE WATER 125ML W/ FREE POCKET SPRAY</t>
  </si>
  <si>
    <t>L&amp;P SCENTSHOP ICE WATER 75ML W/ FREE COIN PURSE</t>
  </si>
  <si>
    <t>L&amp;P SCENTSHOP RAIN 125ML W/ FREE POCKET SPRAY</t>
  </si>
  <si>
    <t>L&amp;P SCENTSHOP RAIN 75ML W/ FREE COIN PURSE</t>
  </si>
  <si>
    <t>L&amp;P SCENTSHOP COLOGNE NEW YORK 75ML</t>
  </si>
  <si>
    <t>L&amp;P SCENTSHOP CANDY KISS 125ML</t>
  </si>
  <si>
    <t>L&amp;P SCENTSHOP COLOGNE SWEET PARIS 125ML</t>
  </si>
  <si>
    <t>L&amp;P SCENTSHOP SWEET PARIS 75ML</t>
  </si>
  <si>
    <t>L&amp;P SCENTSHOP RUSH 125ML</t>
  </si>
  <si>
    <t>L&amp;P SCENTSHOP COLOGNE RUSH 75ML</t>
  </si>
  <si>
    <t>L&amp;P SCENTSHOP COLOGNE CANDY KISS 75ML</t>
  </si>
  <si>
    <t>HAPEE ECO TUBE FRESH GREEN OUTBURST 150G</t>
  </si>
  <si>
    <t>STAY FRESH MENTHOL CANDY 40PCS</t>
  </si>
  <si>
    <t>DOWNY GARDEN BLOOM 25ML</t>
  </si>
  <si>
    <t>SAFEGUARD BAR ARCTIC FRESH 130G</t>
  </si>
  <si>
    <t>PERSONAL COLLECTION KIT BAG(TUFF, DOVE BABY COL. &amp; CHECK DEO)</t>
  </si>
  <si>
    <t>999062</t>
  </si>
  <si>
    <t>999063</t>
  </si>
  <si>
    <t>999064</t>
  </si>
  <si>
    <t>999065</t>
  </si>
  <si>
    <t>999066</t>
  </si>
  <si>
    <t>999067</t>
  </si>
  <si>
    <t>999071</t>
  </si>
  <si>
    <t>999072</t>
  </si>
  <si>
    <t>999074</t>
  </si>
  <si>
    <t>999075</t>
  </si>
  <si>
    <t>999076</t>
  </si>
  <si>
    <t>999077</t>
  </si>
  <si>
    <t>999078</t>
  </si>
  <si>
    <t>999079</t>
  </si>
  <si>
    <t>999089</t>
  </si>
  <si>
    <t>999090</t>
  </si>
  <si>
    <t>999092</t>
  </si>
  <si>
    <t>888123456782044</t>
  </si>
  <si>
    <t>4002309006567</t>
  </si>
  <si>
    <t>4002309006109</t>
  </si>
  <si>
    <t>4002309028460</t>
  </si>
  <si>
    <t>4002309007540</t>
  </si>
  <si>
    <t>4806538408808</t>
  </si>
  <si>
    <t>888123456782045</t>
  </si>
  <si>
    <t>888123456782046</t>
  </si>
  <si>
    <t>888123456782047</t>
  </si>
  <si>
    <t>888123456781993</t>
  </si>
  <si>
    <t>888123456782049</t>
  </si>
  <si>
    <t>888123456782050</t>
  </si>
  <si>
    <t>888123456782058</t>
  </si>
  <si>
    <t>888123456782060</t>
  </si>
  <si>
    <t>F</t>
  </si>
  <si>
    <t>4800047865565</t>
  </si>
  <si>
    <t>4800047865558</t>
  </si>
  <si>
    <t>4800047861390</t>
  </si>
  <si>
    <t>4800047865237</t>
  </si>
  <si>
    <t>4800047865220</t>
  </si>
  <si>
    <t>4800047861215</t>
  </si>
  <si>
    <t>4800047861222</t>
  </si>
  <si>
    <t>4800047861062</t>
  </si>
  <si>
    <t>4800047861079</t>
  </si>
  <si>
    <t>4800047861161</t>
  </si>
  <si>
    <t>4800047861178</t>
  </si>
  <si>
    <t>4800047865268</t>
  </si>
  <si>
    <t>4800047865527</t>
  </si>
  <si>
    <t>4800047865145</t>
  </si>
  <si>
    <t>4800047865138</t>
  </si>
  <si>
    <t>4800047865602</t>
  </si>
  <si>
    <t>4800047865596</t>
  </si>
  <si>
    <t>4800047865510</t>
  </si>
  <si>
    <t>4800034017960</t>
  </si>
  <si>
    <t>4800620848527</t>
  </si>
  <si>
    <t>4902430453295</t>
  </si>
  <si>
    <t>4902430197359</t>
  </si>
  <si>
    <t>888123456782061</t>
  </si>
  <si>
    <t>PADSA</t>
  </si>
  <si>
    <t>COST</t>
  </si>
  <si>
    <t>EDELIAS</t>
  </si>
  <si>
    <t>PROS</t>
  </si>
  <si>
    <t>R&amp;J</t>
  </si>
  <si>
    <t>Unit Price</t>
  </si>
  <si>
    <t>Amount</t>
  </si>
  <si>
    <t xml:space="preserve">OTC SUNFLOWER SEEDS 13G					</t>
  </si>
  <si>
    <t>AS-LS BAD ORDER</t>
  </si>
  <si>
    <t xml:space="preserve">GAR CHEESE BUNS 250G		</t>
  </si>
  <si>
    <t xml:space="preserve">750515018402			</t>
  </si>
  <si>
    <t>IBEST - BAD ORDER</t>
  </si>
  <si>
    <t xml:space="preserve">DM TIDBITS 822G		</t>
  </si>
  <si>
    <t>KIMBERLIN - RETAIL</t>
  </si>
  <si>
    <t>KIMBERLIN</t>
  </si>
  <si>
    <t>PROS-BAD ORDER</t>
  </si>
  <si>
    <t>DELIGHT RETAIL</t>
  </si>
  <si>
    <t>AS-LS RETAIL</t>
  </si>
  <si>
    <t>MIDLANDS-RETAIL</t>
  </si>
  <si>
    <t xml:space="preserve">67.28	</t>
  </si>
  <si>
    <t xml:space="preserve">GAR TOASTIES 25G					</t>
  </si>
  <si>
    <t>AS-LS</t>
  </si>
  <si>
    <t>DELIGHT</t>
  </si>
  <si>
    <t>MIDLANDS</t>
  </si>
  <si>
    <t>WING AN -BAD ORDER</t>
  </si>
  <si>
    <t>`</t>
  </si>
  <si>
    <t>ADJ NA LAST MONTH</t>
  </si>
  <si>
    <t>RBV SANDOK ANAHAW 12"</t>
  </si>
  <si>
    <t>RBV SANDOK ANAHAW 14"</t>
  </si>
  <si>
    <t>RBV BAO SANDOK 12"</t>
  </si>
  <si>
    <t>FOR DOUBLE CHECK</t>
  </si>
  <si>
    <t>HAWHAW CHOCOLATE CANDY</t>
  </si>
  <si>
    <t>70002</t>
  </si>
  <si>
    <t>70180</t>
  </si>
  <si>
    <t>70181</t>
  </si>
  <si>
    <t>70003</t>
  </si>
  <si>
    <t>70006</t>
  </si>
  <si>
    <t>70007</t>
  </si>
  <si>
    <t>70212</t>
  </si>
  <si>
    <t>70008</t>
  </si>
  <si>
    <t>70009</t>
  </si>
  <si>
    <t>70278</t>
  </si>
  <si>
    <t>70010</t>
  </si>
  <si>
    <t>70011</t>
  </si>
  <si>
    <t>70012</t>
  </si>
  <si>
    <t>70314</t>
  </si>
  <si>
    <t>70013</t>
  </si>
  <si>
    <t>70179</t>
  </si>
  <si>
    <t>70014</t>
  </si>
  <si>
    <t>70307</t>
  </si>
  <si>
    <t>70264</t>
  </si>
  <si>
    <t>70330</t>
  </si>
  <si>
    <t>70329</t>
  </si>
  <si>
    <t>70016</t>
  </si>
  <si>
    <t>70017</t>
  </si>
  <si>
    <t>70126</t>
  </si>
  <si>
    <t>70327</t>
  </si>
  <si>
    <t>70318</t>
  </si>
  <si>
    <t>70018</t>
  </si>
  <si>
    <t>70021</t>
  </si>
  <si>
    <t>70223</t>
  </si>
  <si>
    <t>70022</t>
  </si>
  <si>
    <t>70023</t>
  </si>
  <si>
    <t>70319</t>
  </si>
  <si>
    <t>70024</t>
  </si>
  <si>
    <t>70025</t>
  </si>
  <si>
    <t>70026</t>
  </si>
  <si>
    <t>70219</t>
  </si>
  <si>
    <t>70027</t>
  </si>
  <si>
    <t>70028</t>
  </si>
  <si>
    <t>70170</t>
  </si>
  <si>
    <t>70029</t>
  </si>
  <si>
    <t>70243</t>
  </si>
  <si>
    <t>70030</t>
  </si>
  <si>
    <t>70031</t>
  </si>
  <si>
    <t>70033</t>
  </si>
  <si>
    <t>70034</t>
  </si>
  <si>
    <t>70035</t>
  </si>
  <si>
    <t>70036</t>
  </si>
  <si>
    <t>70037</t>
  </si>
  <si>
    <t>70038</t>
  </si>
  <si>
    <t>70039</t>
  </si>
  <si>
    <t>70041</t>
  </si>
  <si>
    <t>70042</t>
  </si>
  <si>
    <t>70231</t>
  </si>
  <si>
    <t>70043</t>
  </si>
  <si>
    <t>70294</t>
  </si>
  <si>
    <t>70047</t>
  </si>
  <si>
    <t>70048</t>
  </si>
  <si>
    <t>70046</t>
  </si>
  <si>
    <t>70049</t>
  </si>
  <si>
    <t>70268</t>
  </si>
  <si>
    <t>70274</t>
  </si>
  <si>
    <t>70051</t>
  </si>
  <si>
    <t>70052</t>
  </si>
  <si>
    <t>70291</t>
  </si>
  <si>
    <t>70054</t>
  </si>
  <si>
    <t>70055</t>
  </si>
  <si>
    <t>70269</t>
  </si>
  <si>
    <t>70057</t>
  </si>
  <si>
    <t>70214</t>
  </si>
  <si>
    <t>70020</t>
  </si>
  <si>
    <t>70058</t>
  </si>
  <si>
    <t>70060</t>
  </si>
  <si>
    <t>70061</t>
  </si>
  <si>
    <t>70063</t>
  </si>
  <si>
    <t>70323</t>
  </si>
  <si>
    <t>70192</t>
  </si>
  <si>
    <t>70311</t>
  </si>
  <si>
    <t>70066</t>
  </si>
  <si>
    <t>70067</t>
  </si>
  <si>
    <t>70068</t>
  </si>
  <si>
    <t>70069</t>
  </si>
  <si>
    <t>70322</t>
  </si>
  <si>
    <t>70070</t>
  </si>
  <si>
    <t>70297</t>
  </si>
  <si>
    <t>70071</t>
  </si>
  <si>
    <t>70072</t>
  </si>
  <si>
    <t>70073</t>
  </si>
  <si>
    <t>70312</t>
  </si>
  <si>
    <t>70313</t>
  </si>
  <si>
    <t>70074</t>
  </si>
  <si>
    <t>70077</t>
  </si>
  <si>
    <t>70075</t>
  </si>
  <si>
    <t>70234</t>
  </si>
  <si>
    <t>70249</t>
  </si>
  <si>
    <t>70078</t>
  </si>
  <si>
    <t>70079</t>
  </si>
  <si>
    <t>70080</t>
  </si>
  <si>
    <t>70081</t>
  </si>
  <si>
    <t>70266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</si>
  <si>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</si>
  <si>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</si>
  <si>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</si>
  <si>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</si>
  <si>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</si>
  <si>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</si>
  <si>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</si>
  <si>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</si>
  <si>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70173</t>
  </si>
  <si>
    <t>70174</t>
  </si>
  <si>
    <t>70176</t>
  </si>
  <si>
    <t>70175</t>
  </si>
  <si>
    <t>70239</t>
  </si>
  <si>
    <t>70238</t>
  </si>
  <si>
    <t>70090</t>
  </si>
  <si>
    <t>70306</t>
  </si>
  <si>
    <t>70091</t>
  </si>
  <si>
    <t>70092</t>
  </si>
  <si>
    <t>70283</t>
  </si>
  <si>
    <t>70320</t>
  </si>
  <si>
    <t>70093</t>
  </si>
  <si>
    <t>70143</t>
  </si>
  <si>
    <t>70198</t>
  </si>
  <si>
    <t>70260</t>
  </si>
  <si>
    <t>70227</t>
  </si>
  <si>
    <t>70094</t>
  </si>
  <si>
    <t>70095</t>
  </si>
  <si>
    <t>70098</t>
  </si>
  <si>
    <t>70229</t>
  </si>
  <si>
    <t>70099</t>
  </si>
  <si>
    <t>70100</t>
  </si>
  <si>
    <t>70259</t>
  </si>
  <si>
    <t>70101</t>
  </si>
  <si>
    <t>70102</t>
  </si>
  <si>
    <t>70292</t>
  </si>
  <si>
    <t>70103</t>
  </si>
  <si>
    <t>70104</t>
  </si>
  <si>
    <t>70105</t>
  </si>
  <si>
    <t>70106</t>
  </si>
  <si>
    <t>70107</t>
  </si>
  <si>
    <t>70233</t>
  </si>
  <si>
    <t>70279</t>
  </si>
  <si>
    <t>70108</t>
  </si>
  <si>
    <t>70110</t>
  </si>
  <si>
    <t>70111</t>
  </si>
  <si>
    <t>70325</t>
  </si>
  <si>
    <t>70326</t>
  </si>
  <si>
    <t>70113</t>
  </si>
  <si>
    <t>70114</t>
  </si>
  <si>
    <t>70116</t>
  </si>
  <si>
    <t>70122</t>
  </si>
  <si>
    <t>70193</t>
  </si>
  <si>
    <t>70194</t>
  </si>
  <si>
    <t>70195</t>
  </si>
  <si>
    <t>70118</t>
  </si>
  <si>
    <t>70119</t>
  </si>
  <si>
    <t>70120</t>
  </si>
  <si>
    <t>70121</t>
  </si>
  <si>
    <t>70286</t>
  </si>
  <si>
    <t>70123</t>
  </si>
  <si>
    <t>70124</t>
  </si>
  <si>
    <t>70125</t>
  </si>
  <si>
    <t>70127</t>
  </si>
  <si>
    <t>70128</t>
  </si>
  <si>
    <t>70129</t>
  </si>
  <si>
    <t>70130</t>
  </si>
  <si>
    <t>70131</t>
  </si>
  <si>
    <t>70132</t>
  </si>
  <si>
    <t>70133</t>
  </si>
  <si>
    <t>70172</t>
  </si>
  <si>
    <t>70134</t>
  </si>
  <si>
    <t>70246</t>
  </si>
  <si>
    <t>70321</t>
  </si>
  <si>
    <t>70328</t>
  </si>
  <si>
    <t>70135</t>
  </si>
  <si>
    <t>70136</t>
  </si>
  <si>
    <t>70137</t>
  </si>
  <si>
    <t>70310</t>
  </si>
  <si>
    <t>70237</t>
  </si>
  <si>
    <t>70236</t>
  </si>
  <si>
    <t>70140</t>
  </si>
  <si>
    <t>70197</t>
  </si>
  <si>
    <t>70171</t>
  </si>
  <si>
    <t>70265</t>
  </si>
  <si>
    <t>70144</t>
  </si>
  <si>
    <t>70206</t>
  </si>
  <si>
    <t>70203</t>
  </si>
  <si>
    <t>70145</t>
  </si>
  <si>
    <t>70315</t>
  </si>
  <si>
    <t>70305</t>
  </si>
  <si>
    <t>70271</t>
  </si>
  <si>
    <t>70273</t>
  </si>
  <si>
    <t>70196</t>
  </si>
  <si>
    <t>70149</t>
  </si>
  <si>
    <t>70191</t>
  </si>
  <si>
    <t>70150</t>
  </si>
  <si>
    <t>70004</t>
  </si>
  <si>
    <t>70151</t>
  </si>
  <si>
    <t>70153</t>
  </si>
  <si>
    <t>70295</t>
  </si>
  <si>
    <t>70298</t>
  </si>
  <si>
    <t>70158</t>
  </si>
  <si>
    <t>70270</t>
  </si>
  <si>
    <t>70257</t>
  </si>
  <si>
    <t>70293</t>
  </si>
  <si>
    <t>70155</t>
  </si>
  <si>
    <t>70230</t>
  </si>
  <si>
    <t>70182</t>
  </si>
  <si>
    <t>70255</t>
  </si>
  <si>
    <t>70235</t>
  </si>
  <si>
    <t>70208</t>
  </si>
  <si>
    <t>70183</t>
  </si>
  <si>
    <t>70156</t>
  </si>
  <si>
    <t>70157</t>
  </si>
  <si>
    <t>70160</t>
  </si>
  <si>
    <t>70316</t>
  </si>
  <si>
    <t>70159</t>
  </si>
  <si>
    <t>70161</t>
  </si>
  <si>
    <t>70162</t>
  </si>
  <si>
    <t>70163</t>
  </si>
  <si>
    <t>70164</t>
  </si>
  <si>
    <t>70165</t>
  </si>
  <si>
    <t>70166</t>
  </si>
  <si>
    <t>70167</t>
  </si>
  <si>
    <t>70213</t>
  </si>
  <si>
    <t>70168</t>
  </si>
  <si>
    <t>70169</t>
  </si>
  <si>
    <t>70199</t>
  </si>
  <si>
    <t>PRINTING ADRITE RIBBON INK MEDIUM/BLACK</t>
  </si>
  <si>
    <t>PRINTING ADVENTURE PLASTIC ENVELOPE LONG</t>
  </si>
  <si>
    <t>PRINTING ADVENTURE PLASTIC ENVELOPE W/ HANDLE LONG</t>
  </si>
  <si>
    <t>PRINTING ARTLINE HIGHLIGHTER ORANGE</t>
  </si>
  <si>
    <t>PRINTING ASIAN COLOR BONDPAPER BLUE SHORT</t>
  </si>
  <si>
    <t>PRINTING ASIAN COLOR BONDPAPER PINK SHORT</t>
  </si>
  <si>
    <t>PRINTING ASKI MPC BOD &amp; GA TARPAULIN 1.5X2FT</t>
  </si>
  <si>
    <t>PRINTING ASSORTED PLASTIC SLIDING FOLDER LONG</t>
  </si>
  <si>
    <t>PRINTING ASSORTED PLASTIC SLIDING FOLDER SHORT</t>
  </si>
  <si>
    <t>PRINTING BALIK TANGKILIK CARD</t>
  </si>
  <si>
    <t>PRINTING BALLPEN HBW GREEN</t>
  </si>
  <si>
    <t>PRINTING BALLPEN HBW MATRIX BLUE</t>
  </si>
  <si>
    <t>PRINTING BALLPEN HBW MATRIX RED</t>
  </si>
  <si>
    <t>PRINTING BALLPEN HBW MATRIX RED - 2</t>
  </si>
  <si>
    <t>PRINTING BALLPEN PIANO BLACK</t>
  </si>
  <si>
    <t>PRINTING BEIFA PXSTICK BALLPEN BLACK</t>
  </si>
  <si>
    <t>PRINTING BINDER CLIPS 1 INCH</t>
  </si>
  <si>
    <t>PRINTING BINDER CLIPS 2 INCHES - 2</t>
  </si>
  <si>
    <t>PRINTING BLUE CAP W/ EMBROIDERY</t>
  </si>
  <si>
    <t>PRINTING BONUS BOND LONG-2</t>
  </si>
  <si>
    <t>PRINTING BONUS BOND SHORT-2</t>
  </si>
  <si>
    <t xml:space="preserve">PRINTING BONUS LONG </t>
  </si>
  <si>
    <t>PRINTING BONUS SHORT</t>
  </si>
  <si>
    <t>PRINTING BP-S-F FINE BALLPEN BLUE</t>
  </si>
  <si>
    <t>PRINTING BROWN ENVELOPE - LONG (NEW)</t>
  </si>
  <si>
    <t>PRINTING BROWN ENVELOPE - SHORT</t>
  </si>
  <si>
    <t>PRINTING BROWN ENVELOPE LONG</t>
  </si>
  <si>
    <t xml:space="preserve">PRINTING BROWN ENVELOPE SHORT W/ ASKI LETTER HEAD </t>
  </si>
  <si>
    <t>PRINTING CALLING CARD</t>
  </si>
  <si>
    <t>PRINTING CASIO CALCULATOR</t>
  </si>
  <si>
    <t>PRINTING CATALOGUE ENVELOPE 1/2 SIZE</t>
  </si>
  <si>
    <t>PRINTING CATALOGUE ENVELOPE 1/2 SIZE -2</t>
  </si>
  <si>
    <t>PRINTING CATTLEYA NOTE LARGE</t>
  </si>
  <si>
    <t>PRINTING CATTLEYA NOTE MEDIUM</t>
  </si>
  <si>
    <t>PRINTING CATTLEYA NOTE SMALL</t>
  </si>
  <si>
    <t>PRINTING CDLM WHITE POLO SHIRT W/ EMBROIDERY</t>
  </si>
  <si>
    <t>PRINTING CLEAR FOLDER LONG</t>
  </si>
  <si>
    <t>PRINTING CLEAR FOLDER SHORT</t>
  </si>
  <si>
    <t>PRINTING CLIENTS ID</t>
  </si>
  <si>
    <t>PRINTING CLUB CARBON COPY Short</t>
  </si>
  <si>
    <t>PRINTING COKE RED T-SHIRT W/ DTF PRINT</t>
  </si>
  <si>
    <t>PRINTING COLORED BOND PAPER PINK LONG</t>
  </si>
  <si>
    <t>PRINTING COLORED PAPER ORANGE SHORT</t>
  </si>
  <si>
    <t xml:space="preserve">PRINTING COLUMNAR 12 COLUMNS </t>
  </si>
  <si>
    <t xml:space="preserve">PRINTING COLUMNAR 14 COLUMNS </t>
  </si>
  <si>
    <t>PRINTING COLUMNAR 16 COLUMNS</t>
  </si>
  <si>
    <t>PRINTING COLUMNAR 3 COLUMNS</t>
  </si>
  <si>
    <t>PRINTING COLUMNAR 8 COLUMNS</t>
  </si>
  <si>
    <t>PRINTING COMPOSITION NOTEBOOK</t>
  </si>
  <si>
    <t>PRINTING CONT. FORM 11X8 1/2 1 PLY</t>
  </si>
  <si>
    <t>PRINTING CONT. FORM 11X8 1/2 3 PLY</t>
  </si>
  <si>
    <t>PRINTING CONT. FORM 11X9 1/2 1 PLY</t>
  </si>
  <si>
    <t>PRINTING CONT. FORM 11X9 1/2 3 PLY</t>
  </si>
  <si>
    <t>PRINTING CONT. FORM CARBONLESS 11X9 1/2 2 PLY</t>
  </si>
  <si>
    <t>PRINTING CORRECTION TAPE 10M</t>
  </si>
  <si>
    <t>PRINTING CRAYONS 16PCS</t>
  </si>
  <si>
    <t>PRINTING CRAYONS 24PCS</t>
  </si>
  <si>
    <t>PRINTING CRAYONS 8PCS</t>
  </si>
  <si>
    <t>PRINTING CREST REFILL RIBBON</t>
  </si>
  <si>
    <t>PRINTING CUTTER BLADE BIG</t>
  </si>
  <si>
    <t>PRINTING CUTTER HEAVY DUTY</t>
  </si>
  <si>
    <t>PRINTING DATE STAMP PAID</t>
  </si>
  <si>
    <t>PRINTING DATE STAMP RECEIVED</t>
  </si>
  <si>
    <t>PRINTING DINAS CATERING MOCHA POLO SHIRT</t>
  </si>
  <si>
    <t>PRINTING DOUBLE SIDED TAPE</t>
  </si>
  <si>
    <t>PRINTING DTR</t>
  </si>
  <si>
    <t>PRINTING ELMERS GLUE 130G</t>
  </si>
  <si>
    <t>PRINTING ELMERS GLUE ALL 40G</t>
  </si>
  <si>
    <t>PRINTING ENVELOPE 7 1/2</t>
  </si>
  <si>
    <t>PRINTING ENVELOPE LONG W/ ASKI LETTER HEAD</t>
  </si>
  <si>
    <t>PRINTING ERASER</t>
  </si>
  <si>
    <t>PRINTING EXPANDING ENVELOPE BROWN SHORT</t>
  </si>
  <si>
    <t>PRINTING EXPANDING ENVELOPE GREEN SHORT</t>
  </si>
  <si>
    <t>PRINTING EXPANDING ENVELOPE SHORT VIOLET</t>
  </si>
  <si>
    <t>PRINTING EXPANDING FOLDER  LONG-2</t>
  </si>
  <si>
    <t>PRINTING EXPANDING FOLDER GREEN LONG</t>
  </si>
  <si>
    <t>PRINTING EXPANDING FOLDER GREEN LONG - 2</t>
  </si>
  <si>
    <t>PRINTING EXPANDING FOLDER GREEN SHORT</t>
  </si>
  <si>
    <t>PRINTING EXPANDING FOLDER LIGHT BLUE LONG</t>
  </si>
  <si>
    <t>PRINTING EXPANDING FOLDER ORANGE LONG</t>
  </si>
  <si>
    <t>PRINTING EXPANDING FOLDER PINK LONG</t>
  </si>
  <si>
    <t>PRINTING EXPANDING FOLDER PINK LONG -2</t>
  </si>
  <si>
    <t>PRINTING EXPANDING FOLDER PINK SHORT</t>
  </si>
  <si>
    <t>PRINTING EXPANDING FOLDER PINK SHORT - 2</t>
  </si>
  <si>
    <t>PRINTING EXPANDING FOLDER RED LONG</t>
  </si>
  <si>
    <t>PRINTING EXPANDING FOLDER RED SHORT</t>
  </si>
  <si>
    <t>PRINTING EXPANDING FOLDER ROYAL BLUE LONG</t>
  </si>
  <si>
    <t>PRINTING EXPANDING FOLDER ROYAL BLUE LONG - 2</t>
  </si>
  <si>
    <t>PRINTING EXPANDING FOLDER ROYAL BLUE SHORT - 2</t>
  </si>
  <si>
    <t>PRINTING EXPANDING FOLDER YELLOW LONG</t>
  </si>
  <si>
    <t>PRINTING FASTENER GATOR 8 1/2 SIZE</t>
  </si>
  <si>
    <t>PRINTING FASTENER HOT ARTS 70MM</t>
  </si>
  <si>
    <t>PRINTING FFNE POLO SHIRT M-2XL</t>
  </si>
  <si>
    <t>PRINTING FILE BOX</t>
  </si>
  <si>
    <t>PRINTING FILE RACK</t>
  </si>
  <si>
    <t>PRINTING FOLDER BROWN SHORT</t>
  </si>
  <si>
    <t>PRINTING FOLDER LONG BLUE</t>
  </si>
  <si>
    <t>PRINTING FOLDER LONG GREEN</t>
  </si>
  <si>
    <t>PRINTING FOLDER LONG ORANGE</t>
  </si>
  <si>
    <t>PRINTING FOLDER LONG PINK</t>
  </si>
  <si>
    <t>PRINTING FOLDER LONG RED</t>
  </si>
  <si>
    <t>PRINTING FOLDER LONG VIOLET</t>
  </si>
  <si>
    <t>PRINTING FOLDER LONG WHITE</t>
  </si>
  <si>
    <t>PRINTING FOLDER LONG YELLOW</t>
  </si>
  <si>
    <t>PRINTING FOLDER SHORT RED</t>
  </si>
  <si>
    <t>PRINTING FOLDER SHORT WHITE</t>
  </si>
  <si>
    <t>PRINTING FOLDER SHORT YELLOW</t>
  </si>
  <si>
    <t>PRINTING FORMS BONUS LONG</t>
  </si>
  <si>
    <t>PRINTING FORMS BONUS SHORT</t>
  </si>
  <si>
    <t>PRINTING FORMS PERFECT PRINT LONG</t>
  </si>
  <si>
    <t>PRINTING FORMS PERFECT PRINT LONG B2B</t>
  </si>
  <si>
    <t>PRINTING FRAME 12X9</t>
  </si>
  <si>
    <t>PRINTING FRAME 18X24</t>
  </si>
  <si>
    <t>PRINTING FULLMARK INK FILM</t>
  </si>
  <si>
    <t>PRINTING GATOR CORRECTION TAPE</t>
  </si>
  <si>
    <t>PRINTING GATOR RUBBERBOND</t>
  </si>
  <si>
    <t>PRINTING GOLDEN LION RUBBERBOND</t>
  </si>
  <si>
    <t>PRINTING HBW MATRIX BLACK</t>
  </si>
  <si>
    <t>PRINTING HBW MATRIX BLACK - 2</t>
  </si>
  <si>
    <t>PRINTING HBW STAMP PAD INK - RED</t>
  </si>
  <si>
    <t>PRINTING HEAVY DUTY PUNCHER</t>
  </si>
  <si>
    <t>PRINTING INTERMEDIATE PAD</t>
  </si>
  <si>
    <t>PRINTING JACKET BURDA NAME ONLY</t>
  </si>
  <si>
    <t>PRINTING JACKET BURDA ONLY-FRONT&amp;BACK</t>
  </si>
  <si>
    <t>PRINTING JOURNAL</t>
  </si>
  <si>
    <t>PRINTING JOY CRAYONS BY 16</t>
  </si>
  <si>
    <t>PRINTING KODAK PHOTO PAPER A4</t>
  </si>
  <si>
    <t>PRINTING KOOPLYMPICS GRAY SHIRT</t>
  </si>
  <si>
    <t>PRINTING KRISTAL TYPEWRITING PAPER LONG</t>
  </si>
  <si>
    <t>PRINTING KRISTAL TYPEWRITING PAPER SHORT</t>
  </si>
  <si>
    <t>PRINTING LAMINATE FILM LETTER SIZE 250MIC</t>
  </si>
  <si>
    <t>PRINTING LAMINATING FILM</t>
  </si>
  <si>
    <t>PRINTING LAMINATING FILM SEAL PLUS</t>
  </si>
  <si>
    <t>PRINTING MAAM ISING RED &amp; VIOLET T-SHIRT W/ DTF PRINT</t>
  </si>
  <si>
    <t>PRINTING MAGIC TOUCH NOTEBOOK</t>
  </si>
  <si>
    <t>PRINTING MAGIC TOUCH NOTEBOOK GRADE 1</t>
  </si>
  <si>
    <t>PRINTING MARVY HIGHLIGHTER</t>
  </si>
  <si>
    <t>PRINTING MASKING TAPE</t>
  </si>
  <si>
    <t>PRINTING MATHEMATICS NOTEBOOK</t>
  </si>
  <si>
    <t>PRINTING MBA MUG WITH UV STICKER</t>
  </si>
  <si>
    <t>PRINTING MFI PASSBOOK W/ COVER</t>
  </si>
  <si>
    <t>PRINTING MIMEO PAPER UNIVERSAL GROUND BONDPAPER</t>
  </si>
  <si>
    <t>PRINTING MY GEL REFILL 0.5</t>
  </si>
  <si>
    <t>PRINTING MY GEL REFILL 0.7</t>
  </si>
  <si>
    <t>PRINTING MY GEL SIGN PEN .05 - NEW</t>
  </si>
  <si>
    <t>PRINTING MY GEL SIGN PEN .07 - NEW</t>
  </si>
  <si>
    <t>PRINTING MY GEL SIGNPEN BLACK 0.7</t>
  </si>
  <si>
    <t>PRINTING OFFICE PRO A4</t>
  </si>
  <si>
    <t>PRINTING OKI CARTRIDGE RIBBON</t>
  </si>
  <si>
    <t>PRINTING OLDTOWN CARBON PAPER LONG</t>
  </si>
  <si>
    <t>PRINTING PACKAGING TAPE CLEAR</t>
  </si>
  <si>
    <t>PRINTING PACKAGING TAPE TAN</t>
  </si>
  <si>
    <t>PRINTING PANDA SUPER BALLPEN BLACK</t>
  </si>
  <si>
    <t>PRINTING PAPER GRADE 1</t>
  </si>
  <si>
    <t>PRINTING PAPER GRADE 2</t>
  </si>
  <si>
    <t>PRINTING PAPER GRADE 3</t>
  </si>
  <si>
    <t>PRINTING PAPER GRADE 4</t>
  </si>
  <si>
    <t>PRINTING PERFECT PRINT A4</t>
  </si>
  <si>
    <t>PRINTING PERFECT PRINT LONG</t>
  </si>
  <si>
    <t>PRINTING PERFECT PRINT SHORT</t>
  </si>
  <si>
    <t>PRINTING PILOT BP-S-F FINE BALLPEN BLACK</t>
  </si>
  <si>
    <t>PRINTING PILOT MARKER BLACK</t>
  </si>
  <si>
    <t>PRINTING PILOT MARKER BLUE</t>
  </si>
  <si>
    <t>PRINTING PILOT MARKER RED</t>
  </si>
  <si>
    <t>PRINTING PILOT SUPER COLOR MARKER REFILL INK</t>
  </si>
  <si>
    <t>PRINTING PILOT WYTEBOARD MARKER BLACK</t>
  </si>
  <si>
    <t>PRINTING PILOT WYTEBOARD MARKER BLUE</t>
  </si>
  <si>
    <t>PRINTING PILOT WYTEBOARD MARKER RED</t>
  </si>
  <si>
    <t>PRINTING PLASTIC CASE OF CALLING CARDS</t>
  </si>
  <si>
    <t>PRINTING PLASTIC ENVELOPE SHORT</t>
  </si>
  <si>
    <t>PRINTING PLASTIC FOLDER GREEN LONG</t>
  </si>
  <si>
    <t>PRINTING PLASTIC FOLDER GREEN LONG - 3</t>
  </si>
  <si>
    <t>PRINTING PLASTIC FOLDER LONG- ROYAL BLUE</t>
  </si>
  <si>
    <t>PRINTING PLASTIC FOLDER ORANGE LONG</t>
  </si>
  <si>
    <t>PRINTING PLASTIC FOLDER PINK LONG</t>
  </si>
  <si>
    <t>PRINTING PLASTIC FOLDER RED LONG</t>
  </si>
  <si>
    <t>PRINTING PLASTIC FOLDER YELLOW LONG - 2</t>
  </si>
  <si>
    <t>PRINTING POSTER 12X9</t>
  </si>
  <si>
    <t>PRINTING POSTER 18X24</t>
  </si>
  <si>
    <t>PRINTING PPC PAPER 70 GSM SHORT</t>
  </si>
  <si>
    <t>PRINTING PUSH PINS 50</t>
  </si>
  <si>
    <t>PRINTING PVC CARDS</t>
  </si>
  <si>
    <t>PRINTING ROLL UP STAND 3X7</t>
  </si>
  <si>
    <t>PRINTING RULER JOY</t>
  </si>
  <si>
    <t>PRINTING SACRED HEART EMBROIDERY ONLY</t>
  </si>
  <si>
    <t>PRINTING SAMPLE UNSTOPPABLE POLO SHIRT</t>
  </si>
  <si>
    <t>PRINTING SCISSOR</t>
  </si>
  <si>
    <t>PRINTING SCISSOR - 2</t>
  </si>
  <si>
    <t>PRINTING SCOTCH TAPE 1- 2</t>
  </si>
  <si>
    <t>PRINTING SHINY RECORD BOOK 150 PAGES</t>
  </si>
  <si>
    <t>PRINTING SHINY RECORD BOOK 500 PAGES</t>
  </si>
  <si>
    <t>PRINTING SOFTCARD ID HOLDER</t>
  </si>
  <si>
    <t>PRINTING SPIRAL WRITING NOTEBOOK</t>
  </si>
  <si>
    <t>PRINTING STABILO BOSS HIGHLIGHTER</t>
  </si>
  <si>
    <t>PRINTING STAINLESS FASTENER</t>
  </si>
  <si>
    <t>PRINTING STAMP PAD INK PURPLE</t>
  </si>
  <si>
    <t>PRINTING STAMP PAD NO. 3 VIOLET INK</t>
  </si>
  <si>
    <t>PRINTING STAPLE WIRE #35 MAX</t>
  </si>
  <si>
    <t>PRINTING STAPLE WIRE #35 MAX - 2</t>
  </si>
  <si>
    <t>PRINTING STAPLER HD-50R/ML W/ REMOVER</t>
  </si>
  <si>
    <t>PRINTING STICKER PAPER GLOSSY</t>
  </si>
  <si>
    <t>PRINTING STICKER PAPER MATTE</t>
  </si>
  <si>
    <t>PRINTING STICKER PAPER-NEW</t>
  </si>
  <si>
    <t>PRINTING STICKY NOTE - 2</t>
  </si>
  <si>
    <t>PRINTING TAPE DISPENSER</t>
  </si>
  <si>
    <t>PRINTING TARPAULIN 1.5X2</t>
  </si>
  <si>
    <t>PRINTING TARPAULIN 1.5X2FT</t>
  </si>
  <si>
    <t>PRINTING TARPAULIN 12X18 W/ FRAME</t>
  </si>
  <si>
    <t>PRINTING TARPAULIN 1X2FT</t>
  </si>
  <si>
    <t>PRINTING TARPAULIN 3X4FT</t>
  </si>
  <si>
    <t>PRINTING TARPAULIN 3X6FT</t>
  </si>
  <si>
    <t>PRINTING UK OFFICE STAPLE WIRE #10</t>
  </si>
  <si>
    <t>PRINTING UK OFFICE STAPLER</t>
  </si>
  <si>
    <t>PRINTING VINYL PAPER CLIPS 33MM</t>
  </si>
  <si>
    <t>PRINTING VINYL PAPER CLIPS 33MM - 2</t>
  </si>
  <si>
    <t>PRINTING VINYL PAPER CLIPS 50MM</t>
  </si>
  <si>
    <t>PRINTING VISION RECORD BOOK TABLET SIZE 150</t>
  </si>
  <si>
    <t>PRINTING VISION RECORD BOOK TABLET SIZE 300</t>
  </si>
  <si>
    <t>PRINTING VISION RECORD BOOK TABLET SIZE 500</t>
  </si>
  <si>
    <t>PRINTING WATER WELL PASTE REDSTONE</t>
  </si>
  <si>
    <t>PRINTING WHITE ENVELOPE SOBRE INVITATION</t>
  </si>
  <si>
    <t>PRINTING WHITE ENVELOPE SOBRE LONG</t>
  </si>
  <si>
    <t>PRINTING WHITE ENVELOPE SOBRE SHORT</t>
  </si>
  <si>
    <t>PRINTING WINDOW ENVELOPE LONG</t>
  </si>
  <si>
    <t>PRINTING WORX BONDPAPER LONG</t>
  </si>
  <si>
    <t>PRINTING WORX BONDPAPER SHORT</t>
  </si>
  <si>
    <t>PRINTING YELLOW RULED PAD</t>
  </si>
  <si>
    <t>13.50</t>
  </si>
  <si>
    <t>18.00</t>
  </si>
  <si>
    <t>45.00</t>
  </si>
  <si>
    <t>30.00</t>
  </si>
  <si>
    <t>120.00</t>
  </si>
  <si>
    <t>36.00</t>
  </si>
  <si>
    <t>4.00</t>
  </si>
  <si>
    <t>3.75</t>
  </si>
  <si>
    <t>105.00</t>
  </si>
  <si>
    <t>3.50</t>
  </si>
  <si>
    <t>6.00</t>
  </si>
  <si>
    <t>4.25</t>
  </si>
  <si>
    <t>1.54</t>
  </si>
  <si>
    <t>145.00</t>
  </si>
  <si>
    <t>95.75</t>
  </si>
  <si>
    <t>81.00</t>
  </si>
  <si>
    <t>99.30</t>
  </si>
  <si>
    <t>84.00</t>
  </si>
  <si>
    <t>17.75</t>
  </si>
  <si>
    <t>2.83</t>
  </si>
  <si>
    <t>2.50</t>
  </si>
  <si>
    <t>375.00</t>
  </si>
  <si>
    <t>1.56</t>
  </si>
  <si>
    <t>2.00</t>
  </si>
  <si>
    <t>9.00</t>
  </si>
  <si>
    <t>295.00</t>
  </si>
  <si>
    <t>12.00</t>
  </si>
  <si>
    <t>11.00</t>
  </si>
  <si>
    <t>1.50</t>
  </si>
  <si>
    <t>370.00</t>
  </si>
  <si>
    <t>146.50</t>
  </si>
  <si>
    <t>130.00</t>
  </si>
  <si>
    <t>21.00</t>
  </si>
  <si>
    <t>42.00</t>
  </si>
  <si>
    <t>379.62</t>
  </si>
  <si>
    <t>486.21</t>
  </si>
  <si>
    <t>302.29</t>
  </si>
  <si>
    <t>523.26</t>
  </si>
  <si>
    <t>1,032.00</t>
  </si>
  <si>
    <t>19.00</t>
  </si>
  <si>
    <t>16.00</t>
  </si>
  <si>
    <t>40.00</t>
  </si>
  <si>
    <t>23.00</t>
  </si>
  <si>
    <t>15.00</t>
  </si>
  <si>
    <t>50.00</t>
  </si>
  <si>
    <t>60.00</t>
  </si>
  <si>
    <t>252.00</t>
  </si>
  <si>
    <t>28.00</t>
  </si>
  <si>
    <t>85.00</t>
  </si>
  <si>
    <t>55.50</t>
  </si>
  <si>
    <t>1.88</t>
  </si>
  <si>
    <t>3.06</t>
  </si>
  <si>
    <t>1.80</t>
  </si>
  <si>
    <t>9.25</t>
  </si>
  <si>
    <t>14.50</t>
  </si>
  <si>
    <t>13.25</t>
  </si>
  <si>
    <t>14.00</t>
  </si>
  <si>
    <t>281.11</t>
  </si>
  <si>
    <t>98.00</t>
  </si>
  <si>
    <t>4.50</t>
  </si>
  <si>
    <t>8.25</t>
  </si>
  <si>
    <t>7.00</t>
  </si>
  <si>
    <t>4.75</t>
  </si>
  <si>
    <t>8.00</t>
  </si>
  <si>
    <t>2.70</t>
  </si>
  <si>
    <t>2.80</t>
  </si>
  <si>
    <t>115.85</t>
  </si>
  <si>
    <t>88.00</t>
  </si>
  <si>
    <t>167.80</t>
  </si>
  <si>
    <t>180.00</t>
  </si>
  <si>
    <t>700.00</t>
  </si>
  <si>
    <t>400.00</t>
  </si>
  <si>
    <t>24.00</t>
  </si>
  <si>
    <t>20.00</t>
  </si>
  <si>
    <t>6.50</t>
  </si>
  <si>
    <t>17.00</t>
  </si>
  <si>
    <t>150.00</t>
  </si>
  <si>
    <t>100.00</t>
  </si>
  <si>
    <t>200.00</t>
  </si>
  <si>
    <t>115.00</t>
  </si>
  <si>
    <t>178.33</t>
  </si>
  <si>
    <t>27.00</t>
  </si>
  <si>
    <t>22.50</t>
  </si>
  <si>
    <t>900.00</t>
  </si>
  <si>
    <t>95.00</t>
  </si>
  <si>
    <t>146.67</t>
  </si>
  <si>
    <t>25.00</t>
  </si>
  <si>
    <t>17.50</t>
  </si>
  <si>
    <t>121.95</t>
  </si>
  <si>
    <t>90.00</t>
  </si>
  <si>
    <t>21.50</t>
  </si>
  <si>
    <t>390.00</t>
  </si>
  <si>
    <t>275.00</t>
  </si>
  <si>
    <t>13.00</t>
  </si>
  <si>
    <t>147.70</t>
  </si>
  <si>
    <t>148.90</t>
  </si>
  <si>
    <t>126.00</t>
  </si>
  <si>
    <t>35.75</t>
  </si>
  <si>
    <t>55.25</t>
  </si>
  <si>
    <t>43.40</t>
  </si>
  <si>
    <t>5.00</t>
  </si>
  <si>
    <t>8.75</t>
  </si>
  <si>
    <t>12.50</t>
  </si>
  <si>
    <t>33.75</t>
  </si>
  <si>
    <t>124.00</t>
  </si>
  <si>
    <t>10.00</t>
  </si>
  <si>
    <t>706.50</t>
  </si>
  <si>
    <t>244.30</t>
  </si>
  <si>
    <t>16.50</t>
  </si>
  <si>
    <t>52.00</t>
  </si>
  <si>
    <t>8.50</t>
  </si>
  <si>
    <t>38.50</t>
  </si>
  <si>
    <t>65.00</t>
  </si>
  <si>
    <t>75.00</t>
  </si>
  <si>
    <t>500.00</t>
  </si>
  <si>
    <t>55.00</t>
  </si>
  <si>
    <t>600.00</t>
  </si>
  <si>
    <t>144.00</t>
  </si>
  <si>
    <t>216.00</t>
  </si>
  <si>
    <t>2.16</t>
  </si>
  <si>
    <t>80.00</t>
  </si>
  <si>
    <t>25.50</t>
  </si>
  <si>
    <t>37.00</t>
  </si>
  <si>
    <t>53.00</t>
  </si>
  <si>
    <t>0.44</t>
  </si>
  <si>
    <t>0.54</t>
  </si>
  <si>
    <t>1.08</t>
  </si>
  <si>
    <t>32.00</t>
  </si>
  <si>
    <t>34.00</t>
  </si>
  <si>
    <t>26.00</t>
  </si>
  <si>
    <t>253</t>
  </si>
  <si>
    <t>53</t>
  </si>
  <si>
    <t>4</t>
  </si>
  <si>
    <t>5</t>
  </si>
  <si>
    <t>3</t>
  </si>
  <si>
    <t>27</t>
  </si>
  <si>
    <t>68</t>
  </si>
  <si>
    <t>157</t>
  </si>
  <si>
    <t>55</t>
  </si>
  <si>
    <t>1</t>
  </si>
  <si>
    <t>7</t>
  </si>
  <si>
    <t>32</t>
  </si>
  <si>
    <t>15</t>
  </si>
  <si>
    <t>48</t>
  </si>
  <si>
    <t>233</t>
  </si>
  <si>
    <t>144</t>
  </si>
  <si>
    <t>400</t>
  </si>
  <si>
    <t>296</t>
  </si>
  <si>
    <t>79</t>
  </si>
  <si>
    <t>110</t>
  </si>
  <si>
    <t>115</t>
  </si>
  <si>
    <t>1990</t>
  </si>
  <si>
    <t>1835</t>
  </si>
  <si>
    <t>748</t>
  </si>
  <si>
    <t>740</t>
  </si>
  <si>
    <t>44</t>
  </si>
  <si>
    <t>500</t>
  </si>
  <si>
    <t>270</t>
  </si>
  <si>
    <t>131</t>
  </si>
  <si>
    <t>14</t>
  </si>
  <si>
    <t>16</t>
  </si>
  <si>
    <t>3650</t>
  </si>
  <si>
    <t>12</t>
  </si>
  <si>
    <t>34</t>
  </si>
  <si>
    <t>20</t>
  </si>
  <si>
    <t>28</t>
  </si>
  <si>
    <t>9</t>
  </si>
  <si>
    <t>86</t>
  </si>
  <si>
    <t>8</t>
  </si>
  <si>
    <t>13</t>
  </si>
  <si>
    <t>10</t>
  </si>
  <si>
    <t>69</t>
  </si>
  <si>
    <t>22</t>
  </si>
  <si>
    <t>295</t>
  </si>
  <si>
    <t>6</t>
  </si>
  <si>
    <t>514</t>
  </si>
  <si>
    <t>470</t>
  </si>
  <si>
    <t>80</t>
  </si>
  <si>
    <t>190</t>
  </si>
  <si>
    <t>139</t>
  </si>
  <si>
    <t>223</t>
  </si>
  <si>
    <t>222</t>
  </si>
  <si>
    <t>100</t>
  </si>
  <si>
    <t>67</t>
  </si>
  <si>
    <t>280</t>
  </si>
  <si>
    <t>43</t>
  </si>
  <si>
    <t>42</t>
  </si>
  <si>
    <t>195</t>
  </si>
  <si>
    <t>495</t>
  </si>
  <si>
    <t>649</t>
  </si>
  <si>
    <t>1001</t>
  </si>
  <si>
    <t>806</t>
  </si>
  <si>
    <t>236</t>
  </si>
  <si>
    <t>288</t>
  </si>
  <si>
    <t>2149</t>
  </si>
  <si>
    <t>390</t>
  </si>
  <si>
    <t>3176</t>
  </si>
  <si>
    <t>147</t>
  </si>
  <si>
    <t>30</t>
  </si>
  <si>
    <t>1440</t>
  </si>
  <si>
    <t>150</t>
  </si>
  <si>
    <t>33</t>
  </si>
  <si>
    <t>37</t>
  </si>
  <si>
    <t>31</t>
  </si>
  <si>
    <t>17</t>
  </si>
  <si>
    <t>25</t>
  </si>
  <si>
    <t>171</t>
  </si>
  <si>
    <t>2500</t>
  </si>
  <si>
    <t>84</t>
  </si>
  <si>
    <t>229</t>
  </si>
  <si>
    <t>120</t>
  </si>
  <si>
    <t>64</t>
  </si>
  <si>
    <t>11</t>
  </si>
  <si>
    <t>360</t>
  </si>
  <si>
    <t>35</t>
  </si>
  <si>
    <t>60</t>
  </si>
  <si>
    <t>75</t>
  </si>
  <si>
    <t>112</t>
  </si>
  <si>
    <t>38</t>
  </si>
  <si>
    <t>19</t>
  </si>
  <si>
    <t>45</t>
  </si>
  <si>
    <t>94</t>
  </si>
  <si>
    <t>108</t>
  </si>
  <si>
    <t>78</t>
  </si>
  <si>
    <t>70</t>
  </si>
  <si>
    <t>46</t>
  </si>
  <si>
    <t>159</t>
  </si>
  <si>
    <t>160</t>
  </si>
  <si>
    <t>180</t>
  </si>
  <si>
    <t>96</t>
  </si>
  <si>
    <t>89</t>
  </si>
  <si>
    <t>57</t>
  </si>
  <si>
    <t>408</t>
  </si>
  <si>
    <t>50</t>
  </si>
  <si>
    <t>21</t>
  </si>
  <si>
    <t>123</t>
  </si>
  <si>
    <t>52</t>
  </si>
  <si>
    <t>24</t>
  </si>
  <si>
    <t>23</t>
  </si>
  <si>
    <t>937</t>
  </si>
  <si>
    <t>751</t>
  </si>
  <si>
    <t>450</t>
  </si>
  <si>
    <t>18</t>
  </si>
  <si>
    <t>92</t>
  </si>
  <si>
    <t>49</t>
  </si>
  <si>
    <t xml:space="preserve">10 FOR PUNCH </t>
  </si>
  <si>
    <t xml:space="preserve">FOR PULL OUT - ADJUSTMENT </t>
  </si>
  <si>
    <t>FOR PULL OUT - ADJUSTMENT (CHOCOLATE)</t>
  </si>
  <si>
    <t>FOR PULL OUT - ADJUSTMENT (JAZZ EAT SALES)</t>
  </si>
  <si>
    <t>FOR PULL OUT - ADJUSTMENT (BADORDER MAY TAPOS INILAGAY PA NLA SA ACTUAL COUNT)</t>
  </si>
  <si>
    <t>FOR PULL OUT - ADJUSTMENT (OVER NA SALES NG MAY 2026)</t>
  </si>
  <si>
    <t>FOR PULL OUT - ADJUSTMENT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</si>
</sst>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5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</cellStyleXfs>
  <cellXfs count="400">
    <xf numFmtId="0" fontId="0" fillId="0" borderId="0" xfId="0"/>
    <xf numFmtId="0" fontId="17" fillId="2" borderId="1" xfId="0" applyFont="1" applyFill="1" applyBorder="1" applyAlignment="1">
      <alignment horizontal="center" vertical="center"/>
    </xf>
    <xf numFmtId="0" fontId="20" fillId="0" borderId="0" xfId="0" applyFont="1"/>
    <xf numFmtId="0" fontId="15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43" fontId="0" fillId="0" borderId="0" xfId="1" applyFont="1"/>
    <xf numFmtId="0" fontId="15" fillId="0" borderId="0" xfId="0" applyFont="1"/>
    <xf numFmtId="0" fontId="16" fillId="0" borderId="0" xfId="0" applyFont="1"/>
    <xf numFmtId="43" fontId="17" fillId="2" borderId="1" xfId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1" fillId="0" borderId="0" xfId="0" applyFont="1"/>
    <xf numFmtId="0" fontId="0" fillId="2" borderId="1" xfId="0" applyFill="1" applyBorder="1"/>
    <xf numFmtId="0" fontId="15" fillId="2" borderId="1" xfId="0" applyFont="1" applyFill="1" applyBorder="1"/>
    <xf numFmtId="43" fontId="15" fillId="2" borderId="1" xfId="1" applyFont="1" applyFill="1" applyBorder="1"/>
    <xf numFmtId="164" fontId="0" fillId="2" borderId="1" xfId="1" applyNumberFormat="1" applyFont="1" applyFill="1" applyBorder="1"/>
    <xf numFmtId="164" fontId="0" fillId="0" borderId="0" xfId="0" applyNumberFormat="1"/>
    <xf numFmtId="164" fontId="0" fillId="0" borderId="0" xfId="1" applyNumberFormat="1" applyFont="1"/>
    <xf numFmtId="0" fontId="15" fillId="2" borderId="8" xfId="0" applyFont="1" applyFill="1" applyBorder="1"/>
    <xf numFmtId="0" fontId="15" fillId="2" borderId="3" xfId="0" applyFont="1" applyFill="1" applyBorder="1"/>
    <xf numFmtId="0" fontId="17" fillId="2" borderId="1" xfId="0" applyFont="1" applyFill="1" applyBorder="1"/>
    <xf numFmtId="43" fontId="0" fillId="0" borderId="1" xfId="0" applyNumberFormat="1" applyBorder="1" applyAlignment="1">
      <alignment horizontal="center" vertical="center"/>
    </xf>
    <xf numFmtId="41" fontId="0" fillId="0" borderId="1" xfId="0" applyNumberFormat="1" applyBorder="1"/>
    <xf numFmtId="43" fontId="15" fillId="2" borderId="1" xfId="0" applyNumberFormat="1" applyFont="1" applyFill="1" applyBorder="1" applyAlignment="1">
      <alignment horizontal="center" vertical="center"/>
    </xf>
    <xf numFmtId="41" fontId="15" fillId="2" borderId="1" xfId="0" applyNumberFormat="1" applyFont="1" applyFill="1" applyBorder="1"/>
    <xf numFmtId="0" fontId="0" fillId="2" borderId="2" xfId="0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26" fillId="2" borderId="1" xfId="0" applyFont="1" applyFill="1" applyBorder="1" applyAlignment="1">
      <alignment horizontal="center" vertical="center" wrapText="1"/>
    </xf>
    <xf numFmtId="164" fontId="26" fillId="2" borderId="1" xfId="1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7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0" fillId="5" borderId="0" xfId="0" applyFill="1"/>
    <xf numFmtId="1" fontId="26" fillId="2" borderId="1" xfId="0" applyNumberFormat="1" applyFont="1" applyFill="1" applyBorder="1" applyAlignment="1">
      <alignment horizontal="center" vertical="center" wrapText="1"/>
    </xf>
    <xf numFmtId="43" fontId="26" fillId="2" borderId="1" xfId="1" applyFont="1" applyFill="1" applyBorder="1" applyAlignment="1">
      <alignment horizontal="center" vertical="center" wrapText="1"/>
    </xf>
    <xf numFmtId="43" fontId="27" fillId="3" borderId="1" xfId="1" applyFont="1" applyFill="1" applyBorder="1" applyAlignment="1">
      <alignment vertical="center"/>
    </xf>
    <xf numFmtId="0" fontId="31" fillId="2" borderId="1" xfId="0" applyFont="1" applyFill="1" applyBorder="1" applyAlignment="1">
      <alignment horizontal="center" vertical="center" wrapText="1"/>
    </xf>
    <xf numFmtId="164" fontId="2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15" fillId="2" borderId="2" xfId="1" applyFont="1" applyFill="1" applyBorder="1" applyAlignment="1">
      <alignment horizontal="center"/>
    </xf>
    <xf numFmtId="43" fontId="20" fillId="0" borderId="0" xfId="1" applyFont="1" applyAlignment="1">
      <alignment horizontal="center"/>
    </xf>
    <xf numFmtId="43" fontId="15" fillId="0" borderId="0" xfId="1" applyFont="1" applyAlignment="1">
      <alignment horizontal="center"/>
    </xf>
    <xf numFmtId="0" fontId="32" fillId="0" borderId="0" xfId="0" applyFont="1"/>
    <xf numFmtId="1" fontId="31" fillId="2" borderId="1" xfId="0" applyNumberFormat="1" applyFont="1" applyFill="1" applyBorder="1" applyAlignment="1">
      <alignment horizontal="center" vertical="center" wrapText="1"/>
    </xf>
    <xf numFmtId="43" fontId="31" fillId="2" borderId="1" xfId="1" applyFont="1" applyFill="1" applyBorder="1" applyAlignment="1">
      <alignment horizontal="center" vertical="center" wrapText="1"/>
    </xf>
    <xf numFmtId="164" fontId="31" fillId="2" borderId="1" xfId="1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 wrapText="1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43" fontId="13" fillId="3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center"/>
    </xf>
    <xf numFmtId="43" fontId="13" fillId="5" borderId="1" xfId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4" fontId="15" fillId="6" borderId="2" xfId="1" applyNumberFormat="1" applyFont="1" applyFill="1" applyBorder="1" applyAlignment="1">
      <alignment horizontal="center"/>
    </xf>
    <xf numFmtId="0" fontId="33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4" fontId="18" fillId="5" borderId="1" xfId="0" applyNumberFormat="1" applyFont="1" applyFill="1" applyBorder="1" applyAlignment="1">
      <alignment horizontal="center" vertical="center"/>
    </xf>
    <xf numFmtId="0" fontId="30" fillId="5" borderId="0" xfId="0" applyFont="1" applyFill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8" fillId="5" borderId="1" xfId="0" applyFont="1" applyFill="1" applyBorder="1" applyAlignment="1">
      <alignment horizontal="center"/>
    </xf>
    <xf numFmtId="0" fontId="15" fillId="7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wrapText="1"/>
    </xf>
    <xf numFmtId="164" fontId="17" fillId="2" borderId="1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43" fontId="18" fillId="3" borderId="1" xfId="1" applyFont="1" applyFill="1" applyBorder="1" applyAlignment="1">
      <alignment horizontal="right" vertical="center" wrapText="1"/>
    </xf>
    <xf numFmtId="0" fontId="18" fillId="3" borderId="1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 wrapText="1"/>
    </xf>
    <xf numFmtId="43" fontId="10" fillId="3" borderId="1" xfId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39" fillId="9" borderId="0" xfId="0" applyFont="1" applyFill="1" applyAlignment="1">
      <alignment vertical="center"/>
    </xf>
    <xf numFmtId="164" fontId="39" fillId="9" borderId="0" xfId="0" applyNumberFormat="1" applyFont="1" applyFill="1" applyAlignment="1">
      <alignment vertical="center"/>
    </xf>
    <xf numFmtId="0" fontId="10" fillId="0" borderId="0" xfId="0" applyFont="1"/>
    <xf numFmtId="43" fontId="0" fillId="0" borderId="0" xfId="0" applyNumberFormat="1"/>
    <xf numFmtId="17" fontId="10" fillId="3" borderId="1" xfId="0" applyNumberFormat="1" applyFont="1" applyFill="1" applyBorder="1" applyAlignment="1">
      <alignment vertical="center" wrapText="1"/>
    </xf>
    <xf numFmtId="14" fontId="10" fillId="3" borderId="1" xfId="0" applyNumberFormat="1" applyFont="1" applyFill="1" applyBorder="1" applyAlignment="1">
      <alignment vertical="center" wrapText="1"/>
    </xf>
    <xf numFmtId="17" fontId="0" fillId="0" borderId="0" xfId="0" applyNumberFormat="1"/>
    <xf numFmtId="0" fontId="0" fillId="8" borderId="0" xfId="0" applyFill="1"/>
    <xf numFmtId="0" fontId="10" fillId="8" borderId="0" xfId="0" applyFont="1" applyFill="1"/>
    <xf numFmtId="0" fontId="18" fillId="3" borderId="1" xfId="0" quotePrefix="1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left" vertical="center" wrapText="1"/>
    </xf>
    <xf numFmtId="43" fontId="18" fillId="10" borderId="1" xfId="1" applyFont="1" applyFill="1" applyBorder="1" applyAlignment="1">
      <alignment horizontal="righ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8" fillId="11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quotePrefix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43" fontId="18" fillId="0" borderId="1" xfId="1" applyFont="1" applyFill="1" applyBorder="1" applyAlignment="1">
      <alignment horizontal="right" vertical="center" wrapText="1"/>
    </xf>
    <xf numFmtId="0" fontId="10" fillId="0" borderId="2" xfId="0" applyFont="1" applyBorder="1" applyAlignment="1">
      <alignment vertical="center" wrapText="1"/>
    </xf>
    <xf numFmtId="0" fontId="18" fillId="0" borderId="2" xfId="0" quotePrefix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43" fontId="18" fillId="0" borderId="2" xfId="1" applyFont="1" applyFill="1" applyBorder="1" applyAlignment="1">
      <alignment horizontal="right" vertical="center" wrapText="1"/>
    </xf>
    <xf numFmtId="17" fontId="10" fillId="0" borderId="0" xfId="0" applyNumberFormat="1" applyFont="1"/>
    <xf numFmtId="0" fontId="18" fillId="3" borderId="3" xfId="0" applyFont="1" applyFill="1" applyBorder="1" applyAlignment="1">
      <alignment vertical="center" wrapText="1"/>
    </xf>
    <xf numFmtId="0" fontId="18" fillId="3" borderId="2" xfId="0" quotePrefix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left" vertical="center" wrapText="1"/>
    </xf>
    <xf numFmtId="43" fontId="18" fillId="3" borderId="2" xfId="1" applyFont="1" applyFill="1" applyBorder="1" applyAlignment="1">
      <alignment horizontal="right" vertical="center" wrapText="1"/>
    </xf>
    <xf numFmtId="0" fontId="10" fillId="3" borderId="2" xfId="0" applyFont="1" applyFill="1" applyBorder="1" applyAlignment="1">
      <alignment vertical="center" wrapText="1"/>
    </xf>
    <xf numFmtId="2" fontId="38" fillId="5" borderId="1" xfId="1" applyNumberFormat="1" applyFont="1" applyFill="1" applyBorder="1" applyAlignment="1">
      <alignment horizontal="right"/>
    </xf>
    <xf numFmtId="2" fontId="38" fillId="5" borderId="2" xfId="1" applyNumberFormat="1" applyFont="1" applyFill="1" applyBorder="1" applyAlignment="1">
      <alignment horizontal="right"/>
    </xf>
    <xf numFmtId="0" fontId="38" fillId="12" borderId="1" xfId="0" applyFont="1" applyFill="1" applyBorder="1" applyAlignment="1">
      <alignment horizontal="center"/>
    </xf>
    <xf numFmtId="0" fontId="10" fillId="2" borderId="2" xfId="0" applyFont="1" applyFill="1" applyBorder="1"/>
    <xf numFmtId="0" fontId="10" fillId="2" borderId="2" xfId="0" applyFont="1" applyFill="1" applyBorder="1" applyAlignment="1">
      <alignment wrapText="1"/>
    </xf>
    <xf numFmtId="43" fontId="10" fillId="2" borderId="2" xfId="1" applyFont="1" applyFill="1" applyBorder="1" applyAlignment="1">
      <alignment horizontal="center"/>
    </xf>
    <xf numFmtId="164" fontId="10" fillId="2" borderId="2" xfId="1" applyNumberFormat="1" applyFont="1" applyFill="1" applyBorder="1" applyAlignment="1">
      <alignment horizontal="center" vertical="center" wrapText="1"/>
    </xf>
    <xf numFmtId="0" fontId="15" fillId="0" borderId="0" xfId="1" applyNumberFormat="1" applyFont="1"/>
    <xf numFmtId="43" fontId="15" fillId="0" borderId="0" xfId="0" applyNumberFormat="1" applyFont="1"/>
    <xf numFmtId="1" fontId="17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wrapText="1"/>
    </xf>
    <xf numFmtId="0" fontId="40" fillId="0" borderId="5" xfId="0" applyFont="1" applyBorder="1"/>
    <xf numFmtId="0" fontId="19" fillId="0" borderId="6" xfId="0" applyFont="1" applyBorder="1"/>
    <xf numFmtId="41" fontId="0" fillId="0" borderId="1" xfId="0" applyNumberFormat="1" applyBorder="1" applyAlignment="1">
      <alignment wrapText="1"/>
    </xf>
    <xf numFmtId="0" fontId="40" fillId="0" borderId="1" xfId="0" applyFont="1" applyBorder="1"/>
    <xf numFmtId="0" fontId="19" fillId="0" borderId="1" xfId="0" applyFont="1" applyBorder="1"/>
    <xf numFmtId="0" fontId="17" fillId="2" borderId="5" xfId="0" applyFont="1" applyFill="1" applyBorder="1"/>
    <xf numFmtId="0" fontId="17" fillId="2" borderId="6" xfId="0" applyFont="1" applyFill="1" applyBorder="1"/>
    <xf numFmtId="41" fontId="15" fillId="2" borderId="1" xfId="0" applyNumberFormat="1" applyFont="1" applyFill="1" applyBorder="1" applyAlignment="1">
      <alignment horizontal="center" wrapText="1"/>
    </xf>
    <xf numFmtId="0" fontId="20" fillId="0" borderId="0" xfId="0" applyFont="1" applyAlignment="1">
      <alignment wrapText="1"/>
    </xf>
    <xf numFmtId="43" fontId="20" fillId="0" borderId="0" xfId="1" applyFont="1"/>
    <xf numFmtId="164" fontId="20" fillId="0" borderId="0" xfId="1" applyNumberFormat="1" applyFont="1"/>
    <xf numFmtId="0" fontId="15" fillId="0" borderId="3" xfId="0" applyFont="1" applyBorder="1" applyAlignment="1">
      <alignment horizontal="center" wrapText="1"/>
    </xf>
    <xf numFmtId="43" fontId="15" fillId="0" borderId="0" xfId="1" applyFont="1"/>
    <xf numFmtId="0" fontId="0" fillId="0" borderId="0" xfId="0" applyAlignment="1">
      <alignment horizontal="center" wrapText="1"/>
    </xf>
    <xf numFmtId="0" fontId="15" fillId="0" borderId="0" xfId="0" applyFont="1" applyAlignment="1">
      <alignment wrapText="1"/>
    </xf>
    <xf numFmtId="43" fontId="17" fillId="2" borderId="1" xfId="0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40" fillId="5" borderId="0" xfId="0" applyFont="1" applyFill="1" applyAlignment="1">
      <alignment wrapText="1"/>
    </xf>
    <xf numFmtId="0" fontId="40" fillId="0" borderId="0" xfId="0" applyFont="1"/>
    <xf numFmtId="0" fontId="41" fillId="3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left" vertical="center" wrapText="1"/>
    </xf>
    <xf numFmtId="43" fontId="41" fillId="3" borderId="1" xfId="1" applyFont="1" applyFill="1" applyBorder="1" applyAlignment="1">
      <alignment horizontal="right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43" fontId="10" fillId="5" borderId="1" xfId="1" applyFont="1" applyFill="1" applyBorder="1" applyAlignment="1">
      <alignment horizontal="center" vertical="center" wrapText="1"/>
    </xf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4" fontId="0" fillId="0" borderId="0" xfId="0" applyNumberFormat="1"/>
    <xf numFmtId="1" fontId="40" fillId="0" borderId="0" xfId="0" applyNumberFormat="1" applyFont="1" applyAlignment="1">
      <alignment horizontal="center"/>
    </xf>
    <xf numFmtId="0" fontId="42" fillId="0" borderId="0" xfId="0" applyFont="1"/>
    <xf numFmtId="0" fontId="43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8" fillId="13" borderId="2" xfId="0" quotePrefix="1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left" vertical="center" wrapText="1"/>
    </xf>
    <xf numFmtId="17" fontId="0" fillId="0" borderId="0" xfId="0" quotePrefix="1" applyNumberFormat="1"/>
    <xf numFmtId="0" fontId="18" fillId="5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2" fontId="17" fillId="4" borderId="7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18" fillId="5" borderId="1" xfId="0" applyFont="1" applyFill="1" applyBorder="1" applyAlignment="1">
      <alignment vertical="center" wrapText="1"/>
    </xf>
    <xf numFmtId="43" fontId="18" fillId="5" borderId="1" xfId="1" applyFont="1" applyFill="1" applyBorder="1" applyAlignment="1">
      <alignment horizontal="right" vertical="center" wrapText="1"/>
    </xf>
    <xf numFmtId="0" fontId="18" fillId="5" borderId="1" xfId="1" applyNumberFormat="1" applyFont="1" applyFill="1" applyBorder="1" applyAlignment="1">
      <alignment horizontal="center" vertical="center" wrapText="1"/>
    </xf>
    <xf numFmtId="164" fontId="10" fillId="5" borderId="1" xfId="1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39" fillId="5" borderId="0" xfId="0" applyFont="1" applyFill="1" applyAlignment="1">
      <alignment vertical="center"/>
    </xf>
    <xf numFmtId="164" fontId="39" fillId="5" borderId="0" xfId="0" applyNumberFormat="1" applyFont="1" applyFill="1" applyAlignment="1">
      <alignment vertical="center"/>
    </xf>
    <xf numFmtId="0" fontId="37" fillId="3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left" vertical="center" wrapText="1"/>
    </xf>
    <xf numFmtId="43" fontId="37" fillId="3" borderId="1" xfId="1" applyFont="1" applyFill="1" applyBorder="1" applyAlignment="1">
      <alignment horizontal="right" vertical="center" wrapText="1"/>
    </xf>
    <xf numFmtId="164" fontId="37" fillId="3" borderId="1" xfId="1" applyNumberFormat="1" applyFont="1" applyFill="1" applyBorder="1" applyAlignment="1">
      <alignment horizontal="center" vertical="center" wrapText="1"/>
    </xf>
    <xf numFmtId="43" fontId="37" fillId="3" borderId="1" xfId="1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vertical="center" wrapText="1"/>
    </xf>
    <xf numFmtId="0" fontId="38" fillId="5" borderId="0" xfId="0" applyFont="1" applyFill="1" applyAlignment="1">
      <alignment horizontal="center"/>
    </xf>
    <xf numFmtId="0" fontId="15" fillId="0" borderId="0" xfId="0" quotePrefix="1" applyFont="1"/>
    <xf numFmtId="0" fontId="0" fillId="5" borderId="0" xfId="0" applyFill="1" applyAlignment="1">
      <alignment horizontal="center"/>
    </xf>
    <xf numFmtId="14" fontId="0" fillId="5" borderId="0" xfId="0" applyNumberFormat="1" applyFill="1"/>
    <xf numFmtId="0" fontId="10" fillId="5" borderId="0" xfId="0" applyFont="1" applyFill="1"/>
    <xf numFmtId="14" fontId="44" fillId="5" borderId="12" xfId="0" applyNumberFormat="1" applyFont="1" applyFill="1" applyBorder="1" applyAlignment="1">
      <alignment horizontal="center" vertical="center" wrapText="1"/>
    </xf>
    <xf numFmtId="0" fontId="44" fillId="5" borderId="13" xfId="0" applyFont="1" applyFill="1" applyBorder="1" applyAlignment="1">
      <alignment horizontal="center" vertical="center" wrapText="1"/>
    </xf>
    <xf numFmtId="43" fontId="44" fillId="5" borderId="13" xfId="1" applyFont="1" applyFill="1" applyBorder="1" applyAlignment="1">
      <alignment horizontal="center" vertical="center" wrapText="1"/>
    </xf>
    <xf numFmtId="14" fontId="38" fillId="5" borderId="14" xfId="0" applyNumberFormat="1" applyFont="1" applyFill="1" applyBorder="1" applyAlignment="1">
      <alignment horizontal="center"/>
    </xf>
    <xf numFmtId="0" fontId="38" fillId="5" borderId="2" xfId="0" applyFont="1" applyFill="1" applyBorder="1" applyAlignment="1">
      <alignment horizontal="center"/>
    </xf>
    <xf numFmtId="0" fontId="38" fillId="5" borderId="2" xfId="0" applyFont="1" applyFill="1" applyBorder="1" applyAlignment="1">
      <alignment horizontal="left"/>
    </xf>
    <xf numFmtId="43" fontId="38" fillId="5" borderId="2" xfId="1" applyFont="1" applyFill="1" applyBorder="1" applyAlignment="1">
      <alignment horizontal="right"/>
    </xf>
    <xf numFmtId="14" fontId="38" fillId="5" borderId="15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0" fontId="38" fillId="5" borderId="1" xfId="1" applyNumberFormat="1" applyFont="1" applyFill="1" applyBorder="1" applyAlignment="1">
      <alignment horizontal="right"/>
    </xf>
    <xf numFmtId="43" fontId="44" fillId="5" borderId="19" xfId="1" applyFont="1" applyFill="1" applyBorder="1" applyAlignment="1">
      <alignment horizontal="center"/>
    </xf>
    <xf numFmtId="43" fontId="44" fillId="5" borderId="21" xfId="1" applyFont="1" applyFill="1" applyBorder="1" applyAlignment="1">
      <alignment horizontal="center" vertical="center" wrapText="1"/>
    </xf>
    <xf numFmtId="43" fontId="44" fillId="5" borderId="22" xfId="1" applyFont="1" applyFill="1" applyBorder="1" applyAlignment="1">
      <alignment horizontal="center" vertical="center" wrapText="1"/>
    </xf>
    <xf numFmtId="43" fontId="38" fillId="5" borderId="2" xfId="1" applyFont="1" applyFill="1" applyBorder="1" applyAlignment="1">
      <alignment horizontal="center"/>
    </xf>
    <xf numFmtId="43" fontId="38" fillId="5" borderId="23" xfId="0" applyNumberFormat="1" applyFont="1" applyFill="1" applyBorder="1" applyAlignment="1">
      <alignment horizontal="center"/>
    </xf>
    <xf numFmtId="43" fontId="45" fillId="5" borderId="13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40" fillId="5" borderId="1" xfId="0" applyNumberFormat="1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18" fillId="8" borderId="1" xfId="1" applyNumberFormat="1" applyFont="1" applyFill="1" applyBorder="1" applyAlignment="1">
      <alignment horizontal="center" vertical="center" wrapText="1"/>
    </xf>
    <xf numFmtId="0" fontId="18" fillId="8" borderId="2" xfId="1" applyNumberFormat="1" applyFont="1" applyFill="1" applyBorder="1" applyAlignment="1">
      <alignment horizontal="center" vertical="center" wrapText="1"/>
    </xf>
    <xf numFmtId="14" fontId="15" fillId="5" borderId="0" xfId="0" applyNumberFormat="1" applyFont="1" applyFill="1" applyAlignment="1">
      <alignment horizontal="center"/>
    </xf>
    <xf numFmtId="14" fontId="33" fillId="5" borderId="0" xfId="0" applyNumberFormat="1" applyFont="1" applyFill="1" applyAlignment="1">
      <alignment horizontal="center"/>
    </xf>
    <xf numFmtId="164" fontId="46" fillId="2" borderId="1" xfId="1" applyNumberFormat="1" applyFont="1" applyFill="1" applyBorder="1" applyAlignment="1">
      <alignment horizontal="center" vertical="center" wrapText="1"/>
    </xf>
    <xf numFmtId="0" fontId="18" fillId="7" borderId="1" xfId="1" applyNumberFormat="1" applyFont="1" applyFill="1" applyBorder="1" applyAlignment="1">
      <alignment horizontal="center" vertical="center" wrapText="1"/>
    </xf>
    <xf numFmtId="0" fontId="18" fillId="7" borderId="2" xfId="1" applyNumberFormat="1" applyFont="1" applyFill="1" applyBorder="1" applyAlignment="1">
      <alignment horizontal="center" vertical="center" wrapText="1"/>
    </xf>
    <xf numFmtId="0" fontId="18" fillId="5" borderId="2" xfId="1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164" fontId="15" fillId="2" borderId="2" xfId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18" fillId="5" borderId="1" xfId="0" quotePrefix="1" applyFont="1" applyFill="1" applyBorder="1" applyAlignment="1">
      <alignment horizontal="center" vertical="center" wrapText="1"/>
    </xf>
    <xf numFmtId="9" fontId="18" fillId="7" borderId="1" xfId="1" applyNumberFormat="1" applyFont="1" applyFill="1" applyBorder="1" applyAlignment="1">
      <alignment horizontal="center" vertical="center" wrapText="1"/>
    </xf>
    <xf numFmtId="0" fontId="37" fillId="8" borderId="1" xfId="1" applyNumberFormat="1" applyFont="1" applyFill="1" applyBorder="1" applyAlignment="1">
      <alignment horizontal="center" vertical="center" wrapText="1"/>
    </xf>
    <xf numFmtId="0" fontId="37" fillId="5" borderId="1" xfId="1" applyNumberFormat="1" applyFont="1" applyFill="1" applyBorder="1" applyAlignment="1">
      <alignment horizontal="center" vertical="center" wrapText="1"/>
    </xf>
    <xf numFmtId="0" fontId="37" fillId="7" borderId="1" xfId="1" applyNumberFormat="1" applyFont="1" applyFill="1" applyBorder="1" applyAlignment="1">
      <alignment horizontal="center" vertical="center" wrapText="1"/>
    </xf>
    <xf numFmtId="0" fontId="15" fillId="0" borderId="3" xfId="0" applyFont="1" applyBorder="1"/>
    <xf numFmtId="0" fontId="0" fillId="0" borderId="4" xfId="0" applyBorder="1"/>
    <xf numFmtId="0" fontId="7" fillId="5" borderId="0" xfId="0" applyFont="1" applyFill="1"/>
    <xf numFmtId="0" fontId="7" fillId="5" borderId="0" xfId="0" applyFont="1" applyFill="1" applyAlignment="1">
      <alignment horizontal="center"/>
    </xf>
    <xf numFmtId="14" fontId="7" fillId="5" borderId="0" xfId="0" applyNumberFormat="1" applyFont="1" applyFill="1"/>
    <xf numFmtId="0" fontId="15" fillId="5" borderId="0" xfId="0" applyFont="1" applyFill="1" applyAlignment="1">
      <alignment horizontal="center"/>
    </xf>
    <xf numFmtId="0" fontId="42" fillId="5" borderId="0" xfId="0" applyFont="1" applyFill="1"/>
    <xf numFmtId="0" fontId="42" fillId="5" borderId="0" xfId="0" applyFont="1" applyFill="1" applyAlignment="1">
      <alignment horizontal="center"/>
    </xf>
    <xf numFmtId="1" fontId="40" fillId="5" borderId="0" xfId="0" applyNumberFormat="1" applyFont="1" applyFill="1" applyAlignment="1">
      <alignment horizontal="center"/>
    </xf>
    <xf numFmtId="0" fontId="40" fillId="5" borderId="0" xfId="0" applyFont="1" applyFill="1" applyAlignment="1">
      <alignment horizontal="center"/>
    </xf>
    <xf numFmtId="43" fontId="15" fillId="5" borderId="0" xfId="1" applyFont="1" applyFill="1" applyAlignment="1">
      <alignment horizontal="center"/>
    </xf>
    <xf numFmtId="14" fontId="10" fillId="0" borderId="24" xfId="0" applyNumberFormat="1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4" xfId="0" applyBorder="1"/>
    <xf numFmtId="14" fontId="49" fillId="0" borderId="1" xfId="0" applyNumberFormat="1" applyFont="1" applyBorder="1" applyAlignment="1">
      <alignment horizontal="center"/>
    </xf>
    <xf numFmtId="0" fontId="49" fillId="15" borderId="1" xfId="0" applyFont="1" applyFill="1" applyBorder="1" applyAlignment="1">
      <alignment horizontal="left"/>
    </xf>
    <xf numFmtId="0" fontId="51" fillId="0" borderId="1" xfId="0" applyFont="1" applyBorder="1"/>
    <xf numFmtId="0" fontId="51" fillId="0" borderId="1" xfId="0" applyFont="1" applyBorder="1" applyAlignment="1">
      <alignment horizontal="center"/>
    </xf>
    <xf numFmtId="43" fontId="51" fillId="15" borderId="1" xfId="0" applyNumberFormat="1" applyFont="1" applyFill="1" applyBorder="1" applyAlignment="1">
      <alignment horizontal="center" vertical="center" wrapText="1"/>
    </xf>
    <xf numFmtId="2" fontId="51" fillId="15" borderId="1" xfId="0" applyNumberFormat="1" applyFont="1" applyFill="1" applyBorder="1" applyAlignment="1">
      <alignment horizontal="right" vertical="center"/>
    </xf>
    <xf numFmtId="0" fontId="51" fillId="15" borderId="1" xfId="0" applyFont="1" applyFill="1" applyBorder="1" applyAlignment="1">
      <alignment horizontal="left" vertical="center" wrapText="1"/>
    </xf>
    <xf numFmtId="0" fontId="51" fillId="15" borderId="1" xfId="0" applyFont="1" applyFill="1" applyBorder="1" applyAlignment="1">
      <alignment horizontal="center" vertical="center" wrapText="1"/>
    </xf>
    <xf numFmtId="14" fontId="49" fillId="15" borderId="1" xfId="0" applyNumberFormat="1" applyFont="1" applyFill="1" applyBorder="1" applyAlignment="1">
      <alignment horizontal="center"/>
    </xf>
    <xf numFmtId="0" fontId="49" fillId="15" borderId="1" xfId="0" applyFont="1" applyFill="1" applyBorder="1"/>
    <xf numFmtId="0" fontId="51" fillId="15" borderId="1" xfId="0" applyFont="1" applyFill="1" applyBorder="1" applyAlignment="1">
      <alignment horizontal="right" vertical="center"/>
    </xf>
    <xf numFmtId="0" fontId="51" fillId="15" borderId="1" xfId="0" applyFont="1" applyFill="1" applyBorder="1" applyAlignment="1">
      <alignment vertical="top" wrapText="1"/>
    </xf>
    <xf numFmtId="0" fontId="51" fillId="15" borderId="1" xfId="0" applyFont="1" applyFill="1" applyBorder="1" applyAlignment="1">
      <alignment horizontal="right" vertical="center" wrapText="1"/>
    </xf>
    <xf numFmtId="4" fontId="51" fillId="15" borderId="1" xfId="0" applyNumberFormat="1" applyFont="1" applyFill="1" applyBorder="1" applyAlignment="1">
      <alignment horizontal="right" vertical="center" wrapText="1"/>
    </xf>
    <xf numFmtId="2" fontId="51" fillId="15" borderId="1" xfId="0" applyNumberFormat="1" applyFont="1" applyFill="1" applyBorder="1" applyAlignment="1">
      <alignment horizontal="right" vertical="center" wrapText="1"/>
    </xf>
    <xf numFmtId="1" fontId="51" fillId="15" borderId="1" xfId="0" applyNumberFormat="1" applyFont="1" applyFill="1" applyBorder="1" applyAlignment="1">
      <alignment horizontal="center" vertical="center" wrapText="1"/>
    </xf>
    <xf numFmtId="0" fontId="51" fillId="0" borderId="1" xfId="0" applyFont="1" applyBorder="1" applyAlignment="1">
      <alignment vertical="top" wrapText="1"/>
    </xf>
    <xf numFmtId="1" fontId="51" fillId="0" borderId="1" xfId="0" applyNumberFormat="1" applyFont="1" applyBorder="1" applyAlignment="1">
      <alignment horizontal="center" vertical="center" wrapText="1"/>
    </xf>
    <xf numFmtId="2" fontId="51" fillId="0" borderId="1" xfId="0" applyNumberFormat="1" applyFont="1" applyBorder="1" applyAlignment="1">
      <alignment horizontal="right" vertical="center" wrapText="1"/>
    </xf>
    <xf numFmtId="0" fontId="51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right"/>
    </xf>
    <xf numFmtId="0" fontId="51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right" vertical="center" wrapText="1"/>
    </xf>
    <xf numFmtId="14" fontId="50" fillId="0" borderId="1" xfId="0" applyNumberFormat="1" applyFont="1" applyBorder="1" applyAlignment="1">
      <alignment horizontal="center"/>
    </xf>
    <xf numFmtId="0" fontId="50" fillId="0" borderId="1" xfId="0" applyFont="1" applyBorder="1" applyAlignment="1">
      <alignment horizontal="left"/>
    </xf>
    <xf numFmtId="2" fontId="51" fillId="0" borderId="1" xfId="0" applyNumberFormat="1" applyFont="1" applyBorder="1" applyAlignment="1">
      <alignment vertical="center" wrapText="1"/>
    </xf>
    <xf numFmtId="2" fontId="51" fillId="0" borderId="1" xfId="0" applyNumberFormat="1" applyFont="1" applyBorder="1"/>
    <xf numFmtId="0" fontId="49" fillId="0" borderId="1" xfId="0" applyFont="1" applyBorder="1"/>
    <xf numFmtId="0" fontId="49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4" fontId="4" fillId="2" borderId="0" xfId="0" applyNumberFormat="1" applyFont="1" applyFill="1"/>
    <xf numFmtId="0" fontId="0" fillId="5" borderId="0" xfId="0" applyFill="1" applyAlignment="1">
      <alignment horizontal="right"/>
    </xf>
    <xf numFmtId="0" fontId="4" fillId="5" borderId="0" xfId="0" applyFont="1" applyFill="1" applyAlignment="1">
      <alignment horizontal="right"/>
    </xf>
    <xf numFmtId="164" fontId="0" fillId="5" borderId="0" xfId="1" applyNumberFormat="1" applyFont="1" applyFill="1" applyAlignment="1">
      <alignment horizontal="center" vertical="center" wrapText="1"/>
    </xf>
    <xf numFmtId="0" fontId="51" fillId="5" borderId="1" xfId="0" applyFont="1" applyFill="1" applyBorder="1" applyAlignment="1">
      <alignment horizontal="center" vertical="center" wrapText="1"/>
    </xf>
    <xf numFmtId="2" fontId="0" fillId="5" borderId="4" xfId="0" applyNumberFormat="1" applyFill="1" applyBorder="1" applyAlignment="1">
      <alignment horizontal="center" vertical="center" wrapText="1"/>
    </xf>
    <xf numFmtId="2" fontId="0" fillId="5" borderId="0" xfId="0" applyNumberFormat="1" applyFill="1" applyAlignment="1">
      <alignment horizontal="center" vertical="center" wrapText="1"/>
    </xf>
    <xf numFmtId="2" fontId="0" fillId="5" borderId="3" xfId="0" applyNumberFormat="1" applyFill="1" applyBorder="1" applyAlignment="1">
      <alignment horizontal="center" vertical="center" wrapText="1"/>
    </xf>
    <xf numFmtId="164" fontId="20" fillId="5" borderId="0" xfId="1" applyNumberFormat="1" applyFont="1" applyFill="1"/>
    <xf numFmtId="0" fontId="15" fillId="5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0" fillId="5" borderId="0" xfId="1" applyNumberFormat="1" applyFont="1" applyFill="1"/>
    <xf numFmtId="0" fontId="0" fillId="5" borderId="1" xfId="0" applyFill="1" applyBorder="1"/>
    <xf numFmtId="0" fontId="3" fillId="5" borderId="1" xfId="0" applyFont="1" applyFill="1" applyBorder="1"/>
    <xf numFmtId="0" fontId="18" fillId="3" borderId="24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left" vertical="center" wrapText="1"/>
    </xf>
    <xf numFmtId="0" fontId="18" fillId="8" borderId="24" xfId="1" applyNumberFormat="1" applyFont="1" applyFill="1" applyBorder="1" applyAlignment="1">
      <alignment horizontal="center" vertical="center" wrapText="1"/>
    </xf>
    <xf numFmtId="0" fontId="18" fillId="6" borderId="1" xfId="1" applyNumberFormat="1" applyFont="1" applyFill="1" applyBorder="1" applyAlignment="1">
      <alignment horizontal="center" vertical="center" wrapText="1"/>
    </xf>
    <xf numFmtId="0" fontId="37" fillId="6" borderId="1" xfId="1" applyNumberFormat="1" applyFont="1" applyFill="1" applyBorder="1" applyAlignment="1">
      <alignment horizontal="center" vertical="center" wrapText="1"/>
    </xf>
    <xf numFmtId="0" fontId="18" fillId="6" borderId="2" xfId="1" applyNumberFormat="1" applyFont="1" applyFill="1" applyBorder="1" applyAlignment="1">
      <alignment horizontal="center" vertical="center" wrapText="1"/>
    </xf>
    <xf numFmtId="0" fontId="37" fillId="5" borderId="0" xfId="0" applyFont="1" applyFill="1"/>
    <xf numFmtId="0" fontId="37" fillId="5" borderId="0" xfId="0" applyFont="1" applyFill="1" applyAlignment="1">
      <alignment horizontal="center"/>
    </xf>
    <xf numFmtId="0" fontId="37" fillId="5" borderId="0" xfId="0" applyFont="1" applyFill="1" applyAlignment="1">
      <alignment horizontal="right"/>
    </xf>
    <xf numFmtId="43" fontId="44" fillId="2" borderId="19" xfId="1" applyFont="1" applyFill="1" applyBorder="1" applyAlignment="1">
      <alignment horizontal="center"/>
    </xf>
    <xf numFmtId="2" fontId="37" fillId="5" borderId="2" xfId="1" applyNumberFormat="1" applyFont="1" applyFill="1" applyBorder="1" applyAlignment="1">
      <alignment horizontal="right"/>
    </xf>
    <xf numFmtId="2" fontId="37" fillId="0" borderId="1" xfId="0" applyNumberFormat="1" applyFont="1" applyBorder="1" applyAlignment="1">
      <alignment horizontal="right" vertical="center" wrapText="1"/>
    </xf>
    <xf numFmtId="2" fontId="53" fillId="5" borderId="2" xfId="1" applyNumberFormat="1" applyFont="1" applyFill="1" applyBorder="1" applyAlignment="1">
      <alignment horizontal="right"/>
    </xf>
    <xf numFmtId="0" fontId="54" fillId="5" borderId="1" xfId="0" applyFont="1" applyFill="1" applyBorder="1" applyAlignment="1">
      <alignment horizontal="center"/>
    </xf>
    <xf numFmtId="0" fontId="54" fillId="5" borderId="1" xfId="0" applyFont="1" applyFill="1" applyBorder="1" applyAlignment="1">
      <alignment horizontal="left"/>
    </xf>
    <xf numFmtId="2" fontId="54" fillId="5" borderId="2" xfId="1" applyNumberFormat="1" applyFont="1" applyFill="1" applyBorder="1" applyAlignment="1">
      <alignment horizontal="right"/>
    </xf>
    <xf numFmtId="2" fontId="37" fillId="5" borderId="1" xfId="1" applyNumberFormat="1" applyFont="1" applyFill="1" applyBorder="1" applyAlignment="1">
      <alignment horizontal="right"/>
    </xf>
    <xf numFmtId="0" fontId="55" fillId="15" borderId="1" xfId="0" applyFont="1" applyFill="1" applyBorder="1" applyAlignment="1">
      <alignment vertical="top" wrapText="1"/>
    </xf>
    <xf numFmtId="164" fontId="33" fillId="0" borderId="0" xfId="1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0" fillId="2" borderId="2" xfId="0" applyFont="1" applyFill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15" fillId="2" borderId="1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64" fontId="0" fillId="0" borderId="0" xfId="1" applyNumberFormat="1" applyFont="1" applyAlignment="1">
      <alignment vertical="center" wrapText="1"/>
    </xf>
    <xf numFmtId="164" fontId="26" fillId="6" borderId="1" xfId="1" applyNumberFormat="1" applyFont="1" applyFill="1" applyBorder="1" applyAlignment="1">
      <alignment vertical="center" wrapText="1"/>
    </xf>
    <xf numFmtId="164" fontId="10" fillId="6" borderId="1" xfId="1" applyNumberFormat="1" applyFont="1" applyFill="1" applyBorder="1" applyAlignment="1">
      <alignment vertical="center" wrapText="1"/>
    </xf>
    <xf numFmtId="164" fontId="5" fillId="6" borderId="1" xfId="1" applyNumberFormat="1" applyFont="1" applyFill="1" applyBorder="1" applyAlignment="1">
      <alignment vertical="center" wrapText="1"/>
    </xf>
    <xf numFmtId="164" fontId="9" fillId="6" borderId="1" xfId="1" applyNumberFormat="1" applyFont="1" applyFill="1" applyBorder="1" applyAlignment="1">
      <alignment vertical="center" wrapText="1"/>
    </xf>
    <xf numFmtId="164" fontId="8" fillId="6" borderId="1" xfId="1" applyNumberFormat="1" applyFont="1" applyFill="1" applyBorder="1" applyAlignment="1">
      <alignment vertical="center" wrapText="1"/>
    </xf>
    <xf numFmtId="164" fontId="6" fillId="6" borderId="1" xfId="1" applyNumberFormat="1" applyFont="1" applyFill="1" applyBorder="1" applyAlignment="1">
      <alignment vertical="center" wrapText="1"/>
    </xf>
    <xf numFmtId="164" fontId="37" fillId="6" borderId="1" xfId="1" applyNumberFormat="1" applyFont="1" applyFill="1" applyBorder="1" applyAlignment="1">
      <alignment vertical="center" wrapText="1"/>
    </xf>
    <xf numFmtId="164" fontId="10" fillId="6" borderId="2" xfId="1" applyNumberFormat="1" applyFont="1" applyFill="1" applyBorder="1" applyAlignment="1">
      <alignment vertical="center" wrapText="1"/>
    </xf>
    <xf numFmtId="2" fontId="17" fillId="4" borderId="7" xfId="0" applyNumberFormat="1" applyFont="1" applyFill="1" applyBorder="1"/>
    <xf numFmtId="2" fontId="0" fillId="0" borderId="4" xfId="0" applyNumberForma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43" fontId="0" fillId="0" borderId="0" xfId="1" applyFont="1" applyAlignment="1"/>
    <xf numFmtId="0" fontId="2" fillId="5" borderId="1" xfId="0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vertical="center" wrapText="1"/>
    </xf>
    <xf numFmtId="164" fontId="1" fillId="6" borderId="1" xfId="1" applyNumberFormat="1" applyFont="1" applyFill="1" applyBorder="1" applyAlignment="1">
      <alignment vertical="center" wrapText="1"/>
    </xf>
    <xf numFmtId="0" fontId="15" fillId="2" borderId="0" xfId="0" applyFont="1" applyFill="1"/>
    <xf numFmtId="0" fontId="1" fillId="0" borderId="0" xfId="0" applyFont="1"/>
    <xf numFmtId="0" fontId="56" fillId="5" borderId="1" xfId="0" applyFont="1" applyFill="1" applyBorder="1" applyAlignment="1">
      <alignment horizontal="center"/>
    </xf>
    <xf numFmtId="0" fontId="56" fillId="5" borderId="1" xfId="0" applyFont="1" applyFill="1" applyBorder="1" applyAlignment="1">
      <alignment horizontal="left"/>
    </xf>
    <xf numFmtId="0" fontId="41" fillId="2" borderId="2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left" vertical="center" wrapText="1"/>
    </xf>
    <xf numFmtId="0" fontId="41" fillId="2" borderId="2" xfId="0" applyFont="1" applyFill="1" applyBorder="1" applyAlignment="1">
      <alignment horizontal="right" vertical="center" wrapText="1"/>
    </xf>
    <xf numFmtId="41" fontId="15" fillId="2" borderId="2" xfId="0" applyNumberFormat="1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wrapText="1"/>
    </xf>
    <xf numFmtId="43" fontId="41" fillId="3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3" fontId="15" fillId="2" borderId="1" xfId="1" applyFon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37" fillId="5" borderId="1" xfId="0" applyFont="1" applyFill="1" applyBorder="1" applyAlignment="1">
      <alignment wrapText="1"/>
    </xf>
    <xf numFmtId="0" fontId="18" fillId="16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left" vertical="center" wrapText="1"/>
    </xf>
    <xf numFmtId="43" fontId="18" fillId="16" borderId="1" xfId="1" applyFont="1" applyFill="1" applyBorder="1" applyAlignment="1">
      <alignment horizontal="right" vertical="center" wrapText="1"/>
    </xf>
    <xf numFmtId="0" fontId="18" fillId="16" borderId="1" xfId="1" applyNumberFormat="1" applyFont="1" applyFill="1" applyBorder="1" applyAlignment="1">
      <alignment horizontal="center" vertical="center" wrapText="1"/>
    </xf>
    <xf numFmtId="164" fontId="10" fillId="16" borderId="1" xfId="1" applyNumberFormat="1" applyFont="1" applyFill="1" applyBorder="1" applyAlignment="1">
      <alignment horizontal="center" vertical="center" wrapText="1"/>
    </xf>
    <xf numFmtId="43" fontId="10" fillId="16" borderId="1" xfId="1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0" fillId="16" borderId="1" xfId="0" applyFill="1" applyBorder="1"/>
    <xf numFmtId="0" fontId="37" fillId="16" borderId="1" xfId="0" applyFont="1" applyFill="1" applyBorder="1" applyAlignment="1">
      <alignment wrapText="1"/>
    </xf>
    <xf numFmtId="0" fontId="0" fillId="0" borderId="4" xfId="0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2" fontId="29" fillId="0" borderId="4" xfId="0" applyNumberFormat="1" applyFont="1" applyBorder="1" applyAlignment="1">
      <alignment horizontal="center" vertical="center" wrapText="1"/>
    </xf>
    <xf numFmtId="2" fontId="29" fillId="0" borderId="9" xfId="0" applyNumberFormat="1" applyFont="1" applyBorder="1" applyAlignment="1">
      <alignment horizontal="center" vertical="center" wrapText="1"/>
    </xf>
    <xf numFmtId="2" fontId="29" fillId="0" borderId="0" xfId="0" applyNumberFormat="1" applyFont="1" applyAlignment="1">
      <alignment horizontal="center" vertical="center" wrapText="1"/>
    </xf>
    <xf numFmtId="2" fontId="29" fillId="0" borderId="10" xfId="0" applyNumberFormat="1" applyFont="1" applyBorder="1" applyAlignment="1">
      <alignment horizontal="center" vertical="center" wrapText="1"/>
    </xf>
    <xf numFmtId="2" fontId="29" fillId="0" borderId="3" xfId="0" applyNumberFormat="1" applyFont="1" applyBorder="1" applyAlignment="1">
      <alignment horizontal="center" vertical="center" wrapText="1"/>
    </xf>
    <xf numFmtId="2" fontId="29" fillId="0" borderId="1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43" fontId="37" fillId="0" borderId="7" xfId="1" applyFont="1" applyBorder="1" applyAlignment="1">
      <alignment horizontal="right"/>
    </xf>
    <xf numFmtId="14" fontId="38" fillId="5" borderId="16" xfId="0" applyNumberFormat="1" applyFont="1" applyFill="1" applyBorder="1" applyAlignment="1">
      <alignment horizontal="center"/>
    </xf>
    <xf numFmtId="14" fontId="38" fillId="5" borderId="17" xfId="0" applyNumberFormat="1" applyFont="1" applyFill="1" applyBorder="1" applyAlignment="1">
      <alignment horizontal="center"/>
    </xf>
    <xf numFmtId="14" fontId="38" fillId="5" borderId="18" xfId="0" applyNumberFormat="1" applyFont="1" applyFill="1" applyBorder="1" applyAlignment="1">
      <alignment horizontal="center"/>
    </xf>
    <xf numFmtId="14" fontId="15" fillId="14" borderId="0" xfId="0" applyNumberFormat="1" applyFont="1" applyFill="1" applyAlignment="1">
      <alignment horizontal="center"/>
    </xf>
    <xf numFmtId="14" fontId="15" fillId="14" borderId="20" xfId="0" applyNumberFormat="1" applyFont="1" applyFill="1" applyBorder="1" applyAlignment="1">
      <alignment horizontal="center"/>
    </xf>
    <xf numFmtId="14" fontId="15" fillId="6" borderId="0" xfId="0" applyNumberFormat="1" applyFont="1" applyFill="1" applyAlignment="1">
      <alignment horizontal="center"/>
    </xf>
    <xf numFmtId="14" fontId="15" fillId="6" borderId="3" xfId="0" applyNumberFormat="1" applyFont="1" applyFill="1" applyBorder="1" applyAlignment="1">
      <alignment horizontal="center"/>
    </xf>
    <xf numFmtId="43" fontId="0" fillId="5" borderId="0" xfId="1" applyFont="1" applyFill="1" applyAlignment="1">
      <alignment horizontal="center" vertical="center" wrapText="1"/>
    </xf>
    <xf numFmtId="164" fontId="37" fillId="5" borderId="1" xfId="1" applyNumberFormat="1" applyFont="1" applyFill="1" applyBorder="1" applyAlignment="1">
      <alignment horizontal="center" vertical="center" wrapText="1"/>
    </xf>
    <xf numFmtId="43" fontId="37" fillId="5" borderId="1" xfId="1" applyFont="1" applyFill="1" applyBorder="1" applyAlignment="1">
      <alignment horizontal="center" vertical="center" wrapText="1"/>
    </xf>
    <xf numFmtId="2" fontId="17" fillId="5" borderId="6" xfId="0" applyNumberFormat="1" applyFont="1" applyFill="1" applyBorder="1" applyAlignment="1">
      <alignment horizontal="center"/>
    </xf>
    <xf numFmtId="2" fontId="0" fillId="5" borderId="9" xfId="0" applyNumberFormat="1" applyFill="1" applyBorder="1" applyAlignment="1">
      <alignment horizontal="center" vertical="center" wrapText="1"/>
    </xf>
    <xf numFmtId="2" fontId="0" fillId="5" borderId="10" xfId="0" applyNumberFormat="1" applyFill="1" applyBorder="1" applyAlignment="1">
      <alignment horizontal="center" vertical="center" wrapText="1"/>
    </xf>
    <xf numFmtId="2" fontId="0" fillId="5" borderId="11" xfId="0" applyNumberFormat="1" applyFill="1" applyBorder="1" applyAlignment="1">
      <alignment horizontal="center" vertical="center" wrapText="1"/>
    </xf>
  </cellXfs>
  <cellStyles count="5">
    <cellStyle name="Comma" xfId="1" builtinId="3"/>
    <cellStyle name="Comma 2" xfId="2" xr:uid="{C73EC898-5921-4E60-921E-5A73125666E7}"/>
    <cellStyle name="Normal" xfId="0" builtinId="0"/>
    <cellStyle name="Normal 2" xfId="3" xr:uid="{A64D8179-2FE0-44B7-8F4E-74120B9D7E55}"/>
    <cellStyle name="Normal 2 2 2" xfId="4" xr:uid="{136F3F20-F751-4D5F-ACF0-AF39AA26E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gelika Manucot" id="{7C0F0184-80EA-484D-A627-5E97CCF04D0A}" userId="947c6ab7d14aacf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62" dT="2026-07-04T13:49:08.21" personId="{7C0F0184-80EA-484D-A627-5E97CCF04D0A}" id="{48A057D6-7B56-4CD3-8CD9-D28499823B71}">
    <text>Adj sales</text>
  </threadedComment>
  <threadedComment ref="G1153" dT="2026-07-04T13:53:00.10" personId="{7C0F0184-80EA-484D-A627-5E97CCF04D0A}" id="{9169865D-DAF1-4436-9075-E2AB449F8149}">
    <text xml:space="preserve">Adj sale 1
</text>
  </threadedComment>
  <threadedComment ref="G1157" dT="2026-07-04T13:50:25.88" personId="{7C0F0184-80EA-484D-A627-5E97CCF04D0A}" id="{F6A620B5-0DE6-4F06-AB03-AEC4ADB3601C}">
    <text xml:space="preserve">Adj sale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  <pageSetUpPr fitToPage="1"/>
  </sheetPr>
  <dimension ref="B1:M252"/>
  <sheetViews>
    <sheetView showGridLines="0" view="pageBreakPreview" topLeftCell="A56" zoomScale="70" zoomScaleNormal="100" zoomScaleSheetLayoutView="70" workbookViewId="0">
      <selection activeCell="B245" sqref="B245:C245"/>
    </sheetView>
  </sheetViews>
  <sheetFormatPr defaultColWidth="9" defaultRowHeight="15"/>
  <cols>
    <col min="3" max="3" width="15.7109375" customWidth="1"/>
    <col min="4" max="4" width="16.28515625" style="4" customWidth="1"/>
    <col min="5" max="5" width="54" customWidth="1"/>
    <col min="6" max="6" width="9.42578125" style="41" customWidth="1"/>
    <col min="7" max="7" width="14.140625" style="27" customWidth="1"/>
    <col min="8" max="8" width="12.28515625" style="27" customWidth="1"/>
    <col min="9" max="9" width="14.85546875" style="6" customWidth="1"/>
    <col min="10" max="10" width="15.140625" style="6" customWidth="1"/>
    <col min="11" max="11" width="14.140625" style="18" customWidth="1"/>
    <col min="12" max="12" width="14.42578125" style="6" customWidth="1"/>
    <col min="13" max="13" width="23" style="4" customWidth="1"/>
  </cols>
  <sheetData>
    <row r="1" spans="2:13">
      <c r="B1" s="7" t="s">
        <v>0</v>
      </c>
    </row>
    <row r="2" spans="2:13">
      <c r="B2" s="198" t="s">
        <v>3842</v>
      </c>
    </row>
    <row r="3" spans="2:13">
      <c r="B3" s="8" t="s">
        <v>31</v>
      </c>
    </row>
    <row r="4" spans="2:13" ht="15" customHeight="1"/>
    <row r="5" spans="2:13" s="32" customFormat="1" ht="22.5">
      <c r="B5" s="30" t="s">
        <v>1</v>
      </c>
      <c r="C5" s="30" t="s">
        <v>2</v>
      </c>
      <c r="D5" s="30" t="s">
        <v>32</v>
      </c>
      <c r="E5" s="30" t="s">
        <v>4</v>
      </c>
      <c r="F5" s="37" t="s">
        <v>5</v>
      </c>
      <c r="G5" s="31" t="s">
        <v>33</v>
      </c>
      <c r="H5" s="31" t="s">
        <v>6</v>
      </c>
      <c r="I5" s="37" t="s">
        <v>7</v>
      </c>
      <c r="J5" s="37" t="s">
        <v>8</v>
      </c>
      <c r="K5" s="31" t="s">
        <v>9</v>
      </c>
      <c r="L5" s="37" t="s">
        <v>10</v>
      </c>
      <c r="M5" s="30" t="s">
        <v>11</v>
      </c>
    </row>
    <row r="6" spans="2:13" s="50" customFormat="1">
      <c r="B6" s="55">
        <v>20</v>
      </c>
      <c r="C6" s="56" t="s">
        <v>34</v>
      </c>
      <c r="D6" s="57" t="s">
        <v>4841</v>
      </c>
      <c r="E6" s="56" t="s">
        <v>5068</v>
      </c>
      <c r="F6" s="57" t="s">
        <v>5295</v>
      </c>
      <c r="G6" s="57" t="s">
        <v>5425</v>
      </c>
      <c r="H6" s="55">
        <v>253</v>
      </c>
      <c r="I6" s="56">
        <f>F6*G6</f>
        <v>3415.5</v>
      </c>
      <c r="J6" s="58">
        <f>F6*H6</f>
        <v>3415.5</v>
      </c>
      <c r="K6" s="58">
        <f t="shared" ref="K6:K8" si="0">G6-H6</f>
        <v>0</v>
      </c>
      <c r="L6" s="58">
        <f t="shared" ref="L6:L8" si="1">I6-J6</f>
        <v>0</v>
      </c>
      <c r="M6" s="55"/>
    </row>
    <row r="7" spans="2:13" s="50" customFormat="1">
      <c r="B7" s="55">
        <v>20</v>
      </c>
      <c r="C7" s="56" t="s">
        <v>34</v>
      </c>
      <c r="D7" s="57" t="s">
        <v>4842</v>
      </c>
      <c r="E7" s="56" t="s">
        <v>5069</v>
      </c>
      <c r="F7" s="57" t="s">
        <v>5296</v>
      </c>
      <c r="G7" s="57" t="s">
        <v>5426</v>
      </c>
      <c r="H7" s="55">
        <v>53</v>
      </c>
      <c r="I7" s="56">
        <f t="shared" ref="I7:I9" si="2">F7*G7</f>
        <v>954</v>
      </c>
      <c r="J7" s="58">
        <f t="shared" ref="J7:J9" si="3">F7*H7</f>
        <v>954</v>
      </c>
      <c r="K7" s="58">
        <f t="shared" si="0"/>
        <v>0</v>
      </c>
      <c r="L7" s="58">
        <f t="shared" si="1"/>
        <v>0</v>
      </c>
      <c r="M7" s="55"/>
    </row>
    <row r="8" spans="2:13" s="50" customFormat="1">
      <c r="B8" s="55">
        <v>20</v>
      </c>
      <c r="C8" s="56" t="s">
        <v>34</v>
      </c>
      <c r="D8" s="57" t="s">
        <v>4843</v>
      </c>
      <c r="E8" s="56" t="s">
        <v>5070</v>
      </c>
      <c r="F8" s="57" t="s">
        <v>5297</v>
      </c>
      <c r="G8" s="57" t="s">
        <v>5427</v>
      </c>
      <c r="H8" s="55">
        <v>4</v>
      </c>
      <c r="I8" s="56">
        <f t="shared" si="2"/>
        <v>180</v>
      </c>
      <c r="J8" s="58">
        <f t="shared" si="3"/>
        <v>180</v>
      </c>
      <c r="K8" s="58">
        <f t="shared" si="0"/>
        <v>0</v>
      </c>
      <c r="L8" s="58">
        <f t="shared" si="1"/>
        <v>0</v>
      </c>
      <c r="M8" s="55"/>
    </row>
    <row r="9" spans="2:13" s="50" customFormat="1">
      <c r="B9" s="55">
        <v>20</v>
      </c>
      <c r="C9" s="56" t="s">
        <v>34</v>
      </c>
      <c r="D9" s="57" t="s">
        <v>4844</v>
      </c>
      <c r="E9" s="56" t="s">
        <v>5071</v>
      </c>
      <c r="F9" s="57" t="s">
        <v>5298</v>
      </c>
      <c r="G9" s="57" t="s">
        <v>5428</v>
      </c>
      <c r="H9" s="55">
        <v>5</v>
      </c>
      <c r="I9" s="56">
        <f t="shared" si="2"/>
        <v>150</v>
      </c>
      <c r="J9" s="58">
        <f t="shared" si="3"/>
        <v>150</v>
      </c>
      <c r="K9" s="58">
        <f t="shared" ref="K9:K72" si="4">G9-H9</f>
        <v>0</v>
      </c>
      <c r="L9" s="58">
        <f t="shared" ref="L9:L72" si="5">I9-J9</f>
        <v>0</v>
      </c>
      <c r="M9" s="55"/>
    </row>
    <row r="10" spans="2:13" s="50" customFormat="1">
      <c r="B10" s="55">
        <v>20</v>
      </c>
      <c r="C10" s="56" t="s">
        <v>34</v>
      </c>
      <c r="D10" s="57" t="s">
        <v>4845</v>
      </c>
      <c r="E10" s="56" t="s">
        <v>5072</v>
      </c>
      <c r="F10" s="57" t="s">
        <v>5299</v>
      </c>
      <c r="G10" s="57" t="s">
        <v>5428</v>
      </c>
      <c r="H10" s="55">
        <v>5</v>
      </c>
      <c r="I10" s="56">
        <f t="shared" ref="I10:I73" si="6">F10*G10</f>
        <v>600</v>
      </c>
      <c r="J10" s="58">
        <f t="shared" ref="J10:J73" si="7">F10*H10</f>
        <v>600</v>
      </c>
      <c r="K10" s="58">
        <f t="shared" si="4"/>
        <v>0</v>
      </c>
      <c r="L10" s="58">
        <f t="shared" si="5"/>
        <v>0</v>
      </c>
      <c r="M10" s="55"/>
    </row>
    <row r="11" spans="2:13" s="50" customFormat="1">
      <c r="B11" s="55">
        <v>20</v>
      </c>
      <c r="C11" s="56" t="s">
        <v>34</v>
      </c>
      <c r="D11" s="57" t="s">
        <v>4846</v>
      </c>
      <c r="E11" s="56" t="s">
        <v>5073</v>
      </c>
      <c r="F11" s="57" t="s">
        <v>5299</v>
      </c>
      <c r="G11" s="57" t="s">
        <v>5429</v>
      </c>
      <c r="H11" s="55">
        <v>3</v>
      </c>
      <c r="I11" s="56">
        <f t="shared" si="6"/>
        <v>360</v>
      </c>
      <c r="J11" s="58">
        <f t="shared" si="7"/>
        <v>360</v>
      </c>
      <c r="K11" s="58">
        <f t="shared" si="4"/>
        <v>0</v>
      </c>
      <c r="L11" s="58">
        <f t="shared" si="5"/>
        <v>0</v>
      </c>
      <c r="M11" s="55"/>
    </row>
    <row r="12" spans="2:13" s="50" customFormat="1">
      <c r="B12" s="55">
        <v>20</v>
      </c>
      <c r="C12" s="56" t="s">
        <v>34</v>
      </c>
      <c r="D12" s="57" t="s">
        <v>4847</v>
      </c>
      <c r="E12" s="56" t="s">
        <v>5074</v>
      </c>
      <c r="F12" s="57" t="s">
        <v>5300</v>
      </c>
      <c r="G12" s="57" t="s">
        <v>2544</v>
      </c>
      <c r="H12" s="55">
        <v>2</v>
      </c>
      <c r="I12" s="56">
        <f t="shared" si="6"/>
        <v>72</v>
      </c>
      <c r="J12" s="58">
        <f t="shared" si="7"/>
        <v>72</v>
      </c>
      <c r="K12" s="58">
        <f t="shared" si="4"/>
        <v>0</v>
      </c>
      <c r="L12" s="58">
        <f t="shared" si="5"/>
        <v>0</v>
      </c>
      <c r="M12" s="55"/>
    </row>
    <row r="13" spans="2:13" s="50" customFormat="1">
      <c r="B13" s="55">
        <v>20</v>
      </c>
      <c r="C13" s="56" t="s">
        <v>34</v>
      </c>
      <c r="D13" s="57" t="s">
        <v>4848</v>
      </c>
      <c r="E13" s="56" t="s">
        <v>5075</v>
      </c>
      <c r="F13" s="57" t="s">
        <v>5301</v>
      </c>
      <c r="G13" s="57" t="s">
        <v>5430</v>
      </c>
      <c r="H13" s="55">
        <v>27</v>
      </c>
      <c r="I13" s="56">
        <f t="shared" si="6"/>
        <v>108</v>
      </c>
      <c r="J13" s="58">
        <f t="shared" si="7"/>
        <v>108</v>
      </c>
      <c r="K13" s="58">
        <f t="shared" si="4"/>
        <v>0</v>
      </c>
      <c r="L13" s="58">
        <f t="shared" si="5"/>
        <v>0</v>
      </c>
      <c r="M13" s="55"/>
    </row>
    <row r="14" spans="2:13" s="50" customFormat="1">
      <c r="B14" s="55">
        <v>20</v>
      </c>
      <c r="C14" s="56" t="s">
        <v>34</v>
      </c>
      <c r="D14" s="57" t="s">
        <v>4849</v>
      </c>
      <c r="E14" s="56" t="s">
        <v>5076</v>
      </c>
      <c r="F14" s="57" t="s">
        <v>5302</v>
      </c>
      <c r="G14" s="57" t="s">
        <v>5431</v>
      </c>
      <c r="H14" s="55">
        <v>68</v>
      </c>
      <c r="I14" s="56">
        <f t="shared" si="6"/>
        <v>255</v>
      </c>
      <c r="J14" s="58">
        <f t="shared" si="7"/>
        <v>255</v>
      </c>
      <c r="K14" s="58">
        <f t="shared" si="4"/>
        <v>0</v>
      </c>
      <c r="L14" s="58">
        <f t="shared" si="5"/>
        <v>0</v>
      </c>
      <c r="M14" s="55"/>
    </row>
    <row r="15" spans="2:13" s="50" customFormat="1">
      <c r="B15" s="55">
        <v>20</v>
      </c>
      <c r="C15" s="56" t="s">
        <v>34</v>
      </c>
      <c r="D15" s="57" t="s">
        <v>4850</v>
      </c>
      <c r="E15" s="56" t="s">
        <v>5077</v>
      </c>
      <c r="F15" s="57" t="s">
        <v>5303</v>
      </c>
      <c r="G15" s="57" t="s">
        <v>5432</v>
      </c>
      <c r="H15" s="55">
        <v>157</v>
      </c>
      <c r="I15" s="56">
        <f t="shared" si="6"/>
        <v>16485</v>
      </c>
      <c r="J15" s="58">
        <f t="shared" si="7"/>
        <v>16485</v>
      </c>
      <c r="K15" s="58">
        <f t="shared" si="4"/>
        <v>0</v>
      </c>
      <c r="L15" s="58">
        <f t="shared" si="5"/>
        <v>0</v>
      </c>
      <c r="M15" s="55"/>
    </row>
    <row r="16" spans="2:13" s="50" customFormat="1">
      <c r="B16" s="55">
        <v>20</v>
      </c>
      <c r="C16" s="56" t="s">
        <v>34</v>
      </c>
      <c r="D16" s="57" t="s">
        <v>4851</v>
      </c>
      <c r="E16" s="56" t="s">
        <v>5078</v>
      </c>
      <c r="F16" s="57" t="s">
        <v>5304</v>
      </c>
      <c r="G16" s="57" t="s">
        <v>5433</v>
      </c>
      <c r="H16" s="55">
        <v>55</v>
      </c>
      <c r="I16" s="56">
        <f t="shared" si="6"/>
        <v>192.5</v>
      </c>
      <c r="J16" s="58">
        <f t="shared" si="7"/>
        <v>192.5</v>
      </c>
      <c r="K16" s="58">
        <f t="shared" si="4"/>
        <v>0</v>
      </c>
      <c r="L16" s="58">
        <f t="shared" si="5"/>
        <v>0</v>
      </c>
      <c r="M16" s="55"/>
    </row>
    <row r="17" spans="2:13" s="50" customFormat="1">
      <c r="B17" s="55">
        <v>20</v>
      </c>
      <c r="C17" s="56" t="s">
        <v>34</v>
      </c>
      <c r="D17" s="57" t="s">
        <v>4852</v>
      </c>
      <c r="E17" s="56" t="s">
        <v>5079</v>
      </c>
      <c r="F17" s="57" t="s">
        <v>5304</v>
      </c>
      <c r="G17" s="57" t="s">
        <v>5434</v>
      </c>
      <c r="H17" s="55">
        <v>1</v>
      </c>
      <c r="I17" s="56">
        <f t="shared" si="6"/>
        <v>3.5</v>
      </c>
      <c r="J17" s="58">
        <f t="shared" si="7"/>
        <v>3.5</v>
      </c>
      <c r="K17" s="58">
        <f t="shared" si="4"/>
        <v>0</v>
      </c>
      <c r="L17" s="58">
        <f t="shared" si="5"/>
        <v>0</v>
      </c>
      <c r="M17" s="55"/>
    </row>
    <row r="18" spans="2:13" s="50" customFormat="1">
      <c r="B18" s="55">
        <v>20</v>
      </c>
      <c r="C18" s="56" t="s">
        <v>34</v>
      </c>
      <c r="D18" s="57" t="s">
        <v>4853</v>
      </c>
      <c r="E18" s="56" t="s">
        <v>5080</v>
      </c>
      <c r="F18" s="57" t="s">
        <v>5304</v>
      </c>
      <c r="G18" s="57" t="s">
        <v>5435</v>
      </c>
      <c r="H18" s="55">
        <v>7</v>
      </c>
      <c r="I18" s="56">
        <f t="shared" si="6"/>
        <v>24.5</v>
      </c>
      <c r="J18" s="58">
        <f t="shared" si="7"/>
        <v>24.5</v>
      </c>
      <c r="K18" s="58">
        <f t="shared" si="4"/>
        <v>0</v>
      </c>
      <c r="L18" s="58">
        <f t="shared" si="5"/>
        <v>0</v>
      </c>
      <c r="M18" s="55"/>
    </row>
    <row r="19" spans="2:13" s="50" customFormat="1">
      <c r="B19" s="55">
        <v>20</v>
      </c>
      <c r="C19" s="56" t="s">
        <v>34</v>
      </c>
      <c r="D19" s="57" t="s">
        <v>4854</v>
      </c>
      <c r="E19" s="56" t="s">
        <v>5081</v>
      </c>
      <c r="F19" s="57" t="s">
        <v>5305</v>
      </c>
      <c r="G19" s="57" t="s">
        <v>5436</v>
      </c>
      <c r="H19" s="55">
        <v>32</v>
      </c>
      <c r="I19" s="56">
        <f t="shared" si="6"/>
        <v>192</v>
      </c>
      <c r="J19" s="58">
        <f t="shared" si="7"/>
        <v>192</v>
      </c>
      <c r="K19" s="58">
        <f t="shared" si="4"/>
        <v>0</v>
      </c>
      <c r="L19" s="58">
        <f t="shared" si="5"/>
        <v>0</v>
      </c>
      <c r="M19" s="55"/>
    </row>
    <row r="20" spans="2:13" s="50" customFormat="1">
      <c r="B20" s="55">
        <v>20</v>
      </c>
      <c r="C20" s="56" t="s">
        <v>34</v>
      </c>
      <c r="D20" s="57" t="s">
        <v>4855</v>
      </c>
      <c r="E20" s="56" t="s">
        <v>5082</v>
      </c>
      <c r="F20" s="57" t="s">
        <v>5306</v>
      </c>
      <c r="G20" s="57" t="s">
        <v>5437</v>
      </c>
      <c r="H20" s="55">
        <v>15</v>
      </c>
      <c r="I20" s="56">
        <f t="shared" si="6"/>
        <v>63.75</v>
      </c>
      <c r="J20" s="58">
        <f t="shared" si="7"/>
        <v>63.75</v>
      </c>
      <c r="K20" s="58">
        <f t="shared" si="4"/>
        <v>0</v>
      </c>
      <c r="L20" s="58">
        <f t="shared" si="5"/>
        <v>0</v>
      </c>
      <c r="M20" s="55"/>
    </row>
    <row r="21" spans="2:13" s="50" customFormat="1">
      <c r="B21" s="55">
        <v>20</v>
      </c>
      <c r="C21" s="56" t="s">
        <v>34</v>
      </c>
      <c r="D21" s="57" t="s">
        <v>4856</v>
      </c>
      <c r="E21" s="56" t="s">
        <v>5083</v>
      </c>
      <c r="F21" s="57" t="s">
        <v>5305</v>
      </c>
      <c r="G21" s="57" t="s">
        <v>5438</v>
      </c>
      <c r="H21" s="55">
        <v>48</v>
      </c>
      <c r="I21" s="56">
        <f t="shared" si="6"/>
        <v>288</v>
      </c>
      <c r="J21" s="58">
        <f t="shared" si="7"/>
        <v>288</v>
      </c>
      <c r="K21" s="58">
        <f t="shared" si="4"/>
        <v>0</v>
      </c>
      <c r="L21" s="58">
        <f t="shared" si="5"/>
        <v>0</v>
      </c>
      <c r="M21" s="55"/>
    </row>
    <row r="22" spans="2:13" s="50" customFormat="1">
      <c r="B22" s="55">
        <v>20</v>
      </c>
      <c r="C22" s="56" t="s">
        <v>34</v>
      </c>
      <c r="D22" s="57" t="s">
        <v>4857</v>
      </c>
      <c r="E22" s="56" t="s">
        <v>5084</v>
      </c>
      <c r="F22" s="57" t="s">
        <v>5307</v>
      </c>
      <c r="G22" s="57" t="s">
        <v>5439</v>
      </c>
      <c r="H22" s="55">
        <v>233</v>
      </c>
      <c r="I22" s="56">
        <f t="shared" si="6"/>
        <v>358.82</v>
      </c>
      <c r="J22" s="58">
        <f t="shared" si="7"/>
        <v>358.82</v>
      </c>
      <c r="K22" s="58">
        <f t="shared" si="4"/>
        <v>0</v>
      </c>
      <c r="L22" s="58">
        <f t="shared" si="5"/>
        <v>0</v>
      </c>
      <c r="M22" s="55"/>
    </row>
    <row r="23" spans="2:13" s="50" customFormat="1">
      <c r="B23" s="55">
        <v>20</v>
      </c>
      <c r="C23" s="56" t="s">
        <v>34</v>
      </c>
      <c r="D23" s="57" t="s">
        <v>4858</v>
      </c>
      <c r="E23" s="56" t="s">
        <v>5085</v>
      </c>
      <c r="F23" s="57" t="s">
        <v>5305</v>
      </c>
      <c r="G23" s="57" t="s">
        <v>5440</v>
      </c>
      <c r="H23" s="55">
        <v>144</v>
      </c>
      <c r="I23" s="56">
        <f t="shared" si="6"/>
        <v>864</v>
      </c>
      <c r="J23" s="58">
        <f t="shared" si="7"/>
        <v>864</v>
      </c>
      <c r="K23" s="58">
        <f t="shared" si="4"/>
        <v>0</v>
      </c>
      <c r="L23" s="58">
        <f t="shared" si="5"/>
        <v>0</v>
      </c>
      <c r="M23" s="55"/>
    </row>
    <row r="24" spans="2:13" s="50" customFormat="1">
      <c r="B24" s="55">
        <v>20</v>
      </c>
      <c r="C24" s="56" t="s">
        <v>34</v>
      </c>
      <c r="D24" s="57" t="s">
        <v>4859</v>
      </c>
      <c r="E24" s="56" t="s">
        <v>5086</v>
      </c>
      <c r="F24" s="57" t="s">
        <v>5308</v>
      </c>
      <c r="G24" s="57" t="s">
        <v>5434</v>
      </c>
      <c r="H24" s="55">
        <v>1</v>
      </c>
      <c r="I24" s="56">
        <f t="shared" si="6"/>
        <v>145</v>
      </c>
      <c r="J24" s="58">
        <f t="shared" si="7"/>
        <v>145</v>
      </c>
      <c r="K24" s="58">
        <f t="shared" si="4"/>
        <v>0</v>
      </c>
      <c r="L24" s="58">
        <f t="shared" si="5"/>
        <v>0</v>
      </c>
      <c r="M24" s="55"/>
    </row>
    <row r="25" spans="2:13" s="50" customFormat="1">
      <c r="B25" s="55">
        <v>20</v>
      </c>
      <c r="C25" s="56" t="s">
        <v>34</v>
      </c>
      <c r="D25" s="57" t="s">
        <v>4860</v>
      </c>
      <c r="E25" s="56" t="s">
        <v>5087</v>
      </c>
      <c r="F25" s="57" t="s">
        <v>5309</v>
      </c>
      <c r="G25" s="57" t="s">
        <v>5441</v>
      </c>
      <c r="H25" s="55">
        <v>400</v>
      </c>
      <c r="I25" s="56">
        <f t="shared" si="6"/>
        <v>38300</v>
      </c>
      <c r="J25" s="58">
        <f t="shared" si="7"/>
        <v>38300</v>
      </c>
      <c r="K25" s="58">
        <f t="shared" si="4"/>
        <v>0</v>
      </c>
      <c r="L25" s="58">
        <f t="shared" si="5"/>
        <v>0</v>
      </c>
      <c r="M25" s="55"/>
    </row>
    <row r="26" spans="2:13" s="50" customFormat="1">
      <c r="B26" s="55">
        <v>20</v>
      </c>
      <c r="C26" s="56" t="s">
        <v>34</v>
      </c>
      <c r="D26" s="57" t="s">
        <v>4861</v>
      </c>
      <c r="E26" s="56" t="s">
        <v>5088</v>
      </c>
      <c r="F26" s="57" t="s">
        <v>5310</v>
      </c>
      <c r="G26" s="57" t="s">
        <v>5442</v>
      </c>
      <c r="H26" s="55">
        <v>300</v>
      </c>
      <c r="I26" s="56">
        <f t="shared" si="6"/>
        <v>23976</v>
      </c>
      <c r="J26" s="58">
        <f t="shared" si="7"/>
        <v>24300</v>
      </c>
      <c r="K26" s="58">
        <f t="shared" si="4"/>
        <v>-4</v>
      </c>
      <c r="L26" s="58">
        <f t="shared" si="5"/>
        <v>-324</v>
      </c>
      <c r="M26" s="55"/>
    </row>
    <row r="27" spans="2:13" s="50" customFormat="1">
      <c r="B27" s="55">
        <v>20</v>
      </c>
      <c r="C27" s="56" t="s">
        <v>34</v>
      </c>
      <c r="D27" s="57" t="s">
        <v>4862</v>
      </c>
      <c r="E27" s="56" t="s">
        <v>5089</v>
      </c>
      <c r="F27" s="57" t="s">
        <v>5311</v>
      </c>
      <c r="G27" s="57" t="s">
        <v>5443</v>
      </c>
      <c r="H27" s="55">
        <v>90</v>
      </c>
      <c r="I27" s="56">
        <f t="shared" si="6"/>
        <v>7844.7</v>
      </c>
      <c r="J27" s="58">
        <f t="shared" si="7"/>
        <v>8937</v>
      </c>
      <c r="K27" s="58">
        <f t="shared" si="4"/>
        <v>-11</v>
      </c>
      <c r="L27" s="58">
        <f t="shared" si="5"/>
        <v>-1092.3000000000002</v>
      </c>
      <c r="M27" s="55"/>
    </row>
    <row r="28" spans="2:13" s="50" customFormat="1">
      <c r="B28" s="55">
        <v>20</v>
      </c>
      <c r="C28" s="56" t="s">
        <v>34</v>
      </c>
      <c r="D28" s="57" t="s">
        <v>4863</v>
      </c>
      <c r="E28" s="56" t="s">
        <v>5090</v>
      </c>
      <c r="F28" s="57" t="s">
        <v>5312</v>
      </c>
      <c r="G28" s="57" t="s">
        <v>5444</v>
      </c>
      <c r="H28" s="55">
        <v>113</v>
      </c>
      <c r="I28" s="56">
        <f t="shared" si="6"/>
        <v>9240</v>
      </c>
      <c r="J28" s="58">
        <f t="shared" si="7"/>
        <v>9492</v>
      </c>
      <c r="K28" s="58">
        <f t="shared" si="4"/>
        <v>-3</v>
      </c>
      <c r="L28" s="58">
        <f t="shared" si="5"/>
        <v>-252</v>
      </c>
      <c r="M28" s="55"/>
    </row>
    <row r="29" spans="2:13" s="50" customFormat="1">
      <c r="B29" s="55">
        <v>20</v>
      </c>
      <c r="C29" s="56" t="s">
        <v>34</v>
      </c>
      <c r="D29" s="57" t="s">
        <v>4864</v>
      </c>
      <c r="E29" s="56" t="s">
        <v>5091</v>
      </c>
      <c r="F29" s="57" t="s">
        <v>5313</v>
      </c>
      <c r="G29" s="57" t="s">
        <v>5445</v>
      </c>
      <c r="H29" s="55">
        <v>115</v>
      </c>
      <c r="I29" s="56">
        <f t="shared" si="6"/>
        <v>2041.25</v>
      </c>
      <c r="J29" s="58">
        <f t="shared" si="7"/>
        <v>2041.25</v>
      </c>
      <c r="K29" s="58">
        <f t="shared" si="4"/>
        <v>0</v>
      </c>
      <c r="L29" s="58">
        <f t="shared" si="5"/>
        <v>0</v>
      </c>
      <c r="M29" s="55"/>
    </row>
    <row r="30" spans="2:13" s="50" customFormat="1">
      <c r="B30" s="55">
        <v>20</v>
      </c>
      <c r="C30" s="56" t="s">
        <v>34</v>
      </c>
      <c r="D30" s="57" t="s">
        <v>4865</v>
      </c>
      <c r="E30" s="56" t="s">
        <v>5092</v>
      </c>
      <c r="F30" s="57" t="s">
        <v>5301</v>
      </c>
      <c r="G30" s="57" t="s">
        <v>5446</v>
      </c>
      <c r="H30" s="55">
        <v>2000</v>
      </c>
      <c r="I30" s="56">
        <f t="shared" si="6"/>
        <v>7960</v>
      </c>
      <c r="J30" s="58">
        <f t="shared" si="7"/>
        <v>8000</v>
      </c>
      <c r="K30" s="58">
        <f t="shared" si="4"/>
        <v>-10</v>
      </c>
      <c r="L30" s="58">
        <f t="shared" si="5"/>
        <v>-40</v>
      </c>
      <c r="M30" s="55"/>
    </row>
    <row r="31" spans="2:13" s="50" customFormat="1">
      <c r="B31" s="55">
        <v>20</v>
      </c>
      <c r="C31" s="56" t="s">
        <v>34</v>
      </c>
      <c r="D31" s="57" t="s">
        <v>4866</v>
      </c>
      <c r="E31" s="56" t="s">
        <v>5093</v>
      </c>
      <c r="F31" s="57" t="s">
        <v>5304</v>
      </c>
      <c r="G31" s="57" t="s">
        <v>5447</v>
      </c>
      <c r="H31" s="55">
        <v>1835</v>
      </c>
      <c r="I31" s="56">
        <f t="shared" si="6"/>
        <v>6422.5</v>
      </c>
      <c r="J31" s="58">
        <f t="shared" si="7"/>
        <v>6422.5</v>
      </c>
      <c r="K31" s="58">
        <f t="shared" si="4"/>
        <v>0</v>
      </c>
      <c r="L31" s="58">
        <f t="shared" si="5"/>
        <v>0</v>
      </c>
      <c r="M31" s="55"/>
    </row>
    <row r="32" spans="2:13" s="50" customFormat="1">
      <c r="B32" s="55">
        <v>20</v>
      </c>
      <c r="C32" s="56" t="s">
        <v>34</v>
      </c>
      <c r="D32" s="57" t="s">
        <v>4867</v>
      </c>
      <c r="E32" s="56" t="s">
        <v>5094</v>
      </c>
      <c r="F32" s="57" t="s">
        <v>5301</v>
      </c>
      <c r="G32" s="57" t="s">
        <v>5448</v>
      </c>
      <c r="H32" s="55">
        <v>750</v>
      </c>
      <c r="I32" s="56">
        <f t="shared" si="6"/>
        <v>2992</v>
      </c>
      <c r="J32" s="58">
        <f t="shared" si="7"/>
        <v>3000</v>
      </c>
      <c r="K32" s="58">
        <f t="shared" si="4"/>
        <v>-2</v>
      </c>
      <c r="L32" s="58">
        <f t="shared" si="5"/>
        <v>-8</v>
      </c>
      <c r="M32" s="55"/>
    </row>
    <row r="33" spans="2:13" s="50" customFormat="1">
      <c r="B33" s="55">
        <v>20</v>
      </c>
      <c r="C33" s="56" t="s">
        <v>34</v>
      </c>
      <c r="D33" s="57" t="s">
        <v>4868</v>
      </c>
      <c r="E33" s="56" t="s">
        <v>5095</v>
      </c>
      <c r="F33" s="57" t="s">
        <v>5314</v>
      </c>
      <c r="G33" s="57" t="s">
        <v>5449</v>
      </c>
      <c r="H33" s="55">
        <v>740</v>
      </c>
      <c r="I33" s="56">
        <f t="shared" si="6"/>
        <v>2094.2000000000003</v>
      </c>
      <c r="J33" s="58">
        <f t="shared" si="7"/>
        <v>2094.2000000000003</v>
      </c>
      <c r="K33" s="58">
        <f t="shared" si="4"/>
        <v>0</v>
      </c>
      <c r="L33" s="58">
        <f t="shared" si="5"/>
        <v>0</v>
      </c>
      <c r="M33" s="55"/>
    </row>
    <row r="34" spans="2:13" s="50" customFormat="1">
      <c r="B34" s="55">
        <v>20</v>
      </c>
      <c r="C34" s="56" t="s">
        <v>34</v>
      </c>
      <c r="D34" s="57" t="s">
        <v>4869</v>
      </c>
      <c r="E34" s="56" t="s">
        <v>5096</v>
      </c>
      <c r="F34" s="57" t="s">
        <v>5315</v>
      </c>
      <c r="G34" s="57" t="s">
        <v>5450</v>
      </c>
      <c r="H34" s="55">
        <v>44</v>
      </c>
      <c r="I34" s="56">
        <f t="shared" si="6"/>
        <v>110</v>
      </c>
      <c r="J34" s="58">
        <f t="shared" si="7"/>
        <v>110</v>
      </c>
      <c r="K34" s="58">
        <f t="shared" si="4"/>
        <v>0</v>
      </c>
      <c r="L34" s="58">
        <f t="shared" si="5"/>
        <v>0</v>
      </c>
      <c r="M34" s="55"/>
    </row>
    <row r="35" spans="2:13" s="50" customFormat="1">
      <c r="B35" s="55">
        <v>20</v>
      </c>
      <c r="C35" s="56" t="s">
        <v>34</v>
      </c>
      <c r="D35" s="57" t="s">
        <v>4870</v>
      </c>
      <c r="E35" s="56" t="s">
        <v>5097</v>
      </c>
      <c r="F35" s="57" t="s">
        <v>5316</v>
      </c>
      <c r="G35" s="57" t="s">
        <v>5435</v>
      </c>
      <c r="H35" s="55">
        <v>7</v>
      </c>
      <c r="I35" s="56">
        <f t="shared" si="6"/>
        <v>2625</v>
      </c>
      <c r="J35" s="58">
        <f t="shared" si="7"/>
        <v>2625</v>
      </c>
      <c r="K35" s="58">
        <f t="shared" si="4"/>
        <v>0</v>
      </c>
      <c r="L35" s="58">
        <f t="shared" si="5"/>
        <v>0</v>
      </c>
      <c r="M35" s="55"/>
    </row>
    <row r="36" spans="2:13" s="50" customFormat="1">
      <c r="B36" s="55">
        <v>20</v>
      </c>
      <c r="C36" s="56" t="s">
        <v>34</v>
      </c>
      <c r="D36" s="57" t="s">
        <v>4871</v>
      </c>
      <c r="E36" s="56" t="s">
        <v>5098</v>
      </c>
      <c r="F36" s="57" t="s">
        <v>5317</v>
      </c>
      <c r="G36" s="57" t="s">
        <v>5429</v>
      </c>
      <c r="H36" s="55">
        <v>3</v>
      </c>
      <c r="I36" s="56">
        <f t="shared" si="6"/>
        <v>4.68</v>
      </c>
      <c r="J36" s="58">
        <f t="shared" si="7"/>
        <v>4.68</v>
      </c>
      <c r="K36" s="58">
        <f t="shared" si="4"/>
        <v>0</v>
      </c>
      <c r="L36" s="58">
        <f t="shared" si="5"/>
        <v>0</v>
      </c>
      <c r="M36" s="55"/>
    </row>
    <row r="37" spans="2:13" s="50" customFormat="1">
      <c r="B37" s="55">
        <v>20</v>
      </c>
      <c r="C37" s="56" t="s">
        <v>34</v>
      </c>
      <c r="D37" s="57" t="s">
        <v>4872</v>
      </c>
      <c r="E37" s="56" t="s">
        <v>5099</v>
      </c>
      <c r="F37" s="57" t="s">
        <v>5318</v>
      </c>
      <c r="G37" s="57" t="s">
        <v>5451</v>
      </c>
      <c r="H37" s="55">
        <v>500</v>
      </c>
      <c r="I37" s="56">
        <f t="shared" si="6"/>
        <v>1000</v>
      </c>
      <c r="J37" s="58">
        <f t="shared" si="7"/>
        <v>1000</v>
      </c>
      <c r="K37" s="58">
        <f t="shared" si="4"/>
        <v>0</v>
      </c>
      <c r="L37" s="58">
        <f t="shared" si="5"/>
        <v>0</v>
      </c>
      <c r="M37" s="55"/>
    </row>
    <row r="38" spans="2:13" s="50" customFormat="1">
      <c r="B38" s="55">
        <v>20</v>
      </c>
      <c r="C38" s="56" t="s">
        <v>34</v>
      </c>
      <c r="D38" s="57" t="s">
        <v>4873</v>
      </c>
      <c r="E38" s="56" t="s">
        <v>5100</v>
      </c>
      <c r="F38" s="57" t="s">
        <v>5319</v>
      </c>
      <c r="G38" s="57" t="s">
        <v>5452</v>
      </c>
      <c r="H38" s="55">
        <v>270</v>
      </c>
      <c r="I38" s="56">
        <f t="shared" si="6"/>
        <v>2430</v>
      </c>
      <c r="J38" s="58">
        <f t="shared" si="7"/>
        <v>2430</v>
      </c>
      <c r="K38" s="58">
        <f t="shared" si="4"/>
        <v>0</v>
      </c>
      <c r="L38" s="58">
        <f t="shared" si="5"/>
        <v>0</v>
      </c>
      <c r="M38" s="55"/>
    </row>
    <row r="39" spans="2:13" s="50" customFormat="1">
      <c r="B39" s="55">
        <v>20</v>
      </c>
      <c r="C39" s="56" t="s">
        <v>34</v>
      </c>
      <c r="D39" s="57" t="s">
        <v>4874</v>
      </c>
      <c r="E39" s="56" t="s">
        <v>5101</v>
      </c>
      <c r="F39" s="57" t="s">
        <v>5305</v>
      </c>
      <c r="G39" s="57" t="s">
        <v>5453</v>
      </c>
      <c r="H39" s="55">
        <v>131</v>
      </c>
      <c r="I39" s="56">
        <f t="shared" si="6"/>
        <v>786</v>
      </c>
      <c r="J39" s="58">
        <f t="shared" si="7"/>
        <v>786</v>
      </c>
      <c r="K39" s="58">
        <f t="shared" si="4"/>
        <v>0</v>
      </c>
      <c r="L39" s="58">
        <f t="shared" si="5"/>
        <v>0</v>
      </c>
      <c r="M39" s="55"/>
    </row>
    <row r="40" spans="2:13" s="50" customFormat="1">
      <c r="B40" s="55">
        <v>20</v>
      </c>
      <c r="C40" s="56" t="s">
        <v>34</v>
      </c>
      <c r="D40" s="57" t="s">
        <v>4875</v>
      </c>
      <c r="E40" s="56" t="s">
        <v>5102</v>
      </c>
      <c r="F40" s="57" t="s">
        <v>5301</v>
      </c>
      <c r="G40" s="57" t="s">
        <v>5454</v>
      </c>
      <c r="H40" s="55">
        <v>14</v>
      </c>
      <c r="I40" s="56">
        <f t="shared" si="6"/>
        <v>56</v>
      </c>
      <c r="J40" s="58">
        <f t="shared" si="7"/>
        <v>56</v>
      </c>
      <c r="K40" s="58">
        <f t="shared" si="4"/>
        <v>0</v>
      </c>
      <c r="L40" s="58">
        <f t="shared" si="5"/>
        <v>0</v>
      </c>
      <c r="M40" s="55"/>
    </row>
    <row r="41" spans="2:13" s="50" customFormat="1">
      <c r="B41" s="55">
        <v>20</v>
      </c>
      <c r="C41" s="56" t="s">
        <v>34</v>
      </c>
      <c r="D41" s="57" t="s">
        <v>4876</v>
      </c>
      <c r="E41" s="56" t="s">
        <v>5103</v>
      </c>
      <c r="F41" s="57" t="s">
        <v>5320</v>
      </c>
      <c r="G41" s="57" t="s">
        <v>5434</v>
      </c>
      <c r="H41" s="55">
        <v>1</v>
      </c>
      <c r="I41" s="56">
        <f t="shared" si="6"/>
        <v>295</v>
      </c>
      <c r="J41" s="58">
        <f t="shared" si="7"/>
        <v>295</v>
      </c>
      <c r="K41" s="58">
        <f t="shared" si="4"/>
        <v>0</v>
      </c>
      <c r="L41" s="58">
        <f t="shared" si="5"/>
        <v>0</v>
      </c>
      <c r="M41" s="55"/>
    </row>
    <row r="42" spans="2:13" s="50" customFormat="1">
      <c r="B42" s="55">
        <v>20</v>
      </c>
      <c r="C42" s="56" t="s">
        <v>34</v>
      </c>
      <c r="D42" s="57" t="s">
        <v>4877</v>
      </c>
      <c r="E42" s="56" t="s">
        <v>5104</v>
      </c>
      <c r="F42" s="57" t="s">
        <v>5321</v>
      </c>
      <c r="G42" s="57" t="s">
        <v>5455</v>
      </c>
      <c r="H42" s="55">
        <v>16</v>
      </c>
      <c r="I42" s="56">
        <f t="shared" si="6"/>
        <v>192</v>
      </c>
      <c r="J42" s="58">
        <f t="shared" si="7"/>
        <v>192</v>
      </c>
      <c r="K42" s="58">
        <f t="shared" si="4"/>
        <v>0</v>
      </c>
      <c r="L42" s="58">
        <f t="shared" si="5"/>
        <v>0</v>
      </c>
      <c r="M42" s="55"/>
    </row>
    <row r="43" spans="2:13" s="50" customFormat="1">
      <c r="B43" s="55">
        <v>20</v>
      </c>
      <c r="C43" s="56" t="s">
        <v>34</v>
      </c>
      <c r="D43" s="57" t="s">
        <v>4878</v>
      </c>
      <c r="E43" s="56" t="s">
        <v>5105</v>
      </c>
      <c r="F43" s="57" t="s">
        <v>5322</v>
      </c>
      <c r="G43" s="57" t="s">
        <v>5434</v>
      </c>
      <c r="H43" s="55">
        <v>1</v>
      </c>
      <c r="I43" s="56">
        <f t="shared" si="6"/>
        <v>11</v>
      </c>
      <c r="J43" s="58">
        <f t="shared" si="7"/>
        <v>11</v>
      </c>
      <c r="K43" s="58">
        <f t="shared" si="4"/>
        <v>0</v>
      </c>
      <c r="L43" s="58">
        <f t="shared" si="5"/>
        <v>0</v>
      </c>
      <c r="M43" s="55"/>
    </row>
    <row r="44" spans="2:13" s="50" customFormat="1">
      <c r="B44" s="55">
        <v>20</v>
      </c>
      <c r="C44" s="56" t="s">
        <v>34</v>
      </c>
      <c r="D44" s="57" t="s">
        <v>4879</v>
      </c>
      <c r="E44" s="56" t="s">
        <v>5106</v>
      </c>
      <c r="F44" s="57" t="s">
        <v>5323</v>
      </c>
      <c r="G44" s="57" t="s">
        <v>5456</v>
      </c>
      <c r="H44" s="55">
        <v>4000</v>
      </c>
      <c r="I44" s="56">
        <f t="shared" si="6"/>
        <v>5475</v>
      </c>
      <c r="J44" s="58">
        <f t="shared" si="7"/>
        <v>6000</v>
      </c>
      <c r="K44" s="58">
        <f t="shared" si="4"/>
        <v>-350</v>
      </c>
      <c r="L44" s="58">
        <f t="shared" si="5"/>
        <v>-525</v>
      </c>
      <c r="M44" s="55"/>
    </row>
    <row r="45" spans="2:13" s="50" customFormat="1">
      <c r="B45" s="55">
        <v>20</v>
      </c>
      <c r="C45" s="56" t="s">
        <v>34</v>
      </c>
      <c r="D45" s="57" t="s">
        <v>4880</v>
      </c>
      <c r="E45" s="56" t="s">
        <v>5107</v>
      </c>
      <c r="F45" s="57" t="s">
        <v>5324</v>
      </c>
      <c r="G45" s="57" t="s">
        <v>5434</v>
      </c>
      <c r="H45" s="55">
        <v>1</v>
      </c>
      <c r="I45" s="56">
        <f t="shared" si="6"/>
        <v>370</v>
      </c>
      <c r="J45" s="58">
        <f t="shared" si="7"/>
        <v>370</v>
      </c>
      <c r="K45" s="58">
        <f t="shared" si="4"/>
        <v>0</v>
      </c>
      <c r="L45" s="58">
        <f t="shared" si="5"/>
        <v>0</v>
      </c>
      <c r="M45" s="55"/>
    </row>
    <row r="46" spans="2:13" s="50" customFormat="1">
      <c r="B46" s="55">
        <v>20</v>
      </c>
      <c r="C46" s="56" t="s">
        <v>34</v>
      </c>
      <c r="D46" s="57" t="s">
        <v>4881</v>
      </c>
      <c r="E46" s="56" t="s">
        <v>5108</v>
      </c>
      <c r="F46" s="57" t="s">
        <v>5325</v>
      </c>
      <c r="G46" s="57" t="s">
        <v>5434</v>
      </c>
      <c r="H46" s="55">
        <v>1</v>
      </c>
      <c r="I46" s="56">
        <f t="shared" si="6"/>
        <v>146.5</v>
      </c>
      <c r="J46" s="58">
        <f t="shared" si="7"/>
        <v>146.5</v>
      </c>
      <c r="K46" s="58">
        <f t="shared" si="4"/>
        <v>0</v>
      </c>
      <c r="L46" s="58">
        <f t="shared" si="5"/>
        <v>0</v>
      </c>
      <c r="M46" s="55"/>
    </row>
    <row r="47" spans="2:13" s="50" customFormat="1">
      <c r="B47" s="55">
        <v>20</v>
      </c>
      <c r="C47" s="56" t="s">
        <v>34</v>
      </c>
      <c r="D47" s="57" t="s">
        <v>4882</v>
      </c>
      <c r="E47" s="56" t="s">
        <v>5109</v>
      </c>
      <c r="F47" s="57" t="s">
        <v>5326</v>
      </c>
      <c r="G47" s="57" t="s">
        <v>5434</v>
      </c>
      <c r="H47" s="55">
        <v>1</v>
      </c>
      <c r="I47" s="56">
        <f t="shared" si="6"/>
        <v>130</v>
      </c>
      <c r="J47" s="58">
        <f t="shared" si="7"/>
        <v>130</v>
      </c>
      <c r="K47" s="58">
        <f t="shared" si="4"/>
        <v>0</v>
      </c>
      <c r="L47" s="58">
        <f t="shared" si="5"/>
        <v>0</v>
      </c>
      <c r="M47" s="55"/>
    </row>
    <row r="48" spans="2:13" s="50" customFormat="1">
      <c r="B48" s="55">
        <v>20</v>
      </c>
      <c r="C48" s="56" t="s">
        <v>34</v>
      </c>
      <c r="D48" s="57" t="s">
        <v>4883</v>
      </c>
      <c r="E48" s="56" t="s">
        <v>5110</v>
      </c>
      <c r="F48" s="57" t="s">
        <v>5299</v>
      </c>
      <c r="G48" s="57" t="s">
        <v>5434</v>
      </c>
      <c r="H48" s="55">
        <v>1</v>
      </c>
      <c r="I48" s="56">
        <f t="shared" si="6"/>
        <v>120</v>
      </c>
      <c r="J48" s="58">
        <f t="shared" si="7"/>
        <v>120</v>
      </c>
      <c r="K48" s="58">
        <f t="shared" si="4"/>
        <v>0</v>
      </c>
      <c r="L48" s="58">
        <f t="shared" si="5"/>
        <v>0</v>
      </c>
      <c r="M48" s="55"/>
    </row>
    <row r="49" spans="2:13" s="50" customFormat="1">
      <c r="B49" s="55">
        <v>20</v>
      </c>
      <c r="C49" s="56" t="s">
        <v>34</v>
      </c>
      <c r="D49" s="57" t="s">
        <v>4884</v>
      </c>
      <c r="E49" s="56" t="s">
        <v>5111</v>
      </c>
      <c r="F49" s="57" t="s">
        <v>5327</v>
      </c>
      <c r="G49" s="57" t="s">
        <v>5457</v>
      </c>
      <c r="H49" s="55">
        <v>12</v>
      </c>
      <c r="I49" s="56">
        <f t="shared" si="6"/>
        <v>252</v>
      </c>
      <c r="J49" s="58">
        <f t="shared" si="7"/>
        <v>252</v>
      </c>
      <c r="K49" s="58">
        <f t="shared" si="4"/>
        <v>0</v>
      </c>
      <c r="L49" s="58">
        <f t="shared" si="5"/>
        <v>0</v>
      </c>
      <c r="M49" s="55"/>
    </row>
    <row r="50" spans="2:13" s="50" customFormat="1">
      <c r="B50" s="55">
        <v>20</v>
      </c>
      <c r="C50" s="56" t="s">
        <v>34</v>
      </c>
      <c r="D50" s="57" t="s">
        <v>4885</v>
      </c>
      <c r="E50" s="56" t="s">
        <v>5112</v>
      </c>
      <c r="F50" s="57" t="s">
        <v>5327</v>
      </c>
      <c r="G50" s="57" t="s">
        <v>2544</v>
      </c>
      <c r="H50" s="55">
        <v>2</v>
      </c>
      <c r="I50" s="56">
        <f t="shared" si="6"/>
        <v>42</v>
      </c>
      <c r="J50" s="58">
        <f t="shared" si="7"/>
        <v>42</v>
      </c>
      <c r="K50" s="58">
        <f t="shared" si="4"/>
        <v>0</v>
      </c>
      <c r="L50" s="58">
        <f t="shared" si="5"/>
        <v>0</v>
      </c>
      <c r="M50" s="61"/>
    </row>
    <row r="51" spans="2:13" s="50" customFormat="1">
      <c r="B51" s="55">
        <v>20</v>
      </c>
      <c r="C51" s="56" t="s">
        <v>34</v>
      </c>
      <c r="D51" s="57" t="s">
        <v>4886</v>
      </c>
      <c r="E51" s="56" t="s">
        <v>5113</v>
      </c>
      <c r="F51" s="57" t="s">
        <v>5328</v>
      </c>
      <c r="G51" s="57" t="s">
        <v>5429</v>
      </c>
      <c r="H51" s="55">
        <v>3</v>
      </c>
      <c r="I51" s="56">
        <f t="shared" si="6"/>
        <v>126</v>
      </c>
      <c r="J51" s="58">
        <f t="shared" si="7"/>
        <v>126</v>
      </c>
      <c r="K51" s="58">
        <f t="shared" si="4"/>
        <v>0</v>
      </c>
      <c r="L51" s="58">
        <f t="shared" si="5"/>
        <v>0</v>
      </c>
      <c r="M51" s="55"/>
    </row>
    <row r="52" spans="2:13" s="50" customFormat="1">
      <c r="B52" s="55">
        <v>20</v>
      </c>
      <c r="C52" s="56" t="s">
        <v>34</v>
      </c>
      <c r="D52" s="57" t="s">
        <v>4887</v>
      </c>
      <c r="E52" s="56" t="s">
        <v>5114</v>
      </c>
      <c r="F52" s="57" t="s">
        <v>5327</v>
      </c>
      <c r="G52" s="57" t="s">
        <v>5458</v>
      </c>
      <c r="H52" s="55">
        <v>34</v>
      </c>
      <c r="I52" s="56">
        <f t="shared" si="6"/>
        <v>714</v>
      </c>
      <c r="J52" s="58">
        <f t="shared" si="7"/>
        <v>714</v>
      </c>
      <c r="K52" s="58">
        <f t="shared" si="4"/>
        <v>0</v>
      </c>
      <c r="L52" s="58">
        <f t="shared" si="5"/>
        <v>0</v>
      </c>
      <c r="M52" s="55"/>
    </row>
    <row r="53" spans="2:13" s="50" customFormat="1">
      <c r="B53" s="55">
        <v>20</v>
      </c>
      <c r="C53" s="56" t="s">
        <v>34</v>
      </c>
      <c r="D53" s="57" t="s">
        <v>4888</v>
      </c>
      <c r="E53" s="56" t="s">
        <v>5115</v>
      </c>
      <c r="F53" s="57" t="s">
        <v>5327</v>
      </c>
      <c r="G53" s="57" t="s">
        <v>5434</v>
      </c>
      <c r="H53" s="55">
        <v>1</v>
      </c>
      <c r="I53" s="56">
        <f t="shared" si="6"/>
        <v>21</v>
      </c>
      <c r="J53" s="58">
        <f t="shared" si="7"/>
        <v>21</v>
      </c>
      <c r="K53" s="58">
        <f t="shared" si="4"/>
        <v>0</v>
      </c>
      <c r="L53" s="58">
        <f t="shared" si="5"/>
        <v>0</v>
      </c>
      <c r="M53" s="55"/>
    </row>
    <row r="54" spans="2:13" s="50" customFormat="1">
      <c r="B54" s="55">
        <v>20</v>
      </c>
      <c r="C54" s="56" t="s">
        <v>34</v>
      </c>
      <c r="D54" s="57" t="s">
        <v>4889</v>
      </c>
      <c r="E54" s="56" t="s">
        <v>5116</v>
      </c>
      <c r="F54" s="57" t="s">
        <v>5319</v>
      </c>
      <c r="G54" s="57" t="s">
        <v>5459</v>
      </c>
      <c r="H54" s="62">
        <v>20</v>
      </c>
      <c r="I54" s="56">
        <f t="shared" si="6"/>
        <v>180</v>
      </c>
      <c r="J54" s="58">
        <f t="shared" si="7"/>
        <v>180</v>
      </c>
      <c r="K54" s="58">
        <f t="shared" si="4"/>
        <v>0</v>
      </c>
      <c r="L54" s="58">
        <f t="shared" si="5"/>
        <v>0</v>
      </c>
      <c r="M54" s="55"/>
    </row>
    <row r="55" spans="2:13" s="50" customFormat="1">
      <c r="B55" s="55">
        <v>20</v>
      </c>
      <c r="C55" s="56" t="s">
        <v>34</v>
      </c>
      <c r="D55" s="57" t="s">
        <v>4890</v>
      </c>
      <c r="E55" s="56" t="s">
        <v>5117</v>
      </c>
      <c r="F55" s="57" t="s">
        <v>5329</v>
      </c>
      <c r="G55" s="57" t="s">
        <v>5434</v>
      </c>
      <c r="H55" s="55">
        <v>1</v>
      </c>
      <c r="I55" s="56">
        <f t="shared" si="6"/>
        <v>379.62</v>
      </c>
      <c r="J55" s="58">
        <f t="shared" si="7"/>
        <v>379.62</v>
      </c>
      <c r="K55" s="58">
        <f t="shared" si="4"/>
        <v>0</v>
      </c>
      <c r="L55" s="58">
        <f t="shared" si="5"/>
        <v>0</v>
      </c>
      <c r="M55" s="55"/>
    </row>
    <row r="56" spans="2:13" s="50" customFormat="1">
      <c r="B56" s="55">
        <v>20</v>
      </c>
      <c r="C56" s="56" t="s">
        <v>34</v>
      </c>
      <c r="D56" s="57" t="s">
        <v>4891</v>
      </c>
      <c r="E56" s="56" t="s">
        <v>5118</v>
      </c>
      <c r="F56" s="57" t="s">
        <v>5330</v>
      </c>
      <c r="G56" s="57" t="s">
        <v>5434</v>
      </c>
      <c r="H56" s="55">
        <v>1</v>
      </c>
      <c r="I56" s="56">
        <f t="shared" si="6"/>
        <v>486.21</v>
      </c>
      <c r="J56" s="58">
        <f t="shared" si="7"/>
        <v>486.21</v>
      </c>
      <c r="K56" s="58">
        <f t="shared" si="4"/>
        <v>0</v>
      </c>
      <c r="L56" s="58">
        <f t="shared" si="5"/>
        <v>0</v>
      </c>
      <c r="M56" s="55"/>
    </row>
    <row r="57" spans="2:13" s="50" customFormat="1">
      <c r="B57" s="55">
        <v>20</v>
      </c>
      <c r="C57" s="56" t="s">
        <v>34</v>
      </c>
      <c r="D57" s="57" t="s">
        <v>4892</v>
      </c>
      <c r="E57" s="56" t="s">
        <v>5119</v>
      </c>
      <c r="F57" s="57" t="s">
        <v>5331</v>
      </c>
      <c r="G57" s="57" t="s">
        <v>5460</v>
      </c>
      <c r="H57" s="55">
        <v>28</v>
      </c>
      <c r="I57" s="56">
        <f t="shared" si="6"/>
        <v>8464.1200000000008</v>
      </c>
      <c r="J57" s="58">
        <f t="shared" si="7"/>
        <v>8464.1200000000008</v>
      </c>
      <c r="K57" s="58">
        <f t="shared" si="4"/>
        <v>0</v>
      </c>
      <c r="L57" s="58">
        <f t="shared" si="5"/>
        <v>0</v>
      </c>
      <c r="M57" s="55"/>
    </row>
    <row r="58" spans="2:13" s="50" customFormat="1">
      <c r="B58" s="55">
        <v>20</v>
      </c>
      <c r="C58" s="56" t="s">
        <v>34</v>
      </c>
      <c r="D58" s="57" t="s">
        <v>4893</v>
      </c>
      <c r="E58" s="56" t="s">
        <v>5120</v>
      </c>
      <c r="F58" s="57" t="s">
        <v>5332</v>
      </c>
      <c r="G58" s="57" t="s">
        <v>5429</v>
      </c>
      <c r="H58" s="55">
        <v>3</v>
      </c>
      <c r="I58" s="56">
        <f t="shared" si="6"/>
        <v>1569.78</v>
      </c>
      <c r="J58" s="58">
        <f t="shared" si="7"/>
        <v>1569.78</v>
      </c>
      <c r="K58" s="58">
        <f t="shared" si="4"/>
        <v>0</v>
      </c>
      <c r="L58" s="58">
        <f t="shared" si="5"/>
        <v>0</v>
      </c>
      <c r="M58" s="55"/>
    </row>
    <row r="59" spans="2:13" s="50" customFormat="1">
      <c r="B59" s="55">
        <v>20</v>
      </c>
      <c r="C59" s="56" t="s">
        <v>34</v>
      </c>
      <c r="D59" s="57" t="s">
        <v>4894</v>
      </c>
      <c r="E59" s="56" t="s">
        <v>5121</v>
      </c>
      <c r="F59" s="57" t="s">
        <v>5333</v>
      </c>
      <c r="G59" s="57" t="s">
        <v>5430</v>
      </c>
      <c r="H59" s="55">
        <v>27</v>
      </c>
      <c r="I59" s="56">
        <f t="shared" si="6"/>
        <v>27864</v>
      </c>
      <c r="J59" s="58">
        <f t="shared" si="7"/>
        <v>27864</v>
      </c>
      <c r="K59" s="58">
        <f t="shared" si="4"/>
        <v>0</v>
      </c>
      <c r="L59" s="58">
        <f t="shared" si="5"/>
        <v>0</v>
      </c>
      <c r="M59" s="55"/>
    </row>
    <row r="60" spans="2:13" s="50" customFormat="1">
      <c r="B60" s="55">
        <v>20</v>
      </c>
      <c r="C60" s="56" t="s">
        <v>34</v>
      </c>
      <c r="D60" s="57" t="s">
        <v>4895</v>
      </c>
      <c r="E60" s="56" t="s">
        <v>5122</v>
      </c>
      <c r="F60" s="57" t="s">
        <v>5334</v>
      </c>
      <c r="G60" s="57" t="s">
        <v>5461</v>
      </c>
      <c r="H60" s="55">
        <v>9</v>
      </c>
      <c r="I60" s="56">
        <f t="shared" si="6"/>
        <v>171</v>
      </c>
      <c r="J60" s="58">
        <f t="shared" si="7"/>
        <v>171</v>
      </c>
      <c r="K60" s="58">
        <f t="shared" si="4"/>
        <v>0</v>
      </c>
      <c r="L60" s="58">
        <f t="shared" si="5"/>
        <v>0</v>
      </c>
      <c r="M60" s="55"/>
    </row>
    <row r="61" spans="2:13" s="50" customFormat="1">
      <c r="B61" s="55">
        <v>20</v>
      </c>
      <c r="C61" s="56" t="s">
        <v>34</v>
      </c>
      <c r="D61" s="57" t="s">
        <v>4896</v>
      </c>
      <c r="E61" s="56" t="s">
        <v>5123</v>
      </c>
      <c r="F61" s="57" t="s">
        <v>5335</v>
      </c>
      <c r="G61" s="57" t="s">
        <v>5458</v>
      </c>
      <c r="H61" s="55">
        <v>34</v>
      </c>
      <c r="I61" s="56">
        <f t="shared" si="6"/>
        <v>544</v>
      </c>
      <c r="J61" s="58">
        <f t="shared" si="7"/>
        <v>544</v>
      </c>
      <c r="K61" s="58">
        <f t="shared" si="4"/>
        <v>0</v>
      </c>
      <c r="L61" s="58">
        <f t="shared" si="5"/>
        <v>0</v>
      </c>
      <c r="M61" s="55"/>
    </row>
    <row r="62" spans="2:13" s="50" customFormat="1">
      <c r="B62" s="55">
        <v>20</v>
      </c>
      <c r="C62" s="56" t="s">
        <v>34</v>
      </c>
      <c r="D62" s="57" t="s">
        <v>4897</v>
      </c>
      <c r="E62" s="56" t="s">
        <v>5124</v>
      </c>
      <c r="F62" s="57" t="s">
        <v>5336</v>
      </c>
      <c r="G62" s="57" t="s">
        <v>5429</v>
      </c>
      <c r="H62" s="55">
        <v>3</v>
      </c>
      <c r="I62" s="56">
        <f t="shared" si="6"/>
        <v>120</v>
      </c>
      <c r="J62" s="58">
        <f t="shared" si="7"/>
        <v>120</v>
      </c>
      <c r="K62" s="58">
        <f t="shared" si="4"/>
        <v>0</v>
      </c>
      <c r="L62" s="58">
        <f t="shared" si="5"/>
        <v>0</v>
      </c>
      <c r="M62" s="55"/>
    </row>
    <row r="63" spans="2:13" s="50" customFormat="1">
      <c r="B63" s="55">
        <v>20</v>
      </c>
      <c r="C63" s="56" t="s">
        <v>34</v>
      </c>
      <c r="D63" s="57" t="s">
        <v>4898</v>
      </c>
      <c r="E63" s="56" t="s">
        <v>5125</v>
      </c>
      <c r="F63" s="57" t="s">
        <v>5319</v>
      </c>
      <c r="G63" s="57" t="s">
        <v>5462</v>
      </c>
      <c r="H63" s="55">
        <v>86</v>
      </c>
      <c r="I63" s="56">
        <f t="shared" si="6"/>
        <v>774</v>
      </c>
      <c r="J63" s="58">
        <f t="shared" si="7"/>
        <v>774</v>
      </c>
      <c r="K63" s="58">
        <f t="shared" si="4"/>
        <v>0</v>
      </c>
      <c r="L63" s="58">
        <f t="shared" si="5"/>
        <v>0</v>
      </c>
      <c r="M63" s="55"/>
    </row>
    <row r="64" spans="2:13" s="50" customFormat="1">
      <c r="B64" s="55">
        <v>20</v>
      </c>
      <c r="C64" s="56" t="s">
        <v>34</v>
      </c>
      <c r="D64" s="57" t="s">
        <v>4899</v>
      </c>
      <c r="E64" s="56" t="s">
        <v>5126</v>
      </c>
      <c r="F64" s="57" t="s">
        <v>5337</v>
      </c>
      <c r="G64" s="57" t="s">
        <v>5450</v>
      </c>
      <c r="H64" s="55">
        <v>44</v>
      </c>
      <c r="I64" s="56">
        <f t="shared" si="6"/>
        <v>1012</v>
      </c>
      <c r="J64" s="58">
        <f t="shared" si="7"/>
        <v>1012</v>
      </c>
      <c r="K64" s="58">
        <f t="shared" si="4"/>
        <v>0</v>
      </c>
      <c r="L64" s="58">
        <f t="shared" si="5"/>
        <v>0</v>
      </c>
      <c r="M64" s="55"/>
    </row>
    <row r="65" spans="2:13" s="50" customFormat="1">
      <c r="B65" s="55">
        <v>20</v>
      </c>
      <c r="C65" s="56" t="s">
        <v>34</v>
      </c>
      <c r="D65" s="57" t="s">
        <v>4900</v>
      </c>
      <c r="E65" s="56" t="s">
        <v>5127</v>
      </c>
      <c r="F65" s="57" t="s">
        <v>5338</v>
      </c>
      <c r="G65" s="57" t="s">
        <v>5457</v>
      </c>
      <c r="H65" s="55">
        <v>12</v>
      </c>
      <c r="I65" s="56">
        <f t="shared" si="6"/>
        <v>180</v>
      </c>
      <c r="J65" s="58">
        <f t="shared" si="7"/>
        <v>180</v>
      </c>
      <c r="K65" s="58">
        <f t="shared" si="4"/>
        <v>0</v>
      </c>
      <c r="L65" s="58">
        <f t="shared" si="5"/>
        <v>0</v>
      </c>
      <c r="M65" s="55"/>
    </row>
    <row r="66" spans="2:13" s="50" customFormat="1">
      <c r="B66" s="55">
        <v>20</v>
      </c>
      <c r="C66" s="56" t="s">
        <v>34</v>
      </c>
      <c r="D66" s="57" t="s">
        <v>4901</v>
      </c>
      <c r="E66" s="56" t="s">
        <v>5128</v>
      </c>
      <c r="F66" s="57" t="s">
        <v>5339</v>
      </c>
      <c r="G66" s="57" t="s">
        <v>5463</v>
      </c>
      <c r="H66" s="55">
        <v>8</v>
      </c>
      <c r="I66" s="56">
        <f t="shared" si="6"/>
        <v>400</v>
      </c>
      <c r="J66" s="58">
        <f t="shared" si="7"/>
        <v>400</v>
      </c>
      <c r="K66" s="58">
        <f t="shared" si="4"/>
        <v>0</v>
      </c>
      <c r="L66" s="58">
        <f t="shared" si="5"/>
        <v>0</v>
      </c>
      <c r="M66" s="55"/>
    </row>
    <row r="67" spans="2:13" s="50" customFormat="1">
      <c r="B67" s="55">
        <v>20</v>
      </c>
      <c r="C67" s="56" t="s">
        <v>34</v>
      </c>
      <c r="D67" s="57" t="s">
        <v>4902</v>
      </c>
      <c r="E67" s="56" t="s">
        <v>5129</v>
      </c>
      <c r="F67" s="57" t="s">
        <v>5340</v>
      </c>
      <c r="G67" s="57" t="s">
        <v>5461</v>
      </c>
      <c r="H67" s="55">
        <v>9</v>
      </c>
      <c r="I67" s="56">
        <f t="shared" si="6"/>
        <v>540</v>
      </c>
      <c r="J67" s="58">
        <f t="shared" si="7"/>
        <v>540</v>
      </c>
      <c r="K67" s="58">
        <f t="shared" si="4"/>
        <v>0</v>
      </c>
      <c r="L67" s="58">
        <f t="shared" si="5"/>
        <v>0</v>
      </c>
      <c r="M67" s="55"/>
    </row>
    <row r="68" spans="2:13" s="50" customFormat="1">
      <c r="B68" s="55">
        <v>20</v>
      </c>
      <c r="C68" s="56" t="s">
        <v>34</v>
      </c>
      <c r="D68" s="57" t="s">
        <v>4903</v>
      </c>
      <c r="E68" s="56" t="s">
        <v>5130</v>
      </c>
      <c r="F68" s="57" t="s">
        <v>5298</v>
      </c>
      <c r="G68" s="57" t="s">
        <v>5464</v>
      </c>
      <c r="H68" s="55">
        <v>13</v>
      </c>
      <c r="I68" s="56">
        <f t="shared" si="6"/>
        <v>390</v>
      </c>
      <c r="J68" s="58">
        <f t="shared" si="7"/>
        <v>390</v>
      </c>
      <c r="K68" s="58">
        <f t="shared" si="4"/>
        <v>0</v>
      </c>
      <c r="L68" s="58">
        <f t="shared" si="5"/>
        <v>0</v>
      </c>
      <c r="M68" s="55"/>
    </row>
    <row r="69" spans="2:13" s="50" customFormat="1">
      <c r="B69" s="55">
        <v>20</v>
      </c>
      <c r="C69" s="56" t="s">
        <v>34</v>
      </c>
      <c r="D69" s="57" t="s">
        <v>4904</v>
      </c>
      <c r="E69" s="56" t="s">
        <v>5131</v>
      </c>
      <c r="F69" s="57" t="s">
        <v>5341</v>
      </c>
      <c r="G69" s="57" t="s">
        <v>5465</v>
      </c>
      <c r="H69" s="55">
        <v>10</v>
      </c>
      <c r="I69" s="56">
        <f t="shared" si="6"/>
        <v>2520</v>
      </c>
      <c r="J69" s="58">
        <f t="shared" si="7"/>
        <v>2520</v>
      </c>
      <c r="K69" s="58">
        <f t="shared" si="4"/>
        <v>0</v>
      </c>
      <c r="L69" s="58">
        <f t="shared" si="5"/>
        <v>0</v>
      </c>
      <c r="M69" s="55"/>
    </row>
    <row r="70" spans="2:13" s="50" customFormat="1">
      <c r="B70" s="55">
        <v>20</v>
      </c>
      <c r="C70" s="56" t="s">
        <v>34</v>
      </c>
      <c r="D70" s="57" t="s">
        <v>4905</v>
      </c>
      <c r="E70" s="56" t="s">
        <v>5132</v>
      </c>
      <c r="F70" s="57" t="s">
        <v>5342</v>
      </c>
      <c r="G70" s="57" t="s">
        <v>5459</v>
      </c>
      <c r="H70" s="55">
        <v>20</v>
      </c>
      <c r="I70" s="56">
        <f t="shared" si="6"/>
        <v>560</v>
      </c>
      <c r="J70" s="58">
        <f t="shared" si="7"/>
        <v>560</v>
      </c>
      <c r="K70" s="58">
        <f t="shared" si="4"/>
        <v>0</v>
      </c>
      <c r="L70" s="58">
        <f t="shared" si="5"/>
        <v>0</v>
      </c>
      <c r="M70" s="59"/>
    </row>
    <row r="71" spans="2:13" s="50" customFormat="1">
      <c r="B71" s="55">
        <v>20</v>
      </c>
      <c r="C71" s="56" t="s">
        <v>34</v>
      </c>
      <c r="D71" s="57" t="s">
        <v>4906</v>
      </c>
      <c r="E71" s="56" t="s">
        <v>5133</v>
      </c>
      <c r="F71" s="57" t="s">
        <v>5343</v>
      </c>
      <c r="G71" s="57" t="s">
        <v>5465</v>
      </c>
      <c r="H71" s="55">
        <v>10</v>
      </c>
      <c r="I71" s="56">
        <f t="shared" si="6"/>
        <v>850</v>
      </c>
      <c r="J71" s="58">
        <f t="shared" si="7"/>
        <v>850</v>
      </c>
      <c r="K71" s="58">
        <f t="shared" si="4"/>
        <v>0</v>
      </c>
      <c r="L71" s="58">
        <f t="shared" si="5"/>
        <v>0</v>
      </c>
      <c r="M71" s="59"/>
    </row>
    <row r="72" spans="2:13" s="50" customFormat="1">
      <c r="B72" s="55">
        <v>20</v>
      </c>
      <c r="C72" s="56" t="s">
        <v>34</v>
      </c>
      <c r="D72" s="57" t="s">
        <v>4907</v>
      </c>
      <c r="E72" s="56" t="s">
        <v>5134</v>
      </c>
      <c r="F72" s="57" t="s">
        <v>5344</v>
      </c>
      <c r="G72" s="57" t="s">
        <v>5461</v>
      </c>
      <c r="H72" s="55">
        <v>9</v>
      </c>
      <c r="I72" s="56">
        <f t="shared" si="6"/>
        <v>499.5</v>
      </c>
      <c r="J72" s="58">
        <f t="shared" si="7"/>
        <v>499.5</v>
      </c>
      <c r="K72" s="58">
        <f t="shared" si="4"/>
        <v>0</v>
      </c>
      <c r="L72" s="58">
        <f t="shared" si="5"/>
        <v>0</v>
      </c>
      <c r="M72" s="55"/>
    </row>
    <row r="73" spans="2:13" s="50" customFormat="1">
      <c r="B73" s="55">
        <v>20</v>
      </c>
      <c r="C73" s="56" t="s">
        <v>34</v>
      </c>
      <c r="D73" s="57" t="s">
        <v>4908</v>
      </c>
      <c r="E73" s="56" t="s">
        <v>5135</v>
      </c>
      <c r="F73" s="57" t="s">
        <v>5342</v>
      </c>
      <c r="G73" s="57" t="s">
        <v>5466</v>
      </c>
      <c r="H73" s="55">
        <v>69</v>
      </c>
      <c r="I73" s="56">
        <f t="shared" si="6"/>
        <v>1932</v>
      </c>
      <c r="J73" s="58">
        <f t="shared" si="7"/>
        <v>1932</v>
      </c>
      <c r="K73" s="58">
        <f t="shared" ref="K73:K135" si="8">G73-H73</f>
        <v>0</v>
      </c>
      <c r="L73" s="58">
        <f t="shared" ref="L73:L135" si="9">I73-J73</f>
        <v>0</v>
      </c>
      <c r="M73" s="55"/>
    </row>
    <row r="74" spans="2:13" s="50" customFormat="1">
      <c r="B74" s="55">
        <v>20</v>
      </c>
      <c r="C74" s="56" t="s">
        <v>34</v>
      </c>
      <c r="D74" s="57" t="s">
        <v>4909</v>
      </c>
      <c r="E74" s="56" t="s">
        <v>5136</v>
      </c>
      <c r="F74" s="57" t="s">
        <v>5345</v>
      </c>
      <c r="G74" s="57" t="s">
        <v>5467</v>
      </c>
      <c r="H74" s="55">
        <v>22</v>
      </c>
      <c r="I74" s="56">
        <f t="shared" ref="I74:I136" si="10">F74*G74</f>
        <v>41.36</v>
      </c>
      <c r="J74" s="58">
        <f t="shared" ref="J74:J136" si="11">F74*H74</f>
        <v>41.36</v>
      </c>
      <c r="K74" s="58">
        <f t="shared" si="8"/>
        <v>0</v>
      </c>
      <c r="L74" s="58">
        <f t="shared" si="9"/>
        <v>0</v>
      </c>
      <c r="M74" s="55"/>
    </row>
    <row r="75" spans="2:13" s="50" customFormat="1">
      <c r="B75" s="55">
        <v>20</v>
      </c>
      <c r="C75" s="56" t="s">
        <v>34</v>
      </c>
      <c r="D75" s="57" t="s">
        <v>4910</v>
      </c>
      <c r="E75" s="56" t="s">
        <v>5137</v>
      </c>
      <c r="F75" s="57" t="s">
        <v>5346</v>
      </c>
      <c r="G75" s="57" t="s">
        <v>5468</v>
      </c>
      <c r="H75" s="55">
        <v>295</v>
      </c>
      <c r="I75" s="56">
        <f t="shared" si="10"/>
        <v>902.7</v>
      </c>
      <c r="J75" s="58">
        <f t="shared" si="11"/>
        <v>902.7</v>
      </c>
      <c r="K75" s="58">
        <f t="shared" si="8"/>
        <v>0</v>
      </c>
      <c r="L75" s="58">
        <f t="shared" si="9"/>
        <v>0</v>
      </c>
      <c r="M75" s="55"/>
    </row>
    <row r="76" spans="2:13" s="50" customFormat="1">
      <c r="B76" s="55">
        <v>20</v>
      </c>
      <c r="C76" s="56" t="s">
        <v>34</v>
      </c>
      <c r="D76" s="57" t="s">
        <v>4911</v>
      </c>
      <c r="E76" s="56" t="s">
        <v>5138</v>
      </c>
      <c r="F76" s="57" t="s">
        <v>5347</v>
      </c>
      <c r="G76" s="57" t="s">
        <v>5469</v>
      </c>
      <c r="H76" s="55">
        <v>6</v>
      </c>
      <c r="I76" s="56">
        <f t="shared" si="10"/>
        <v>10.8</v>
      </c>
      <c r="J76" s="58">
        <f t="shared" si="11"/>
        <v>10.8</v>
      </c>
      <c r="K76" s="58">
        <f t="shared" si="8"/>
        <v>0</v>
      </c>
      <c r="L76" s="58">
        <f t="shared" si="9"/>
        <v>0</v>
      </c>
      <c r="M76" s="55"/>
    </row>
    <row r="77" spans="2:13" s="50" customFormat="1">
      <c r="B77" s="55">
        <v>20</v>
      </c>
      <c r="C77" s="56" t="s">
        <v>34</v>
      </c>
      <c r="D77" s="57" t="s">
        <v>4912</v>
      </c>
      <c r="E77" s="56" t="s">
        <v>5139</v>
      </c>
      <c r="F77" s="57" t="s">
        <v>5348</v>
      </c>
      <c r="G77" s="57" t="s">
        <v>5470</v>
      </c>
      <c r="H77" s="55">
        <v>514</v>
      </c>
      <c r="I77" s="56">
        <f t="shared" si="10"/>
        <v>4754.5</v>
      </c>
      <c r="J77" s="58">
        <f t="shared" si="11"/>
        <v>4754.5</v>
      </c>
      <c r="K77" s="58">
        <f t="shared" si="8"/>
        <v>0</v>
      </c>
      <c r="L77" s="58">
        <f t="shared" si="9"/>
        <v>0</v>
      </c>
      <c r="M77" s="55"/>
    </row>
    <row r="78" spans="2:13" s="50" customFormat="1">
      <c r="B78" s="55">
        <v>20</v>
      </c>
      <c r="C78" s="56" t="s">
        <v>34</v>
      </c>
      <c r="D78" s="57" t="s">
        <v>4913</v>
      </c>
      <c r="E78" s="56" t="s">
        <v>5140</v>
      </c>
      <c r="F78" s="57" t="s">
        <v>5348</v>
      </c>
      <c r="G78" s="57" t="s">
        <v>5471</v>
      </c>
      <c r="H78" s="55">
        <v>470</v>
      </c>
      <c r="I78" s="56">
        <f t="shared" si="10"/>
        <v>4347.5</v>
      </c>
      <c r="J78" s="58">
        <f t="shared" si="11"/>
        <v>4347.5</v>
      </c>
      <c r="K78" s="58">
        <f t="shared" si="8"/>
        <v>0</v>
      </c>
      <c r="L78" s="58">
        <f t="shared" si="9"/>
        <v>0</v>
      </c>
      <c r="M78" s="55"/>
    </row>
    <row r="79" spans="2:13" s="50" customFormat="1">
      <c r="B79" s="55">
        <v>20</v>
      </c>
      <c r="C79" s="56" t="s">
        <v>34</v>
      </c>
      <c r="D79" s="57" t="s">
        <v>4914</v>
      </c>
      <c r="E79" s="56" t="s">
        <v>5141</v>
      </c>
      <c r="F79" s="57" t="s">
        <v>5348</v>
      </c>
      <c r="G79" s="57" t="s">
        <v>5472</v>
      </c>
      <c r="H79" s="62">
        <v>80</v>
      </c>
      <c r="I79" s="56">
        <f t="shared" si="10"/>
        <v>740</v>
      </c>
      <c r="J79" s="58">
        <f t="shared" si="11"/>
        <v>740</v>
      </c>
      <c r="K79" s="58">
        <f t="shared" si="8"/>
        <v>0</v>
      </c>
      <c r="L79" s="58">
        <f t="shared" si="9"/>
        <v>0</v>
      </c>
      <c r="M79" s="55"/>
    </row>
    <row r="80" spans="2:13" s="50" customFormat="1">
      <c r="B80" s="55">
        <v>20</v>
      </c>
      <c r="C80" s="56" t="s">
        <v>34</v>
      </c>
      <c r="D80" s="57" t="s">
        <v>4915</v>
      </c>
      <c r="E80" s="56" t="s">
        <v>5142</v>
      </c>
      <c r="F80" s="57" t="s">
        <v>5335</v>
      </c>
      <c r="G80" s="57" t="s">
        <v>5473</v>
      </c>
      <c r="H80" s="55">
        <v>190</v>
      </c>
      <c r="I80" s="56">
        <f t="shared" si="10"/>
        <v>3040</v>
      </c>
      <c r="J80" s="58">
        <f t="shared" si="11"/>
        <v>3040</v>
      </c>
      <c r="K80" s="58">
        <f t="shared" si="8"/>
        <v>0</v>
      </c>
      <c r="L80" s="58">
        <f t="shared" si="9"/>
        <v>0</v>
      </c>
      <c r="M80" s="55"/>
    </row>
    <row r="81" spans="2:13" s="50" customFormat="1">
      <c r="B81" s="55">
        <v>20</v>
      </c>
      <c r="C81" s="56" t="s">
        <v>34</v>
      </c>
      <c r="D81" s="57" t="s">
        <v>4916</v>
      </c>
      <c r="E81" s="56" t="s">
        <v>5143</v>
      </c>
      <c r="F81" s="57" t="s">
        <v>5349</v>
      </c>
      <c r="G81" s="57" t="s">
        <v>5429</v>
      </c>
      <c r="H81" s="55">
        <v>3</v>
      </c>
      <c r="I81" s="56">
        <f t="shared" si="10"/>
        <v>43.5</v>
      </c>
      <c r="J81" s="58">
        <f t="shared" si="11"/>
        <v>43.5</v>
      </c>
      <c r="K81" s="58">
        <f t="shared" si="8"/>
        <v>0</v>
      </c>
      <c r="L81" s="58">
        <f t="shared" si="9"/>
        <v>0</v>
      </c>
      <c r="M81" s="55"/>
    </row>
    <row r="82" spans="2:13" s="50" customFormat="1">
      <c r="B82" s="55">
        <v>20</v>
      </c>
      <c r="C82" s="56" t="s">
        <v>34</v>
      </c>
      <c r="D82" s="57" t="s">
        <v>4917</v>
      </c>
      <c r="E82" s="56" t="s">
        <v>5144</v>
      </c>
      <c r="F82" s="57" t="s">
        <v>5335</v>
      </c>
      <c r="G82" s="57" t="s">
        <v>5474</v>
      </c>
      <c r="H82" s="55">
        <v>139</v>
      </c>
      <c r="I82" s="56">
        <f t="shared" si="10"/>
        <v>2224</v>
      </c>
      <c r="J82" s="58">
        <f t="shared" si="11"/>
        <v>2224</v>
      </c>
      <c r="K82" s="58">
        <f t="shared" si="8"/>
        <v>0</v>
      </c>
      <c r="L82" s="58">
        <f t="shared" si="9"/>
        <v>0</v>
      </c>
      <c r="M82" s="55"/>
    </row>
    <row r="83" spans="2:13" s="50" customFormat="1">
      <c r="B83" s="55">
        <v>20</v>
      </c>
      <c r="C83" s="56" t="s">
        <v>34</v>
      </c>
      <c r="D83" s="57" t="s">
        <v>4918</v>
      </c>
      <c r="E83" s="56" t="s">
        <v>5145</v>
      </c>
      <c r="F83" s="57" t="s">
        <v>5349</v>
      </c>
      <c r="G83" s="57" t="s">
        <v>5475</v>
      </c>
      <c r="H83" s="55">
        <v>226</v>
      </c>
      <c r="I83" s="56">
        <f t="shared" si="10"/>
        <v>3233.5</v>
      </c>
      <c r="J83" s="58">
        <f t="shared" si="11"/>
        <v>3277</v>
      </c>
      <c r="K83" s="58">
        <f t="shared" si="8"/>
        <v>-3</v>
      </c>
      <c r="L83" s="58">
        <f t="shared" si="9"/>
        <v>-43.5</v>
      </c>
      <c r="M83" s="55"/>
    </row>
    <row r="84" spans="2:13" s="50" customFormat="1">
      <c r="B84" s="55">
        <v>20</v>
      </c>
      <c r="C84" s="56" t="s">
        <v>34</v>
      </c>
      <c r="D84" s="57" t="s">
        <v>4919</v>
      </c>
      <c r="E84" s="56" t="s">
        <v>5146</v>
      </c>
      <c r="F84" s="57" t="s">
        <v>5321</v>
      </c>
      <c r="G84" s="57" t="s">
        <v>5476</v>
      </c>
      <c r="H84" s="55">
        <v>222</v>
      </c>
      <c r="I84" s="56">
        <f t="shared" si="10"/>
        <v>2664</v>
      </c>
      <c r="J84" s="58">
        <f t="shared" si="11"/>
        <v>2664</v>
      </c>
      <c r="K84" s="58">
        <f t="shared" si="8"/>
        <v>0</v>
      </c>
      <c r="L84" s="58">
        <f t="shared" si="9"/>
        <v>0</v>
      </c>
      <c r="M84" s="55"/>
    </row>
    <row r="85" spans="2:13" s="50" customFormat="1">
      <c r="B85" s="55">
        <v>20</v>
      </c>
      <c r="C85" s="56" t="s">
        <v>34</v>
      </c>
      <c r="D85" s="57" t="s">
        <v>4920</v>
      </c>
      <c r="E85" s="56" t="s">
        <v>5147</v>
      </c>
      <c r="F85" s="57" t="s">
        <v>5295</v>
      </c>
      <c r="G85" s="57" t="s">
        <v>5433</v>
      </c>
      <c r="H85" s="55">
        <v>55</v>
      </c>
      <c r="I85" s="56">
        <f t="shared" si="10"/>
        <v>742.5</v>
      </c>
      <c r="J85" s="58">
        <f t="shared" si="11"/>
        <v>742.5</v>
      </c>
      <c r="K85" s="58">
        <f t="shared" si="8"/>
        <v>0</v>
      </c>
      <c r="L85" s="58">
        <f t="shared" si="9"/>
        <v>0</v>
      </c>
      <c r="M85" s="55"/>
    </row>
    <row r="86" spans="2:13" s="50" customFormat="1">
      <c r="B86" s="55">
        <v>20</v>
      </c>
      <c r="C86" s="56" t="s">
        <v>34</v>
      </c>
      <c r="D86" s="57" t="s">
        <v>4921</v>
      </c>
      <c r="E86" s="56" t="s">
        <v>5148</v>
      </c>
      <c r="F86" s="57" t="s">
        <v>5349</v>
      </c>
      <c r="G86" s="57" t="s">
        <v>5465</v>
      </c>
      <c r="H86" s="55">
        <v>10</v>
      </c>
      <c r="I86" s="56">
        <f t="shared" si="10"/>
        <v>145</v>
      </c>
      <c r="J86" s="58">
        <f t="shared" si="11"/>
        <v>145</v>
      </c>
      <c r="K86" s="58">
        <f t="shared" si="8"/>
        <v>0</v>
      </c>
      <c r="L86" s="58">
        <f t="shared" si="9"/>
        <v>0</v>
      </c>
      <c r="M86" s="55"/>
    </row>
    <row r="87" spans="2:13" s="50" customFormat="1">
      <c r="B87" s="55">
        <v>20</v>
      </c>
      <c r="C87" s="56" t="s">
        <v>34</v>
      </c>
      <c r="D87" s="57" t="s">
        <v>4922</v>
      </c>
      <c r="E87" s="56" t="s">
        <v>5149</v>
      </c>
      <c r="F87" s="63" t="s">
        <v>5335</v>
      </c>
      <c r="G87" s="57" t="s">
        <v>5473</v>
      </c>
      <c r="H87" s="55">
        <v>190</v>
      </c>
      <c r="I87" s="56">
        <f t="shared" si="10"/>
        <v>3040</v>
      </c>
      <c r="J87" s="58">
        <f t="shared" si="11"/>
        <v>3040</v>
      </c>
      <c r="K87" s="58">
        <f t="shared" si="8"/>
        <v>0</v>
      </c>
      <c r="L87" s="58">
        <f t="shared" si="9"/>
        <v>0</v>
      </c>
      <c r="M87" s="55"/>
    </row>
    <row r="88" spans="2:13" s="50" customFormat="1">
      <c r="B88" s="55">
        <v>20</v>
      </c>
      <c r="C88" s="56" t="s">
        <v>34</v>
      </c>
      <c r="D88" s="57" t="s">
        <v>4923</v>
      </c>
      <c r="E88" s="56" t="s">
        <v>5150</v>
      </c>
      <c r="F88" s="57" t="s">
        <v>5350</v>
      </c>
      <c r="G88" s="57" t="s">
        <v>5434</v>
      </c>
      <c r="H88" s="55">
        <v>1</v>
      </c>
      <c r="I88" s="56">
        <f t="shared" si="10"/>
        <v>13.25</v>
      </c>
      <c r="J88" s="58">
        <f t="shared" si="11"/>
        <v>13.25</v>
      </c>
      <c r="K88" s="58">
        <f t="shared" si="8"/>
        <v>0</v>
      </c>
      <c r="L88" s="58">
        <f t="shared" si="9"/>
        <v>0</v>
      </c>
      <c r="M88" s="55"/>
    </row>
    <row r="89" spans="2:13" s="50" customFormat="1">
      <c r="B89" s="55">
        <v>20</v>
      </c>
      <c r="C89" s="56" t="s">
        <v>34</v>
      </c>
      <c r="D89" s="57" t="s">
        <v>4924</v>
      </c>
      <c r="E89" s="56" t="s">
        <v>5151</v>
      </c>
      <c r="F89" s="57" t="s">
        <v>5351</v>
      </c>
      <c r="G89" s="57" t="s">
        <v>5477</v>
      </c>
      <c r="H89" s="55">
        <v>100</v>
      </c>
      <c r="I89" s="56">
        <f t="shared" si="10"/>
        <v>1400</v>
      </c>
      <c r="J89" s="58">
        <f t="shared" si="11"/>
        <v>1400</v>
      </c>
      <c r="K89" s="58">
        <f t="shared" si="8"/>
        <v>0</v>
      </c>
      <c r="L89" s="58">
        <f t="shared" si="9"/>
        <v>0</v>
      </c>
      <c r="M89" s="55"/>
    </row>
    <row r="90" spans="2:13" s="50" customFormat="1">
      <c r="B90" s="55">
        <v>20</v>
      </c>
      <c r="C90" s="56" t="s">
        <v>34</v>
      </c>
      <c r="D90" s="57" t="s">
        <v>4925</v>
      </c>
      <c r="E90" s="56" t="s">
        <v>5152</v>
      </c>
      <c r="F90" s="57" t="s">
        <v>5349</v>
      </c>
      <c r="G90" s="57" t="s">
        <v>5465</v>
      </c>
      <c r="H90" s="55">
        <v>10</v>
      </c>
      <c r="I90" s="56">
        <f t="shared" si="10"/>
        <v>145</v>
      </c>
      <c r="J90" s="58">
        <f t="shared" si="11"/>
        <v>145</v>
      </c>
      <c r="K90" s="58">
        <f t="shared" si="8"/>
        <v>0</v>
      </c>
      <c r="L90" s="58">
        <f t="shared" si="9"/>
        <v>0</v>
      </c>
      <c r="M90" s="55"/>
    </row>
    <row r="91" spans="2:13" s="50" customFormat="1">
      <c r="B91" s="55">
        <v>20</v>
      </c>
      <c r="C91" s="56" t="s">
        <v>34</v>
      </c>
      <c r="D91" s="57" t="s">
        <v>4926</v>
      </c>
      <c r="E91" s="56" t="s">
        <v>5153</v>
      </c>
      <c r="F91" s="57" t="s">
        <v>5350</v>
      </c>
      <c r="G91" s="57" t="s">
        <v>5445</v>
      </c>
      <c r="H91" s="55">
        <v>115</v>
      </c>
      <c r="I91" s="56">
        <f t="shared" si="10"/>
        <v>1523.75</v>
      </c>
      <c r="J91" s="58">
        <f t="shared" si="11"/>
        <v>1523.75</v>
      </c>
      <c r="K91" s="58">
        <f t="shared" si="8"/>
        <v>0</v>
      </c>
      <c r="L91" s="58">
        <f t="shared" si="9"/>
        <v>0</v>
      </c>
      <c r="M91" s="55"/>
    </row>
    <row r="92" spans="2:13" s="50" customFormat="1">
      <c r="B92" s="55">
        <v>20</v>
      </c>
      <c r="C92" s="56" t="s">
        <v>34</v>
      </c>
      <c r="D92" s="57" t="s">
        <v>4927</v>
      </c>
      <c r="E92" s="56" t="s">
        <v>5154</v>
      </c>
      <c r="F92" s="57" t="s">
        <v>5349</v>
      </c>
      <c r="G92" s="57" t="s">
        <v>5478</v>
      </c>
      <c r="H92" s="55">
        <v>66</v>
      </c>
      <c r="I92" s="56">
        <f t="shared" si="10"/>
        <v>971.5</v>
      </c>
      <c r="J92" s="58">
        <f t="shared" si="11"/>
        <v>957</v>
      </c>
      <c r="K92" s="58">
        <f t="shared" si="8"/>
        <v>1</v>
      </c>
      <c r="L92" s="58">
        <f t="shared" si="9"/>
        <v>14.5</v>
      </c>
      <c r="M92" s="55"/>
    </row>
    <row r="93" spans="2:13" s="50" customFormat="1">
      <c r="B93" s="55">
        <v>20</v>
      </c>
      <c r="C93" s="56" t="s">
        <v>34</v>
      </c>
      <c r="D93" s="57" t="s">
        <v>4928</v>
      </c>
      <c r="E93" s="56" t="s">
        <v>5155</v>
      </c>
      <c r="F93" s="57" t="s">
        <v>5335</v>
      </c>
      <c r="G93" s="57" t="s">
        <v>5479</v>
      </c>
      <c r="H93" s="55">
        <v>280</v>
      </c>
      <c r="I93" s="56">
        <f t="shared" si="10"/>
        <v>4480</v>
      </c>
      <c r="J93" s="58">
        <f t="shared" si="11"/>
        <v>4480</v>
      </c>
      <c r="K93" s="58">
        <f t="shared" si="8"/>
        <v>0</v>
      </c>
      <c r="L93" s="58">
        <f t="shared" si="9"/>
        <v>0</v>
      </c>
      <c r="M93" s="55"/>
    </row>
    <row r="94" spans="2:13" s="50" customFormat="1">
      <c r="B94" s="55">
        <v>20</v>
      </c>
      <c r="C94" s="56" t="s">
        <v>34</v>
      </c>
      <c r="D94" s="57" t="s">
        <v>4929</v>
      </c>
      <c r="E94" s="56" t="s">
        <v>5156</v>
      </c>
      <c r="F94" s="57" t="s">
        <v>5338</v>
      </c>
      <c r="G94" s="57" t="s">
        <v>5434</v>
      </c>
      <c r="H94" s="55">
        <v>1</v>
      </c>
      <c r="I94" s="56">
        <f t="shared" si="10"/>
        <v>15</v>
      </c>
      <c r="J94" s="58">
        <f t="shared" si="11"/>
        <v>15</v>
      </c>
      <c r="K94" s="58">
        <f t="shared" si="8"/>
        <v>0</v>
      </c>
      <c r="L94" s="58">
        <f t="shared" si="9"/>
        <v>0</v>
      </c>
      <c r="M94" s="55"/>
    </row>
    <row r="95" spans="2:13" s="50" customFormat="1">
      <c r="B95" s="55">
        <v>20</v>
      </c>
      <c r="C95" s="56" t="s">
        <v>34</v>
      </c>
      <c r="D95" s="57" t="s">
        <v>4930</v>
      </c>
      <c r="E95" s="56" t="s">
        <v>5157</v>
      </c>
      <c r="F95" s="57" t="s">
        <v>5295</v>
      </c>
      <c r="G95" s="57" t="s">
        <v>5480</v>
      </c>
      <c r="H95" s="55">
        <v>43</v>
      </c>
      <c r="I95" s="56">
        <f t="shared" si="10"/>
        <v>580.5</v>
      </c>
      <c r="J95" s="58">
        <f t="shared" si="11"/>
        <v>580.5</v>
      </c>
      <c r="K95" s="58">
        <f t="shared" si="8"/>
        <v>0</v>
      </c>
      <c r="L95" s="58">
        <f t="shared" si="9"/>
        <v>0</v>
      </c>
      <c r="M95" s="55"/>
    </row>
    <row r="96" spans="2:13" s="50" customFormat="1">
      <c r="B96" s="55">
        <v>20</v>
      </c>
      <c r="C96" s="56" t="s">
        <v>34</v>
      </c>
      <c r="D96" s="57" t="s">
        <v>4931</v>
      </c>
      <c r="E96" s="56" t="s">
        <v>5158</v>
      </c>
      <c r="F96" s="57" t="s">
        <v>5326</v>
      </c>
      <c r="G96" s="57" t="s">
        <v>5481</v>
      </c>
      <c r="H96" s="55">
        <v>42</v>
      </c>
      <c r="I96" s="56">
        <f t="shared" si="10"/>
        <v>5460</v>
      </c>
      <c r="J96" s="58">
        <f t="shared" si="11"/>
        <v>5460</v>
      </c>
      <c r="K96" s="58">
        <f t="shared" si="8"/>
        <v>0</v>
      </c>
      <c r="L96" s="58">
        <f t="shared" si="9"/>
        <v>0</v>
      </c>
      <c r="M96" s="55"/>
    </row>
    <row r="97" spans="2:13" s="50" customFormat="1">
      <c r="B97" s="55">
        <v>20</v>
      </c>
      <c r="C97" s="56" t="s">
        <v>34</v>
      </c>
      <c r="D97" s="57" t="s">
        <v>4932</v>
      </c>
      <c r="E97" s="56" t="s">
        <v>5159</v>
      </c>
      <c r="F97" s="57" t="s">
        <v>5336</v>
      </c>
      <c r="G97" s="57" t="s">
        <v>5482</v>
      </c>
      <c r="H97" s="55">
        <v>195</v>
      </c>
      <c r="I97" s="56">
        <f t="shared" si="10"/>
        <v>7800</v>
      </c>
      <c r="J97" s="58">
        <f t="shared" si="11"/>
        <v>7800</v>
      </c>
      <c r="K97" s="58">
        <f t="shared" si="8"/>
        <v>0</v>
      </c>
      <c r="L97" s="58">
        <f t="shared" si="9"/>
        <v>0</v>
      </c>
      <c r="M97" s="55"/>
    </row>
    <row r="98" spans="2:13" s="50" customFormat="1">
      <c r="B98" s="55">
        <v>20</v>
      </c>
      <c r="C98" s="56" t="s">
        <v>34</v>
      </c>
      <c r="D98" s="57" t="s">
        <v>4933</v>
      </c>
      <c r="E98" s="56" t="s">
        <v>5160</v>
      </c>
      <c r="F98" s="57" t="s">
        <v>5352</v>
      </c>
      <c r="G98" s="57" t="s">
        <v>5434</v>
      </c>
      <c r="H98" s="55">
        <v>1</v>
      </c>
      <c r="I98" s="56">
        <f t="shared" si="10"/>
        <v>281.11</v>
      </c>
      <c r="J98" s="58">
        <f t="shared" si="11"/>
        <v>281.11</v>
      </c>
      <c r="K98" s="58">
        <f t="shared" si="8"/>
        <v>0</v>
      </c>
      <c r="L98" s="58">
        <f t="shared" si="9"/>
        <v>0</v>
      </c>
      <c r="M98" s="55"/>
    </row>
    <row r="99" spans="2:13" s="50" customFormat="1">
      <c r="B99" s="55">
        <v>20</v>
      </c>
      <c r="C99" s="56" t="s">
        <v>34</v>
      </c>
      <c r="D99" s="57" t="s">
        <v>4934</v>
      </c>
      <c r="E99" s="56" t="s">
        <v>5161</v>
      </c>
      <c r="F99" s="57" t="s">
        <v>5353</v>
      </c>
      <c r="G99" s="57" t="s">
        <v>5437</v>
      </c>
      <c r="H99" s="55">
        <v>15</v>
      </c>
      <c r="I99" s="56">
        <f t="shared" si="10"/>
        <v>1470</v>
      </c>
      <c r="J99" s="58">
        <f t="shared" si="11"/>
        <v>1470</v>
      </c>
      <c r="K99" s="58">
        <f t="shared" si="8"/>
        <v>0</v>
      </c>
      <c r="L99" s="58">
        <f t="shared" si="9"/>
        <v>0</v>
      </c>
      <c r="M99" s="55"/>
    </row>
    <row r="100" spans="2:13" s="50" customFormat="1">
      <c r="B100" s="55">
        <v>20</v>
      </c>
      <c r="C100" s="56" t="s">
        <v>34</v>
      </c>
      <c r="D100" s="57" t="s">
        <v>4935</v>
      </c>
      <c r="E100" s="56" t="s">
        <v>5162</v>
      </c>
      <c r="F100" s="57" t="s">
        <v>5353</v>
      </c>
      <c r="G100" s="57" t="s">
        <v>5435</v>
      </c>
      <c r="H100" s="55">
        <v>7</v>
      </c>
      <c r="I100" s="56">
        <f t="shared" si="10"/>
        <v>686</v>
      </c>
      <c r="J100" s="58">
        <f t="shared" si="11"/>
        <v>686</v>
      </c>
      <c r="K100" s="58">
        <f t="shared" si="8"/>
        <v>0</v>
      </c>
      <c r="L100" s="58">
        <f t="shared" si="9"/>
        <v>0</v>
      </c>
      <c r="M100" s="55"/>
    </row>
    <row r="101" spans="2:13" s="50" customFormat="1">
      <c r="B101" s="55">
        <v>20</v>
      </c>
      <c r="C101" s="56" t="s">
        <v>34</v>
      </c>
      <c r="D101" s="57" t="s">
        <v>4936</v>
      </c>
      <c r="E101" s="56" t="s">
        <v>5163</v>
      </c>
      <c r="F101" s="57" t="s">
        <v>5354</v>
      </c>
      <c r="G101" s="57" t="s">
        <v>5483</v>
      </c>
      <c r="H101" s="55">
        <v>495</v>
      </c>
      <c r="I101" s="56">
        <f t="shared" si="10"/>
        <v>2227.5</v>
      </c>
      <c r="J101" s="58">
        <f t="shared" si="11"/>
        <v>2227.5</v>
      </c>
      <c r="K101" s="58">
        <f t="shared" si="8"/>
        <v>0</v>
      </c>
      <c r="L101" s="58">
        <f t="shared" si="9"/>
        <v>0</v>
      </c>
      <c r="M101" s="55"/>
    </row>
    <row r="102" spans="2:13" s="50" customFormat="1">
      <c r="B102" s="55">
        <v>20</v>
      </c>
      <c r="C102" s="56" t="s">
        <v>34</v>
      </c>
      <c r="D102" s="57" t="s">
        <v>4937</v>
      </c>
      <c r="E102" s="56" t="s">
        <v>5164</v>
      </c>
      <c r="F102" s="57" t="s">
        <v>5355</v>
      </c>
      <c r="G102" s="57" t="s">
        <v>5484</v>
      </c>
      <c r="H102" s="55">
        <v>649</v>
      </c>
      <c r="I102" s="56">
        <f t="shared" si="10"/>
        <v>5354.25</v>
      </c>
      <c r="J102" s="58">
        <f t="shared" si="11"/>
        <v>5354.25</v>
      </c>
      <c r="K102" s="58">
        <f t="shared" si="8"/>
        <v>0</v>
      </c>
      <c r="L102" s="58">
        <f t="shared" si="9"/>
        <v>0</v>
      </c>
      <c r="M102" s="55"/>
    </row>
    <row r="103" spans="2:13" s="50" customFormat="1">
      <c r="B103" s="55">
        <v>20</v>
      </c>
      <c r="C103" s="56" t="s">
        <v>34</v>
      </c>
      <c r="D103" s="57" t="s">
        <v>4938</v>
      </c>
      <c r="E103" s="56" t="s">
        <v>5165</v>
      </c>
      <c r="F103" s="57" t="s">
        <v>5355</v>
      </c>
      <c r="G103" s="57" t="s">
        <v>5485</v>
      </c>
      <c r="H103" s="55">
        <v>1001</v>
      </c>
      <c r="I103" s="56">
        <f t="shared" si="10"/>
        <v>8258.25</v>
      </c>
      <c r="J103" s="58">
        <f t="shared" si="11"/>
        <v>8258.25</v>
      </c>
      <c r="K103" s="58">
        <f t="shared" si="8"/>
        <v>0</v>
      </c>
      <c r="L103" s="58">
        <f t="shared" si="9"/>
        <v>0</v>
      </c>
      <c r="M103" s="55"/>
    </row>
    <row r="104" spans="2:13" s="50" customFormat="1">
      <c r="B104" s="55">
        <v>20</v>
      </c>
      <c r="C104" s="56" t="s">
        <v>34</v>
      </c>
      <c r="D104" s="57" t="s">
        <v>4939</v>
      </c>
      <c r="E104" s="56" t="s">
        <v>5166</v>
      </c>
      <c r="F104" s="57" t="s">
        <v>5356</v>
      </c>
      <c r="G104" s="57" t="s">
        <v>5477</v>
      </c>
      <c r="H104" s="55">
        <v>100</v>
      </c>
      <c r="I104" s="56">
        <f t="shared" si="10"/>
        <v>700</v>
      </c>
      <c r="J104" s="58">
        <f t="shared" si="11"/>
        <v>700</v>
      </c>
      <c r="K104" s="58">
        <f t="shared" si="8"/>
        <v>0</v>
      </c>
      <c r="L104" s="58">
        <f t="shared" si="9"/>
        <v>0</v>
      </c>
      <c r="M104" s="55"/>
    </row>
    <row r="105" spans="2:13" s="50" customFormat="1">
      <c r="B105" s="55">
        <v>20</v>
      </c>
      <c r="C105" s="56" t="s">
        <v>34</v>
      </c>
      <c r="D105" s="57" t="s">
        <v>4940</v>
      </c>
      <c r="E105" s="56" t="s">
        <v>5167</v>
      </c>
      <c r="F105" s="57" t="s">
        <v>5357</v>
      </c>
      <c r="G105" s="57" t="s">
        <v>5486</v>
      </c>
      <c r="H105" s="55">
        <v>806</v>
      </c>
      <c r="I105" s="56">
        <f t="shared" si="10"/>
        <v>3828.5</v>
      </c>
      <c r="J105" s="58">
        <f t="shared" si="11"/>
        <v>3828.5</v>
      </c>
      <c r="K105" s="58">
        <f t="shared" si="8"/>
        <v>0</v>
      </c>
      <c r="L105" s="58">
        <f t="shared" si="9"/>
        <v>0</v>
      </c>
      <c r="M105" s="55"/>
    </row>
    <row r="106" spans="2:13" s="50" customFormat="1">
      <c r="B106" s="55">
        <v>20</v>
      </c>
      <c r="C106" s="56" t="s">
        <v>34</v>
      </c>
      <c r="D106" s="57" t="s">
        <v>4941</v>
      </c>
      <c r="E106" s="56" t="s">
        <v>5168</v>
      </c>
      <c r="F106" s="57" t="s">
        <v>5358</v>
      </c>
      <c r="G106" s="57" t="s">
        <v>5487</v>
      </c>
      <c r="H106" s="55">
        <v>236</v>
      </c>
      <c r="I106" s="56">
        <f t="shared" si="10"/>
        <v>1888</v>
      </c>
      <c r="J106" s="58">
        <f t="shared" si="11"/>
        <v>1888</v>
      </c>
      <c r="K106" s="58">
        <f t="shared" si="8"/>
        <v>0</v>
      </c>
      <c r="L106" s="58">
        <f t="shared" si="9"/>
        <v>0</v>
      </c>
      <c r="M106" s="55"/>
    </row>
    <row r="107" spans="2:13" s="50" customFormat="1">
      <c r="B107" s="55">
        <v>20</v>
      </c>
      <c r="C107" s="56" t="s">
        <v>34</v>
      </c>
      <c r="D107" s="57" t="s">
        <v>4942</v>
      </c>
      <c r="E107" s="56" t="s">
        <v>5169</v>
      </c>
      <c r="F107" s="57" t="s">
        <v>5357</v>
      </c>
      <c r="G107" s="57" t="s">
        <v>5488</v>
      </c>
      <c r="H107" s="55">
        <v>288</v>
      </c>
      <c r="I107" s="56">
        <f t="shared" si="10"/>
        <v>1368</v>
      </c>
      <c r="J107" s="58">
        <f t="shared" si="11"/>
        <v>1368</v>
      </c>
      <c r="K107" s="58">
        <f t="shared" si="8"/>
        <v>0</v>
      </c>
      <c r="L107" s="58">
        <f t="shared" si="9"/>
        <v>0</v>
      </c>
      <c r="M107" s="55"/>
    </row>
    <row r="108" spans="2:13" s="50" customFormat="1">
      <c r="B108" s="55">
        <v>20</v>
      </c>
      <c r="C108" s="56" t="s">
        <v>34</v>
      </c>
      <c r="D108" s="57" t="s">
        <v>4943</v>
      </c>
      <c r="E108" s="56" t="s">
        <v>5170</v>
      </c>
      <c r="F108" s="57" t="s">
        <v>5359</v>
      </c>
      <c r="G108" s="57" t="s">
        <v>5489</v>
      </c>
      <c r="H108" s="55">
        <v>2630</v>
      </c>
      <c r="I108" s="56">
        <f t="shared" si="10"/>
        <v>5802.3</v>
      </c>
      <c r="J108" s="58">
        <f t="shared" si="11"/>
        <v>7101.0000000000009</v>
      </c>
      <c r="K108" s="58">
        <f t="shared" si="8"/>
        <v>-481</v>
      </c>
      <c r="L108" s="58">
        <f t="shared" si="9"/>
        <v>-1298.7000000000007</v>
      </c>
      <c r="M108" s="55"/>
    </row>
    <row r="109" spans="2:13" s="50" customFormat="1">
      <c r="B109" s="55">
        <v>20</v>
      </c>
      <c r="C109" s="56" t="s">
        <v>34</v>
      </c>
      <c r="D109" s="57" t="s">
        <v>4944</v>
      </c>
      <c r="E109" s="56" t="s">
        <v>5171</v>
      </c>
      <c r="F109" s="57" t="s">
        <v>5355</v>
      </c>
      <c r="G109" s="57" t="s">
        <v>5490</v>
      </c>
      <c r="H109" s="55">
        <v>390</v>
      </c>
      <c r="I109" s="56">
        <f t="shared" si="10"/>
        <v>3217.5</v>
      </c>
      <c r="J109" s="58">
        <f t="shared" si="11"/>
        <v>3217.5</v>
      </c>
      <c r="K109" s="58">
        <f t="shared" si="8"/>
        <v>0</v>
      </c>
      <c r="L109" s="58">
        <f t="shared" si="9"/>
        <v>0</v>
      </c>
      <c r="M109" s="55"/>
    </row>
    <row r="110" spans="2:13" s="50" customFormat="1">
      <c r="B110" s="55">
        <v>20</v>
      </c>
      <c r="C110" s="56" t="s">
        <v>34</v>
      </c>
      <c r="D110" s="57" t="s">
        <v>4945</v>
      </c>
      <c r="E110" s="56" t="s">
        <v>5172</v>
      </c>
      <c r="F110" s="57" t="s">
        <v>5354</v>
      </c>
      <c r="G110" s="57" t="s">
        <v>5459</v>
      </c>
      <c r="H110" s="55">
        <v>20</v>
      </c>
      <c r="I110" s="56">
        <f t="shared" si="10"/>
        <v>90</v>
      </c>
      <c r="J110" s="58">
        <f t="shared" si="11"/>
        <v>90</v>
      </c>
      <c r="K110" s="58">
        <f t="shared" si="8"/>
        <v>0</v>
      </c>
      <c r="L110" s="58">
        <f t="shared" si="9"/>
        <v>0</v>
      </c>
      <c r="M110" s="55"/>
    </row>
    <row r="111" spans="2:13" s="50" customFormat="1">
      <c r="B111" s="55">
        <v>20</v>
      </c>
      <c r="C111" s="56" t="s">
        <v>34</v>
      </c>
      <c r="D111" s="57" t="s">
        <v>4946</v>
      </c>
      <c r="E111" s="56" t="s">
        <v>5173</v>
      </c>
      <c r="F111" s="57" t="s">
        <v>5360</v>
      </c>
      <c r="G111" s="57" t="s">
        <v>5491</v>
      </c>
      <c r="H111" s="55">
        <v>3213</v>
      </c>
      <c r="I111" s="56">
        <f t="shared" si="10"/>
        <v>8892.7999999999993</v>
      </c>
      <c r="J111" s="58">
        <f t="shared" si="11"/>
        <v>8996.4</v>
      </c>
      <c r="K111" s="58">
        <f t="shared" si="8"/>
        <v>-37</v>
      </c>
      <c r="L111" s="58">
        <f t="shared" si="9"/>
        <v>-103.60000000000036</v>
      </c>
      <c r="M111" s="55"/>
    </row>
    <row r="112" spans="2:13" s="50" customFormat="1">
      <c r="B112" s="55">
        <v>20</v>
      </c>
      <c r="C112" s="56" t="s">
        <v>34</v>
      </c>
      <c r="D112" s="57" t="s">
        <v>4947</v>
      </c>
      <c r="E112" s="56" t="s">
        <v>5174</v>
      </c>
      <c r="F112" s="57" t="s">
        <v>5354</v>
      </c>
      <c r="G112" s="57" t="s">
        <v>5469</v>
      </c>
      <c r="H112" s="55">
        <v>6</v>
      </c>
      <c r="I112" s="56">
        <f t="shared" si="10"/>
        <v>27</v>
      </c>
      <c r="J112" s="58">
        <f t="shared" si="11"/>
        <v>27</v>
      </c>
      <c r="K112" s="58">
        <f t="shared" si="8"/>
        <v>0</v>
      </c>
      <c r="L112" s="58">
        <f t="shared" si="9"/>
        <v>0</v>
      </c>
      <c r="M112" s="55"/>
    </row>
    <row r="113" spans="2:13" s="50" customFormat="1">
      <c r="B113" s="55">
        <v>20</v>
      </c>
      <c r="C113" s="56" t="s">
        <v>34</v>
      </c>
      <c r="D113" s="57" t="s">
        <v>4948</v>
      </c>
      <c r="E113" s="56" t="s">
        <v>5175</v>
      </c>
      <c r="F113" s="57" t="s">
        <v>5361</v>
      </c>
      <c r="G113" s="57" t="s">
        <v>2544</v>
      </c>
      <c r="H113" s="55">
        <v>2</v>
      </c>
      <c r="I113" s="56">
        <f t="shared" si="10"/>
        <v>231.7</v>
      </c>
      <c r="J113" s="58">
        <f t="shared" si="11"/>
        <v>231.7</v>
      </c>
      <c r="K113" s="58">
        <f t="shared" si="8"/>
        <v>0</v>
      </c>
      <c r="L113" s="58">
        <f t="shared" si="9"/>
        <v>0</v>
      </c>
      <c r="M113" s="55"/>
    </row>
    <row r="114" spans="2:13" s="50" customFormat="1">
      <c r="B114" s="55">
        <v>20</v>
      </c>
      <c r="C114" s="56" t="s">
        <v>34</v>
      </c>
      <c r="D114" s="57" t="s">
        <v>4948</v>
      </c>
      <c r="E114" s="56" t="s">
        <v>5175</v>
      </c>
      <c r="F114" s="57" t="s">
        <v>5361</v>
      </c>
      <c r="G114" s="57" t="s">
        <v>5437</v>
      </c>
      <c r="H114" s="55">
        <v>15</v>
      </c>
      <c r="I114" s="56">
        <f t="shared" si="10"/>
        <v>1737.75</v>
      </c>
      <c r="J114" s="58">
        <f t="shared" si="11"/>
        <v>1737.75</v>
      </c>
      <c r="K114" s="58">
        <f t="shared" si="8"/>
        <v>0</v>
      </c>
      <c r="L114" s="58">
        <f t="shared" si="9"/>
        <v>0</v>
      </c>
      <c r="M114" s="55"/>
    </row>
    <row r="115" spans="2:13" s="50" customFormat="1">
      <c r="B115" s="55">
        <v>20</v>
      </c>
      <c r="C115" s="56" t="s">
        <v>34</v>
      </c>
      <c r="D115" s="57" t="s">
        <v>4949</v>
      </c>
      <c r="E115" s="56" t="s">
        <v>5176</v>
      </c>
      <c r="F115" s="57" t="s">
        <v>5362</v>
      </c>
      <c r="G115" s="57" t="s">
        <v>5429</v>
      </c>
      <c r="H115" s="55">
        <v>3</v>
      </c>
      <c r="I115" s="56">
        <f t="shared" si="10"/>
        <v>264</v>
      </c>
      <c r="J115" s="58">
        <f t="shared" si="11"/>
        <v>264</v>
      </c>
      <c r="K115" s="58">
        <f t="shared" si="8"/>
        <v>0</v>
      </c>
      <c r="L115" s="58">
        <f t="shared" si="9"/>
        <v>0</v>
      </c>
      <c r="M115" s="55"/>
    </row>
    <row r="116" spans="2:13" s="50" customFormat="1">
      <c r="B116" s="55">
        <v>20</v>
      </c>
      <c r="C116" s="56" t="s">
        <v>34</v>
      </c>
      <c r="D116" s="57" t="s">
        <v>4950</v>
      </c>
      <c r="E116" s="56" t="s">
        <v>5177</v>
      </c>
      <c r="F116" s="57" t="s">
        <v>5363</v>
      </c>
      <c r="G116" s="57" t="s">
        <v>5463</v>
      </c>
      <c r="H116" s="55">
        <v>8</v>
      </c>
      <c r="I116" s="56">
        <f t="shared" si="10"/>
        <v>1342.4</v>
      </c>
      <c r="J116" s="58">
        <f t="shared" si="11"/>
        <v>1342.4</v>
      </c>
      <c r="K116" s="58">
        <f t="shared" si="8"/>
        <v>0</v>
      </c>
      <c r="L116" s="58">
        <f t="shared" si="9"/>
        <v>0</v>
      </c>
      <c r="M116" s="55"/>
    </row>
    <row r="117" spans="2:13" s="50" customFormat="1">
      <c r="B117" s="55">
        <v>20</v>
      </c>
      <c r="C117" s="56" t="s">
        <v>34</v>
      </c>
      <c r="D117" s="57" t="s">
        <v>4951</v>
      </c>
      <c r="E117" s="56" t="s">
        <v>5178</v>
      </c>
      <c r="F117" s="57" t="s">
        <v>5363</v>
      </c>
      <c r="G117" s="57">
        <v>8</v>
      </c>
      <c r="H117" s="55">
        <v>8</v>
      </c>
      <c r="I117" s="56">
        <f t="shared" si="10"/>
        <v>1342.4</v>
      </c>
      <c r="J117" s="58">
        <f t="shared" si="11"/>
        <v>1342.4</v>
      </c>
      <c r="K117" s="58">
        <f t="shared" si="8"/>
        <v>0</v>
      </c>
      <c r="L117" s="58">
        <f t="shared" si="9"/>
        <v>0</v>
      </c>
      <c r="M117" s="55"/>
    </row>
    <row r="118" spans="2:13" s="50" customFormat="1">
      <c r="B118" s="55">
        <v>20</v>
      </c>
      <c r="C118" s="56" t="s">
        <v>34</v>
      </c>
      <c r="D118" s="57" t="s">
        <v>4952</v>
      </c>
      <c r="E118" s="56" t="s">
        <v>5179</v>
      </c>
      <c r="F118" s="57" t="s">
        <v>5364</v>
      </c>
      <c r="G118" s="57" t="s">
        <v>5434</v>
      </c>
      <c r="H118" s="55">
        <v>1</v>
      </c>
      <c r="I118" s="56">
        <f t="shared" si="10"/>
        <v>180</v>
      </c>
      <c r="J118" s="58">
        <f t="shared" si="11"/>
        <v>180</v>
      </c>
      <c r="K118" s="58">
        <f t="shared" si="8"/>
        <v>0</v>
      </c>
      <c r="L118" s="58">
        <f t="shared" si="9"/>
        <v>0</v>
      </c>
      <c r="M118" s="55"/>
    </row>
    <row r="119" spans="2:13" s="50" customFormat="1">
      <c r="B119" s="55">
        <v>20</v>
      </c>
      <c r="C119" s="56" t="s">
        <v>34</v>
      </c>
      <c r="D119" s="57" t="s">
        <v>4953</v>
      </c>
      <c r="E119" s="56" t="s">
        <v>5180</v>
      </c>
      <c r="F119" s="57" t="s">
        <v>5365</v>
      </c>
      <c r="G119" s="57" t="s">
        <v>5434</v>
      </c>
      <c r="H119" s="55">
        <v>1</v>
      </c>
      <c r="I119" s="56">
        <f t="shared" si="10"/>
        <v>700</v>
      </c>
      <c r="J119" s="58">
        <f t="shared" si="11"/>
        <v>700</v>
      </c>
      <c r="K119" s="58">
        <f t="shared" si="8"/>
        <v>0</v>
      </c>
      <c r="L119" s="58">
        <f t="shared" si="9"/>
        <v>0</v>
      </c>
      <c r="M119" s="55"/>
    </row>
    <row r="120" spans="2:13" s="50" customFormat="1">
      <c r="B120" s="55">
        <v>20</v>
      </c>
      <c r="C120" s="56" t="s">
        <v>34</v>
      </c>
      <c r="D120" s="57" t="s">
        <v>4954</v>
      </c>
      <c r="E120" s="56" t="s">
        <v>5181</v>
      </c>
      <c r="F120" s="57" t="s">
        <v>5366</v>
      </c>
      <c r="G120" s="57" t="s">
        <v>5434</v>
      </c>
      <c r="H120" s="55">
        <v>1</v>
      </c>
      <c r="I120" s="56">
        <f t="shared" si="10"/>
        <v>400</v>
      </c>
      <c r="J120" s="58">
        <f t="shared" si="11"/>
        <v>400</v>
      </c>
      <c r="K120" s="58">
        <f t="shared" si="8"/>
        <v>0</v>
      </c>
      <c r="L120" s="58">
        <f t="shared" si="9"/>
        <v>0</v>
      </c>
      <c r="M120" s="55"/>
    </row>
    <row r="121" spans="2:13" s="50" customFormat="1">
      <c r="B121" s="55">
        <v>20</v>
      </c>
      <c r="C121" s="56" t="s">
        <v>34</v>
      </c>
      <c r="D121" s="57" t="s">
        <v>4955</v>
      </c>
      <c r="E121" s="56" t="s">
        <v>5182</v>
      </c>
      <c r="F121" s="57" t="s">
        <v>5367</v>
      </c>
      <c r="G121" s="57" t="s">
        <v>5492</v>
      </c>
      <c r="H121" s="55">
        <v>147</v>
      </c>
      <c r="I121" s="56">
        <f t="shared" si="10"/>
        <v>3528</v>
      </c>
      <c r="J121" s="58">
        <f t="shared" si="11"/>
        <v>3528</v>
      </c>
      <c r="K121" s="58">
        <f t="shared" si="8"/>
        <v>0</v>
      </c>
      <c r="L121" s="58">
        <f t="shared" si="9"/>
        <v>0</v>
      </c>
      <c r="M121" s="55"/>
    </row>
    <row r="122" spans="2:13" s="50" customFormat="1">
      <c r="B122" s="55">
        <v>20</v>
      </c>
      <c r="C122" s="56" t="s">
        <v>34</v>
      </c>
      <c r="D122" s="57" t="s">
        <v>4956</v>
      </c>
      <c r="E122" s="56" t="s">
        <v>5183</v>
      </c>
      <c r="F122" s="57" t="s">
        <v>5368</v>
      </c>
      <c r="G122" s="57" t="s">
        <v>5493</v>
      </c>
      <c r="H122" s="55">
        <v>30</v>
      </c>
      <c r="I122" s="56">
        <f t="shared" si="10"/>
        <v>600</v>
      </c>
      <c r="J122" s="58">
        <f t="shared" si="11"/>
        <v>600</v>
      </c>
      <c r="K122" s="58">
        <f t="shared" si="8"/>
        <v>0</v>
      </c>
      <c r="L122" s="58">
        <f t="shared" si="9"/>
        <v>0</v>
      </c>
      <c r="M122" s="55"/>
    </row>
    <row r="123" spans="2:13" s="50" customFormat="1">
      <c r="B123" s="55">
        <v>20</v>
      </c>
      <c r="C123" s="56" t="s">
        <v>34</v>
      </c>
      <c r="D123" s="57" t="s">
        <v>4957</v>
      </c>
      <c r="E123" s="56" t="s">
        <v>5184</v>
      </c>
      <c r="F123" s="57" t="s">
        <v>5354</v>
      </c>
      <c r="G123" s="57" t="s">
        <v>5434</v>
      </c>
      <c r="H123" s="55">
        <v>1</v>
      </c>
      <c r="I123" s="56">
        <f t="shared" si="10"/>
        <v>4.5</v>
      </c>
      <c r="J123" s="58">
        <f t="shared" si="11"/>
        <v>4.5</v>
      </c>
      <c r="K123" s="58">
        <f t="shared" si="8"/>
        <v>0</v>
      </c>
      <c r="L123" s="58">
        <f t="shared" si="9"/>
        <v>0</v>
      </c>
      <c r="M123" s="55"/>
    </row>
    <row r="124" spans="2:13" s="50" customFormat="1">
      <c r="B124" s="55">
        <v>20</v>
      </c>
      <c r="C124" s="56" t="s">
        <v>34</v>
      </c>
      <c r="D124" s="57" t="s">
        <v>4958</v>
      </c>
      <c r="E124" s="56" t="s">
        <v>5185</v>
      </c>
      <c r="F124" s="57" t="s">
        <v>5305</v>
      </c>
      <c r="G124" s="57" t="s">
        <v>5434</v>
      </c>
      <c r="H124" s="55">
        <v>1</v>
      </c>
      <c r="I124" s="56">
        <f t="shared" si="10"/>
        <v>6</v>
      </c>
      <c r="J124" s="58">
        <f t="shared" si="11"/>
        <v>6</v>
      </c>
      <c r="K124" s="58">
        <f t="shared" si="8"/>
        <v>0</v>
      </c>
      <c r="L124" s="58">
        <f t="shared" si="9"/>
        <v>0</v>
      </c>
      <c r="M124" s="55"/>
    </row>
    <row r="125" spans="2:13" s="50" customFormat="1">
      <c r="B125" s="55">
        <v>20</v>
      </c>
      <c r="C125" s="56" t="s">
        <v>34</v>
      </c>
      <c r="D125" s="57" t="s">
        <v>4959</v>
      </c>
      <c r="E125" s="56" t="s">
        <v>5186</v>
      </c>
      <c r="F125" s="57" t="s">
        <v>5369</v>
      </c>
      <c r="G125" s="57" t="s">
        <v>5494</v>
      </c>
      <c r="H125" s="55">
        <v>1434</v>
      </c>
      <c r="I125" s="56">
        <f t="shared" si="10"/>
        <v>9360</v>
      </c>
      <c r="J125" s="58">
        <f t="shared" si="11"/>
        <v>9321</v>
      </c>
      <c r="K125" s="58">
        <f t="shared" si="8"/>
        <v>6</v>
      </c>
      <c r="L125" s="58">
        <f t="shared" si="9"/>
        <v>39</v>
      </c>
      <c r="M125" s="55"/>
    </row>
    <row r="126" spans="2:13" s="50" customFormat="1">
      <c r="B126" s="55">
        <v>20</v>
      </c>
      <c r="C126" s="56" t="s">
        <v>34</v>
      </c>
      <c r="D126" s="57" t="s">
        <v>4960</v>
      </c>
      <c r="E126" s="56" t="s">
        <v>5187</v>
      </c>
      <c r="F126" s="57" t="s">
        <v>5370</v>
      </c>
      <c r="G126" s="57" t="s">
        <v>5461</v>
      </c>
      <c r="H126" s="55">
        <v>9</v>
      </c>
      <c r="I126" s="56">
        <f t="shared" si="10"/>
        <v>153</v>
      </c>
      <c r="J126" s="58">
        <f t="shared" si="11"/>
        <v>153</v>
      </c>
      <c r="K126" s="58">
        <f t="shared" si="8"/>
        <v>0</v>
      </c>
      <c r="L126" s="58">
        <f t="shared" si="9"/>
        <v>0</v>
      </c>
      <c r="M126" s="55"/>
    </row>
    <row r="127" spans="2:13" s="50" customFormat="1">
      <c r="B127" s="55">
        <v>20</v>
      </c>
      <c r="C127" s="56" t="s">
        <v>34</v>
      </c>
      <c r="D127" s="57" t="s">
        <v>4961</v>
      </c>
      <c r="E127" s="56" t="s">
        <v>5188</v>
      </c>
      <c r="F127" s="57" t="s">
        <v>5371</v>
      </c>
      <c r="G127" s="57" t="s">
        <v>5454</v>
      </c>
      <c r="H127" s="55">
        <v>14</v>
      </c>
      <c r="I127" s="56">
        <f t="shared" si="10"/>
        <v>2100</v>
      </c>
      <c r="J127" s="58">
        <f t="shared" si="11"/>
        <v>2100</v>
      </c>
      <c r="K127" s="58">
        <f t="shared" si="8"/>
        <v>0</v>
      </c>
      <c r="L127" s="58">
        <f t="shared" si="9"/>
        <v>0</v>
      </c>
      <c r="M127" s="55"/>
    </row>
    <row r="128" spans="2:13" s="50" customFormat="1">
      <c r="B128" s="55">
        <v>20</v>
      </c>
      <c r="C128" s="56" t="s">
        <v>34</v>
      </c>
      <c r="D128" s="57" t="s">
        <v>4962</v>
      </c>
      <c r="E128" s="56" t="s">
        <v>5189</v>
      </c>
      <c r="F128" s="57" t="s">
        <v>5296</v>
      </c>
      <c r="G128" s="57" t="s">
        <v>5495</v>
      </c>
      <c r="H128" s="55">
        <v>150</v>
      </c>
      <c r="I128" s="56">
        <f t="shared" si="10"/>
        <v>2700</v>
      </c>
      <c r="J128" s="58">
        <f t="shared" si="11"/>
        <v>2700</v>
      </c>
      <c r="K128" s="58">
        <f t="shared" si="8"/>
        <v>0</v>
      </c>
      <c r="L128" s="58">
        <f t="shared" si="9"/>
        <v>0</v>
      </c>
      <c r="M128" s="55"/>
    </row>
    <row r="129" spans="2:13" s="50" customFormat="1">
      <c r="B129" s="55">
        <v>20</v>
      </c>
      <c r="C129" s="56" t="s">
        <v>34</v>
      </c>
      <c r="D129" s="57" t="s">
        <v>4963</v>
      </c>
      <c r="E129" s="56" t="s">
        <v>5190</v>
      </c>
      <c r="F129" s="57" t="s">
        <v>5372</v>
      </c>
      <c r="G129" s="57" t="s">
        <v>5434</v>
      </c>
      <c r="H129" s="55">
        <v>1</v>
      </c>
      <c r="I129" s="56">
        <f t="shared" si="10"/>
        <v>100</v>
      </c>
      <c r="J129" s="58">
        <f t="shared" si="11"/>
        <v>100</v>
      </c>
      <c r="K129" s="58">
        <f t="shared" si="8"/>
        <v>0</v>
      </c>
      <c r="L129" s="58">
        <f t="shared" si="9"/>
        <v>0</v>
      </c>
      <c r="M129" s="55"/>
    </row>
    <row r="130" spans="2:13" s="50" customFormat="1">
      <c r="B130" s="55">
        <v>20</v>
      </c>
      <c r="C130" s="56" t="s">
        <v>34</v>
      </c>
      <c r="D130" s="57" t="s">
        <v>4964</v>
      </c>
      <c r="E130" s="56" t="s">
        <v>5191</v>
      </c>
      <c r="F130" s="57" t="s">
        <v>5373</v>
      </c>
      <c r="G130" s="57" t="s">
        <v>5429</v>
      </c>
      <c r="H130" s="55">
        <v>3</v>
      </c>
      <c r="I130" s="56">
        <f t="shared" si="10"/>
        <v>600</v>
      </c>
      <c r="J130" s="58">
        <f t="shared" si="11"/>
        <v>600</v>
      </c>
      <c r="K130" s="58">
        <f t="shared" si="8"/>
        <v>0</v>
      </c>
      <c r="L130" s="58">
        <f t="shared" si="9"/>
        <v>0</v>
      </c>
      <c r="M130" s="55"/>
    </row>
    <row r="131" spans="2:13" s="50" customFormat="1">
      <c r="B131" s="55">
        <v>20</v>
      </c>
      <c r="C131" s="56" t="s">
        <v>34</v>
      </c>
      <c r="D131" s="57" t="s">
        <v>4965</v>
      </c>
      <c r="E131" s="56" t="s">
        <v>5192</v>
      </c>
      <c r="F131" s="57" t="s">
        <v>5327</v>
      </c>
      <c r="G131" s="57" t="s">
        <v>5496</v>
      </c>
      <c r="H131" s="55">
        <v>33</v>
      </c>
      <c r="I131" s="56">
        <f t="shared" si="10"/>
        <v>693</v>
      </c>
      <c r="J131" s="58">
        <f t="shared" si="11"/>
        <v>693</v>
      </c>
      <c r="K131" s="58">
        <f t="shared" si="8"/>
        <v>0</v>
      </c>
      <c r="L131" s="58">
        <f t="shared" si="9"/>
        <v>0</v>
      </c>
      <c r="M131" s="55"/>
    </row>
    <row r="132" spans="2:13" s="64" customFormat="1">
      <c r="B132" s="55">
        <v>20</v>
      </c>
      <c r="C132" s="56" t="s">
        <v>34</v>
      </c>
      <c r="D132" s="57" t="s">
        <v>4966</v>
      </c>
      <c r="E132" s="56" t="s">
        <v>5193</v>
      </c>
      <c r="F132" s="57" t="s">
        <v>5351</v>
      </c>
      <c r="G132" s="57" t="s">
        <v>5467</v>
      </c>
      <c r="H132" s="62">
        <v>22</v>
      </c>
      <c r="I132" s="56">
        <f t="shared" si="10"/>
        <v>308</v>
      </c>
      <c r="J132" s="58">
        <f t="shared" si="11"/>
        <v>308</v>
      </c>
      <c r="K132" s="58">
        <f t="shared" si="8"/>
        <v>0</v>
      </c>
      <c r="L132" s="58">
        <f t="shared" si="9"/>
        <v>0</v>
      </c>
      <c r="M132" s="62"/>
    </row>
    <row r="133" spans="2:13" s="50" customFormat="1">
      <c r="B133" s="55">
        <v>20</v>
      </c>
      <c r="C133" s="56" t="s">
        <v>34</v>
      </c>
      <c r="D133" s="57" t="s">
        <v>4967</v>
      </c>
      <c r="E133" s="56" t="s">
        <v>5194</v>
      </c>
      <c r="F133" s="57" t="s">
        <v>5374</v>
      </c>
      <c r="G133" s="57" t="s">
        <v>5493</v>
      </c>
      <c r="H133" s="55">
        <v>30</v>
      </c>
      <c r="I133" s="56">
        <f t="shared" si="10"/>
        <v>3450</v>
      </c>
      <c r="J133" s="58">
        <f t="shared" si="11"/>
        <v>3450</v>
      </c>
      <c r="K133" s="58">
        <f t="shared" si="8"/>
        <v>0</v>
      </c>
      <c r="L133" s="58">
        <f t="shared" si="9"/>
        <v>0</v>
      </c>
      <c r="M133" s="55"/>
    </row>
    <row r="134" spans="2:13" s="50" customFormat="1">
      <c r="B134" s="55">
        <v>20</v>
      </c>
      <c r="C134" s="56" t="s">
        <v>34</v>
      </c>
      <c r="D134" s="57" t="s">
        <v>4968</v>
      </c>
      <c r="E134" s="56" t="s">
        <v>5195</v>
      </c>
      <c r="F134" s="57" t="s">
        <v>5375</v>
      </c>
      <c r="G134" s="57" t="s">
        <v>5465</v>
      </c>
      <c r="H134" s="55">
        <v>10</v>
      </c>
      <c r="I134" s="56">
        <f t="shared" si="10"/>
        <v>1783.3000000000002</v>
      </c>
      <c r="J134" s="58">
        <f t="shared" si="11"/>
        <v>1783.3000000000002</v>
      </c>
      <c r="K134" s="58">
        <f t="shared" si="8"/>
        <v>0</v>
      </c>
      <c r="L134" s="58">
        <f t="shared" si="9"/>
        <v>0</v>
      </c>
      <c r="M134" s="55"/>
    </row>
    <row r="135" spans="2:13" s="50" customFormat="1">
      <c r="B135" s="55">
        <v>20</v>
      </c>
      <c r="C135" s="56" t="s">
        <v>34</v>
      </c>
      <c r="D135" s="57" t="s">
        <v>4969</v>
      </c>
      <c r="E135" s="56" t="s">
        <v>5196</v>
      </c>
      <c r="F135" s="57" t="s">
        <v>5376</v>
      </c>
      <c r="G135" s="57" t="s">
        <v>5497</v>
      </c>
      <c r="H135" s="55">
        <v>37</v>
      </c>
      <c r="I135" s="56">
        <f t="shared" si="10"/>
        <v>999</v>
      </c>
      <c r="J135" s="58">
        <f t="shared" si="11"/>
        <v>999</v>
      </c>
      <c r="K135" s="58">
        <f t="shared" si="8"/>
        <v>0</v>
      </c>
      <c r="L135" s="58">
        <f t="shared" si="9"/>
        <v>0</v>
      </c>
      <c r="M135" s="55"/>
    </row>
    <row r="136" spans="2:13" s="50" customFormat="1">
      <c r="B136" s="55">
        <v>20</v>
      </c>
      <c r="C136" s="56" t="s">
        <v>34</v>
      </c>
      <c r="D136" s="57" t="s">
        <v>4970</v>
      </c>
      <c r="E136" s="56" t="s">
        <v>5197</v>
      </c>
      <c r="F136" s="57" t="s">
        <v>5377</v>
      </c>
      <c r="G136" s="57" t="s">
        <v>5498</v>
      </c>
      <c r="H136" s="55">
        <v>31</v>
      </c>
      <c r="I136" s="56">
        <f t="shared" si="10"/>
        <v>697.5</v>
      </c>
      <c r="J136" s="58">
        <f t="shared" si="11"/>
        <v>697.5</v>
      </c>
      <c r="K136" s="58">
        <f t="shared" ref="K136:K198" si="12">G136-H136</f>
        <v>0</v>
      </c>
      <c r="L136" s="58">
        <f t="shared" ref="L136:L198" si="13">I136-J136</f>
        <v>0</v>
      </c>
      <c r="M136" s="55"/>
    </row>
    <row r="137" spans="2:13" s="50" customFormat="1">
      <c r="B137" s="55">
        <v>20</v>
      </c>
      <c r="C137" s="56" t="s">
        <v>34</v>
      </c>
      <c r="D137" s="57" t="s">
        <v>4971</v>
      </c>
      <c r="E137" s="56" t="s">
        <v>5198</v>
      </c>
      <c r="F137" s="57" t="s">
        <v>5338</v>
      </c>
      <c r="G137" s="57" t="s">
        <v>5428</v>
      </c>
      <c r="H137" s="55">
        <v>5</v>
      </c>
      <c r="I137" s="56">
        <f t="shared" ref="I137:I199" si="14">F137*G137</f>
        <v>75</v>
      </c>
      <c r="J137" s="58">
        <f t="shared" ref="J137:J199" si="15">F137*H137</f>
        <v>75</v>
      </c>
      <c r="K137" s="58">
        <f t="shared" si="12"/>
        <v>0</v>
      </c>
      <c r="L137" s="58">
        <f t="shared" si="13"/>
        <v>0</v>
      </c>
      <c r="M137" s="55"/>
    </row>
    <row r="138" spans="2:13" s="50" customFormat="1">
      <c r="B138" s="55">
        <v>20</v>
      </c>
      <c r="C138" s="56" t="s">
        <v>34</v>
      </c>
      <c r="D138" s="57" t="s">
        <v>4972</v>
      </c>
      <c r="E138" s="56" t="s">
        <v>5199</v>
      </c>
      <c r="F138" s="57" t="s">
        <v>5378</v>
      </c>
      <c r="G138" s="57" t="s">
        <v>5461</v>
      </c>
      <c r="H138" s="55">
        <v>9</v>
      </c>
      <c r="I138" s="56">
        <f t="shared" si="14"/>
        <v>8100</v>
      </c>
      <c r="J138" s="58">
        <f t="shared" si="15"/>
        <v>8100</v>
      </c>
      <c r="K138" s="58">
        <f t="shared" si="12"/>
        <v>0</v>
      </c>
      <c r="L138" s="58">
        <f t="shared" si="13"/>
        <v>0</v>
      </c>
      <c r="M138" s="55"/>
    </row>
    <row r="139" spans="2:13" s="50" customFormat="1">
      <c r="B139" s="55">
        <v>20</v>
      </c>
      <c r="C139" s="56" t="s">
        <v>34</v>
      </c>
      <c r="D139" s="57" t="s">
        <v>4973</v>
      </c>
      <c r="E139" s="56" t="s">
        <v>5200</v>
      </c>
      <c r="F139" s="57" t="s">
        <v>5379</v>
      </c>
      <c r="G139" s="57" t="s">
        <v>2544</v>
      </c>
      <c r="H139" s="55">
        <v>2</v>
      </c>
      <c r="I139" s="56">
        <f t="shared" si="14"/>
        <v>190</v>
      </c>
      <c r="J139" s="58">
        <f t="shared" si="15"/>
        <v>190</v>
      </c>
      <c r="K139" s="58">
        <f t="shared" si="12"/>
        <v>0</v>
      </c>
      <c r="L139" s="58">
        <f t="shared" si="13"/>
        <v>0</v>
      </c>
      <c r="M139" s="55"/>
    </row>
    <row r="140" spans="2:13" s="50" customFormat="1">
      <c r="B140" s="55">
        <v>20</v>
      </c>
      <c r="C140" s="56" t="s">
        <v>34</v>
      </c>
      <c r="D140" s="57" t="s">
        <v>4974</v>
      </c>
      <c r="E140" s="56" t="s">
        <v>5201</v>
      </c>
      <c r="F140" s="57" t="s">
        <v>5380</v>
      </c>
      <c r="G140" s="57" t="s">
        <v>5457</v>
      </c>
      <c r="H140" s="55">
        <v>12</v>
      </c>
      <c r="I140" s="56">
        <f t="shared" si="14"/>
        <v>1760.04</v>
      </c>
      <c r="J140" s="58">
        <f t="shared" si="15"/>
        <v>1760.04</v>
      </c>
      <c r="K140" s="58">
        <f t="shared" si="12"/>
        <v>0</v>
      </c>
      <c r="L140" s="58">
        <f t="shared" si="13"/>
        <v>0</v>
      </c>
      <c r="M140" s="343" t="s">
        <v>5540</v>
      </c>
    </row>
    <row r="141" spans="2:13" s="50" customFormat="1">
      <c r="B141" s="55">
        <v>20</v>
      </c>
      <c r="C141" s="56" t="s">
        <v>34</v>
      </c>
      <c r="D141" s="57" t="s">
        <v>4975</v>
      </c>
      <c r="E141" s="56" t="s">
        <v>5202</v>
      </c>
      <c r="F141" s="57" t="s">
        <v>5319</v>
      </c>
      <c r="G141" s="57" t="s">
        <v>5499</v>
      </c>
      <c r="H141" s="55">
        <v>17</v>
      </c>
      <c r="I141" s="56">
        <f t="shared" si="14"/>
        <v>153</v>
      </c>
      <c r="J141" s="58">
        <f t="shared" si="15"/>
        <v>153</v>
      </c>
      <c r="K141" s="58">
        <f t="shared" si="12"/>
        <v>0</v>
      </c>
      <c r="L141" s="58">
        <f t="shared" si="13"/>
        <v>0</v>
      </c>
      <c r="M141" s="55"/>
    </row>
    <row r="142" spans="2:13" s="50" customFormat="1">
      <c r="B142" s="55">
        <v>20</v>
      </c>
      <c r="C142" s="56" t="s">
        <v>34</v>
      </c>
      <c r="D142" s="57" t="s">
        <v>4976</v>
      </c>
      <c r="E142" s="56" t="s">
        <v>5203</v>
      </c>
      <c r="F142" s="57" t="s">
        <v>5319</v>
      </c>
      <c r="G142" s="57" t="s">
        <v>5499</v>
      </c>
      <c r="H142" s="55">
        <v>17</v>
      </c>
      <c r="I142" s="56">
        <f t="shared" si="14"/>
        <v>153</v>
      </c>
      <c r="J142" s="58">
        <f t="shared" si="15"/>
        <v>153</v>
      </c>
      <c r="K142" s="58">
        <f t="shared" si="12"/>
        <v>0</v>
      </c>
      <c r="L142" s="58">
        <f t="shared" si="13"/>
        <v>0</v>
      </c>
      <c r="M142" s="55"/>
    </row>
    <row r="143" spans="2:13" s="50" customFormat="1">
      <c r="B143" s="55">
        <v>20</v>
      </c>
      <c r="C143" s="56" t="s">
        <v>34</v>
      </c>
      <c r="D143" s="57" t="s">
        <v>4977</v>
      </c>
      <c r="E143" s="56" t="s">
        <v>5204</v>
      </c>
      <c r="F143" s="57" t="s">
        <v>5381</v>
      </c>
      <c r="G143" s="57" t="s">
        <v>5500</v>
      </c>
      <c r="H143" s="55">
        <v>25</v>
      </c>
      <c r="I143" s="56">
        <f t="shared" si="14"/>
        <v>625</v>
      </c>
      <c r="J143" s="58">
        <f t="shared" si="15"/>
        <v>625</v>
      </c>
      <c r="K143" s="58">
        <f t="shared" si="12"/>
        <v>0</v>
      </c>
      <c r="L143" s="58">
        <f t="shared" si="13"/>
        <v>0</v>
      </c>
      <c r="M143" s="55"/>
    </row>
    <row r="144" spans="2:13" s="50" customFormat="1">
      <c r="B144" s="55">
        <v>20</v>
      </c>
      <c r="C144" s="56" t="s">
        <v>34</v>
      </c>
      <c r="D144" s="57" t="s">
        <v>4978</v>
      </c>
      <c r="E144" s="56" t="s">
        <v>5205</v>
      </c>
      <c r="F144" s="57" t="s">
        <v>5327</v>
      </c>
      <c r="G144" s="57" t="s">
        <v>5501</v>
      </c>
      <c r="H144" s="55">
        <v>171</v>
      </c>
      <c r="I144" s="56">
        <f t="shared" si="14"/>
        <v>3591</v>
      </c>
      <c r="J144" s="58">
        <f t="shared" si="15"/>
        <v>3591</v>
      </c>
      <c r="K144" s="58">
        <f t="shared" si="12"/>
        <v>0</v>
      </c>
      <c r="L144" s="58">
        <f t="shared" si="13"/>
        <v>0</v>
      </c>
      <c r="M144" s="55"/>
    </row>
    <row r="145" spans="2:13" s="50" customFormat="1">
      <c r="B145" s="55">
        <v>20</v>
      </c>
      <c r="C145" s="56" t="s">
        <v>34</v>
      </c>
      <c r="D145" s="57" t="s">
        <v>4979</v>
      </c>
      <c r="E145" s="56" t="s">
        <v>5206</v>
      </c>
      <c r="F145" s="57" t="s">
        <v>5382</v>
      </c>
      <c r="G145" s="57" t="s">
        <v>5434</v>
      </c>
      <c r="H145" s="55">
        <v>1</v>
      </c>
      <c r="I145" s="56">
        <f t="shared" si="14"/>
        <v>17.5</v>
      </c>
      <c r="J145" s="58">
        <f t="shared" si="15"/>
        <v>17.5</v>
      </c>
      <c r="K145" s="58">
        <f t="shared" si="12"/>
        <v>0</v>
      </c>
      <c r="L145" s="58">
        <f t="shared" si="13"/>
        <v>0</v>
      </c>
      <c r="M145" s="55"/>
    </row>
    <row r="146" spans="2:13" s="50" customFormat="1">
      <c r="B146" s="55">
        <v>20</v>
      </c>
      <c r="C146" s="56" t="s">
        <v>34</v>
      </c>
      <c r="D146" s="57" t="s">
        <v>4980</v>
      </c>
      <c r="E146" s="56" t="s">
        <v>5207</v>
      </c>
      <c r="F146" s="57" t="s">
        <v>5383</v>
      </c>
      <c r="G146" s="57" t="s">
        <v>2544</v>
      </c>
      <c r="H146" s="55">
        <v>2</v>
      </c>
      <c r="I146" s="56">
        <f t="shared" si="14"/>
        <v>243.9</v>
      </c>
      <c r="J146" s="58">
        <f t="shared" si="15"/>
        <v>243.9</v>
      </c>
      <c r="K146" s="58">
        <f t="shared" si="12"/>
        <v>0</v>
      </c>
      <c r="L146" s="58">
        <f t="shared" si="13"/>
        <v>0</v>
      </c>
      <c r="M146" s="55"/>
    </row>
    <row r="147" spans="2:13" s="50" customFormat="1">
      <c r="B147" s="55">
        <v>20</v>
      </c>
      <c r="C147" s="56" t="s">
        <v>34</v>
      </c>
      <c r="D147" s="57" t="s">
        <v>4981</v>
      </c>
      <c r="E147" s="56" t="s">
        <v>5208</v>
      </c>
      <c r="F147" s="57" t="s">
        <v>5337</v>
      </c>
      <c r="G147" s="57" t="s">
        <v>5502</v>
      </c>
      <c r="H147" s="55">
        <v>2500</v>
      </c>
      <c r="I147" s="56">
        <f t="shared" si="14"/>
        <v>57500</v>
      </c>
      <c r="J147" s="58">
        <f t="shared" si="15"/>
        <v>57500</v>
      </c>
      <c r="K147" s="58">
        <f t="shared" si="12"/>
        <v>0</v>
      </c>
      <c r="L147" s="58">
        <f t="shared" si="13"/>
        <v>0</v>
      </c>
      <c r="M147" s="55"/>
    </row>
    <row r="148" spans="2:13" s="50" customFormat="1">
      <c r="B148" s="55">
        <v>20</v>
      </c>
      <c r="C148" s="56" t="s">
        <v>34</v>
      </c>
      <c r="D148" s="57" t="s">
        <v>4982</v>
      </c>
      <c r="E148" s="56" t="s">
        <v>5209</v>
      </c>
      <c r="F148" s="57" t="s">
        <v>5384</v>
      </c>
      <c r="G148" s="57" t="s">
        <v>5499</v>
      </c>
      <c r="H148" s="55">
        <v>17</v>
      </c>
      <c r="I148" s="56">
        <f t="shared" si="14"/>
        <v>1530</v>
      </c>
      <c r="J148" s="58">
        <f t="shared" si="15"/>
        <v>1530</v>
      </c>
      <c r="K148" s="58">
        <f t="shared" si="12"/>
        <v>0</v>
      </c>
      <c r="L148" s="58">
        <f t="shared" si="13"/>
        <v>0</v>
      </c>
      <c r="M148" s="55"/>
    </row>
    <row r="149" spans="2:13" s="50" customFormat="1">
      <c r="B149" s="55">
        <v>20</v>
      </c>
      <c r="C149" s="56" t="s">
        <v>34</v>
      </c>
      <c r="D149" s="57" t="s">
        <v>4983</v>
      </c>
      <c r="E149" s="56" t="s">
        <v>5210</v>
      </c>
      <c r="F149" s="57" t="s">
        <v>5338</v>
      </c>
      <c r="G149" s="57" t="s">
        <v>5503</v>
      </c>
      <c r="H149" s="55">
        <v>98</v>
      </c>
      <c r="I149" s="56">
        <f t="shared" si="14"/>
        <v>1260</v>
      </c>
      <c r="J149" s="58">
        <f t="shared" si="15"/>
        <v>1470</v>
      </c>
      <c r="K149" s="58">
        <f t="shared" si="12"/>
        <v>-14</v>
      </c>
      <c r="L149" s="58">
        <f t="shared" si="13"/>
        <v>-210</v>
      </c>
      <c r="M149" s="55"/>
    </row>
    <row r="150" spans="2:13" s="50" customFormat="1">
      <c r="B150" s="55">
        <v>20</v>
      </c>
      <c r="C150" s="56" t="s">
        <v>34</v>
      </c>
      <c r="D150" s="57" t="s">
        <v>4984</v>
      </c>
      <c r="E150" s="56" t="s">
        <v>5211</v>
      </c>
      <c r="F150" s="57" t="s">
        <v>5338</v>
      </c>
      <c r="G150" s="57" t="s">
        <v>5438</v>
      </c>
      <c r="H150" s="55">
        <v>48</v>
      </c>
      <c r="I150" s="56">
        <f t="shared" si="14"/>
        <v>720</v>
      </c>
      <c r="J150" s="58">
        <f t="shared" si="15"/>
        <v>720</v>
      </c>
      <c r="K150" s="58">
        <f t="shared" si="12"/>
        <v>0</v>
      </c>
      <c r="L150" s="58">
        <f t="shared" si="13"/>
        <v>0</v>
      </c>
      <c r="M150" s="55"/>
    </row>
    <row r="151" spans="2:13" s="50" customFormat="1">
      <c r="B151" s="55">
        <v>20</v>
      </c>
      <c r="C151" s="56" t="s">
        <v>34</v>
      </c>
      <c r="D151" s="57" t="s">
        <v>4985</v>
      </c>
      <c r="E151" s="56" t="s">
        <v>5212</v>
      </c>
      <c r="F151" s="57" t="s">
        <v>5337</v>
      </c>
      <c r="G151" s="57" t="s">
        <v>5504</v>
      </c>
      <c r="H151" s="55">
        <v>229</v>
      </c>
      <c r="I151" s="56">
        <f t="shared" si="14"/>
        <v>5267</v>
      </c>
      <c r="J151" s="58">
        <f t="shared" si="15"/>
        <v>5267</v>
      </c>
      <c r="K151" s="58">
        <f t="shared" si="12"/>
        <v>0</v>
      </c>
      <c r="L151" s="58">
        <f t="shared" si="13"/>
        <v>0</v>
      </c>
      <c r="M151" s="55"/>
    </row>
    <row r="152" spans="2:13" s="50" customFormat="1">
      <c r="B152" s="55">
        <v>20</v>
      </c>
      <c r="C152" s="56" t="s">
        <v>34</v>
      </c>
      <c r="D152" s="57" t="s">
        <v>4986</v>
      </c>
      <c r="E152" s="56" t="s">
        <v>5213</v>
      </c>
      <c r="F152" s="57" t="s">
        <v>5337</v>
      </c>
      <c r="G152" s="57" t="s">
        <v>5505</v>
      </c>
      <c r="H152" s="55">
        <v>120</v>
      </c>
      <c r="I152" s="56">
        <f t="shared" si="14"/>
        <v>2760</v>
      </c>
      <c r="J152" s="58">
        <f t="shared" si="15"/>
        <v>2760</v>
      </c>
      <c r="K152" s="58">
        <f t="shared" si="12"/>
        <v>0</v>
      </c>
      <c r="L152" s="58">
        <f t="shared" si="13"/>
        <v>0</v>
      </c>
      <c r="M152" s="55"/>
    </row>
    <row r="153" spans="2:13" s="50" customFormat="1">
      <c r="B153" s="55">
        <v>20</v>
      </c>
      <c r="C153" s="56" t="s">
        <v>34</v>
      </c>
      <c r="D153" s="57" t="s">
        <v>4987</v>
      </c>
      <c r="E153" s="56" t="s">
        <v>5214</v>
      </c>
      <c r="F153" s="57" t="s">
        <v>5385</v>
      </c>
      <c r="G153" s="57" t="s">
        <v>5429</v>
      </c>
      <c r="H153" s="55">
        <v>3</v>
      </c>
      <c r="I153" s="56">
        <f t="shared" si="14"/>
        <v>64.5</v>
      </c>
      <c r="J153" s="58">
        <f t="shared" si="15"/>
        <v>64.5</v>
      </c>
      <c r="K153" s="58">
        <f t="shared" si="12"/>
        <v>0</v>
      </c>
      <c r="L153" s="58">
        <f t="shared" si="13"/>
        <v>0</v>
      </c>
      <c r="M153" s="55"/>
    </row>
    <row r="154" spans="2:13" s="50" customFormat="1">
      <c r="B154" s="55">
        <v>20</v>
      </c>
      <c r="C154" s="56" t="s">
        <v>34</v>
      </c>
      <c r="D154" s="57" t="s">
        <v>4988</v>
      </c>
      <c r="E154" s="56" t="s">
        <v>5215</v>
      </c>
      <c r="F154" s="57" t="s">
        <v>5308</v>
      </c>
      <c r="G154" s="57" t="s">
        <v>5506</v>
      </c>
      <c r="H154" s="55">
        <v>76</v>
      </c>
      <c r="I154" s="56">
        <f t="shared" si="14"/>
        <v>9280</v>
      </c>
      <c r="J154" s="58">
        <f t="shared" si="15"/>
        <v>11020</v>
      </c>
      <c r="K154" s="58">
        <f t="shared" si="12"/>
        <v>-12</v>
      </c>
      <c r="L154" s="58">
        <f t="shared" si="13"/>
        <v>-1740</v>
      </c>
      <c r="M154" s="55"/>
    </row>
    <row r="155" spans="2:13" s="50" customFormat="1">
      <c r="B155" s="55">
        <v>20</v>
      </c>
      <c r="C155" s="56" t="s">
        <v>34</v>
      </c>
      <c r="D155" s="57" t="s">
        <v>4989</v>
      </c>
      <c r="E155" s="56" t="s">
        <v>5216</v>
      </c>
      <c r="F155" s="57" t="s">
        <v>5386</v>
      </c>
      <c r="G155" s="57" t="s">
        <v>5454</v>
      </c>
      <c r="H155" s="55">
        <v>14</v>
      </c>
      <c r="I155" s="56">
        <f t="shared" si="14"/>
        <v>5460</v>
      </c>
      <c r="J155" s="58">
        <f t="shared" si="15"/>
        <v>5460</v>
      </c>
      <c r="K155" s="58">
        <f t="shared" si="12"/>
        <v>0</v>
      </c>
      <c r="L155" s="58">
        <f t="shared" si="13"/>
        <v>0</v>
      </c>
      <c r="M155" s="55"/>
    </row>
    <row r="156" spans="2:13" s="50" customFormat="1">
      <c r="B156" s="55">
        <v>20</v>
      </c>
      <c r="C156" s="56" t="s">
        <v>34</v>
      </c>
      <c r="D156" s="57" t="s">
        <v>4990</v>
      </c>
      <c r="E156" s="56" t="s">
        <v>5217</v>
      </c>
      <c r="F156" s="57" t="s">
        <v>5387</v>
      </c>
      <c r="G156" s="57" t="s">
        <v>5435</v>
      </c>
      <c r="H156" s="55">
        <v>7</v>
      </c>
      <c r="I156" s="56">
        <f t="shared" si="14"/>
        <v>1925</v>
      </c>
      <c r="J156" s="58">
        <f t="shared" si="15"/>
        <v>1925</v>
      </c>
      <c r="K156" s="58">
        <f t="shared" si="12"/>
        <v>0</v>
      </c>
      <c r="L156" s="58">
        <f t="shared" si="13"/>
        <v>0</v>
      </c>
      <c r="M156" s="55"/>
    </row>
    <row r="157" spans="2:13" s="50" customFormat="1">
      <c r="B157" s="55">
        <v>20</v>
      </c>
      <c r="C157" s="56" t="s">
        <v>34</v>
      </c>
      <c r="D157" s="57" t="s">
        <v>4991</v>
      </c>
      <c r="E157" s="56" t="s">
        <v>5218</v>
      </c>
      <c r="F157" s="57" t="s">
        <v>5340</v>
      </c>
      <c r="G157" s="57" t="s">
        <v>5435</v>
      </c>
      <c r="H157" s="55">
        <v>7</v>
      </c>
      <c r="I157" s="56">
        <f t="shared" si="14"/>
        <v>420</v>
      </c>
      <c r="J157" s="58">
        <f t="shared" si="15"/>
        <v>420</v>
      </c>
      <c r="K157" s="58">
        <f t="shared" si="12"/>
        <v>0</v>
      </c>
      <c r="L157" s="58">
        <f t="shared" si="13"/>
        <v>0</v>
      </c>
      <c r="M157" s="55"/>
    </row>
    <row r="158" spans="2:13" s="50" customFormat="1">
      <c r="B158" s="55">
        <v>20</v>
      </c>
      <c r="C158" s="56" t="s">
        <v>34</v>
      </c>
      <c r="D158" s="57" t="s">
        <v>4992</v>
      </c>
      <c r="E158" s="56" t="s">
        <v>5219</v>
      </c>
      <c r="F158" s="57" t="s">
        <v>5340</v>
      </c>
      <c r="G158" s="57" t="s">
        <v>5507</v>
      </c>
      <c r="H158" s="55">
        <v>11</v>
      </c>
      <c r="I158" s="56">
        <f t="shared" si="14"/>
        <v>660</v>
      </c>
      <c r="J158" s="58">
        <f t="shared" si="15"/>
        <v>660</v>
      </c>
      <c r="K158" s="58">
        <f t="shared" si="12"/>
        <v>0</v>
      </c>
      <c r="L158" s="58">
        <f t="shared" si="13"/>
        <v>0</v>
      </c>
      <c r="M158" s="55"/>
    </row>
    <row r="159" spans="2:13" s="50" customFormat="1">
      <c r="B159" s="55">
        <v>20</v>
      </c>
      <c r="C159" s="56" t="s">
        <v>34</v>
      </c>
      <c r="D159" s="57" t="s">
        <v>4993</v>
      </c>
      <c r="E159" s="56" t="s">
        <v>5220</v>
      </c>
      <c r="F159" s="57" t="s">
        <v>5369</v>
      </c>
      <c r="G159" s="57" t="s">
        <v>5508</v>
      </c>
      <c r="H159" s="62">
        <v>360</v>
      </c>
      <c r="I159" s="56">
        <f t="shared" si="14"/>
        <v>2340</v>
      </c>
      <c r="J159" s="58">
        <f t="shared" si="15"/>
        <v>2340</v>
      </c>
      <c r="K159" s="58">
        <f t="shared" si="12"/>
        <v>0</v>
      </c>
      <c r="L159" s="58">
        <f t="shared" si="13"/>
        <v>0</v>
      </c>
      <c r="M159" s="55"/>
    </row>
    <row r="160" spans="2:13" s="50" customFormat="1">
      <c r="B160" s="55">
        <v>20</v>
      </c>
      <c r="C160" s="56" t="s">
        <v>34</v>
      </c>
      <c r="D160" s="57" t="s">
        <v>4994</v>
      </c>
      <c r="E160" s="56" t="s">
        <v>5221</v>
      </c>
      <c r="F160" s="57" t="s">
        <v>5388</v>
      </c>
      <c r="G160" s="57" t="s">
        <v>5509</v>
      </c>
      <c r="H160" s="62">
        <v>35</v>
      </c>
      <c r="I160" s="56">
        <f t="shared" si="14"/>
        <v>455</v>
      </c>
      <c r="J160" s="58">
        <f t="shared" si="15"/>
        <v>455</v>
      </c>
      <c r="K160" s="58">
        <f t="shared" si="12"/>
        <v>0</v>
      </c>
      <c r="L160" s="58">
        <f t="shared" si="13"/>
        <v>0</v>
      </c>
      <c r="M160" s="55"/>
    </row>
    <row r="161" spans="2:13" s="50" customFormat="1">
      <c r="B161" s="55">
        <v>20</v>
      </c>
      <c r="C161" s="56" t="s">
        <v>34</v>
      </c>
      <c r="D161" s="57" t="s">
        <v>4995</v>
      </c>
      <c r="E161" s="56" t="s">
        <v>5222</v>
      </c>
      <c r="F161" s="57" t="s">
        <v>5388</v>
      </c>
      <c r="G161" s="57" t="s">
        <v>5510</v>
      </c>
      <c r="H161" s="55">
        <v>60</v>
      </c>
      <c r="I161" s="56">
        <f t="shared" si="14"/>
        <v>780</v>
      </c>
      <c r="J161" s="58">
        <f t="shared" si="15"/>
        <v>780</v>
      </c>
      <c r="K161" s="58">
        <f t="shared" si="12"/>
        <v>0</v>
      </c>
      <c r="L161" s="58">
        <f t="shared" si="13"/>
        <v>0</v>
      </c>
      <c r="M161" s="55"/>
    </row>
    <row r="162" spans="2:13" s="50" customFormat="1">
      <c r="B162" s="55">
        <v>20</v>
      </c>
      <c r="C162" s="56" t="s">
        <v>34</v>
      </c>
      <c r="D162" s="57" t="s">
        <v>4996</v>
      </c>
      <c r="E162" s="56" t="s">
        <v>5223</v>
      </c>
      <c r="F162" s="57" t="s">
        <v>5388</v>
      </c>
      <c r="G162" s="57" t="s">
        <v>5430</v>
      </c>
      <c r="H162" s="55">
        <v>27</v>
      </c>
      <c r="I162" s="56">
        <f t="shared" si="14"/>
        <v>351</v>
      </c>
      <c r="J162" s="58">
        <f t="shared" si="15"/>
        <v>351</v>
      </c>
      <c r="K162" s="58">
        <f t="shared" si="12"/>
        <v>0</v>
      </c>
      <c r="L162" s="58">
        <f t="shared" si="13"/>
        <v>0</v>
      </c>
      <c r="M162" s="55"/>
    </row>
    <row r="163" spans="2:13" s="50" customFormat="1">
      <c r="B163" s="55">
        <v>20</v>
      </c>
      <c r="C163" s="56" t="s">
        <v>34</v>
      </c>
      <c r="D163" s="57" t="s">
        <v>4997</v>
      </c>
      <c r="E163" s="56" t="s">
        <v>5224</v>
      </c>
      <c r="F163" s="57" t="s">
        <v>5388</v>
      </c>
      <c r="G163" s="57" t="s">
        <v>5511</v>
      </c>
      <c r="H163" s="55">
        <v>75</v>
      </c>
      <c r="I163" s="56">
        <f t="shared" si="14"/>
        <v>975</v>
      </c>
      <c r="J163" s="58">
        <f t="shared" si="15"/>
        <v>975</v>
      </c>
      <c r="K163" s="58">
        <f t="shared" si="12"/>
        <v>0</v>
      </c>
      <c r="L163" s="58">
        <f t="shared" si="13"/>
        <v>0</v>
      </c>
      <c r="M163" s="55"/>
    </row>
    <row r="164" spans="2:13" s="50" customFormat="1">
      <c r="B164" s="55">
        <v>20</v>
      </c>
      <c r="C164" s="56" t="s">
        <v>34</v>
      </c>
      <c r="D164" s="57" t="s">
        <v>4998</v>
      </c>
      <c r="E164" s="56" t="s">
        <v>5225</v>
      </c>
      <c r="F164" s="57" t="s">
        <v>5389</v>
      </c>
      <c r="G164" s="57" t="s">
        <v>5507</v>
      </c>
      <c r="H164" s="55">
        <v>11</v>
      </c>
      <c r="I164" s="56">
        <f t="shared" si="14"/>
        <v>1624.6999999999998</v>
      </c>
      <c r="J164" s="58">
        <f t="shared" si="15"/>
        <v>1624.6999999999998</v>
      </c>
      <c r="K164" s="58">
        <f t="shared" si="12"/>
        <v>0</v>
      </c>
      <c r="L164" s="58">
        <f t="shared" si="13"/>
        <v>0</v>
      </c>
      <c r="M164" s="55"/>
    </row>
    <row r="165" spans="2:13" s="50" customFormat="1">
      <c r="B165" s="55">
        <v>20</v>
      </c>
      <c r="C165" s="56" t="s">
        <v>34</v>
      </c>
      <c r="D165" s="57" t="s">
        <v>4999</v>
      </c>
      <c r="E165" s="56" t="s">
        <v>5226</v>
      </c>
      <c r="F165" s="57" t="s">
        <v>5390</v>
      </c>
      <c r="G165" s="57" t="s">
        <v>5512</v>
      </c>
      <c r="H165" s="55">
        <v>112</v>
      </c>
      <c r="I165" s="56">
        <f t="shared" si="14"/>
        <v>16676.8</v>
      </c>
      <c r="J165" s="58">
        <f t="shared" si="15"/>
        <v>16676.8</v>
      </c>
      <c r="K165" s="58">
        <f t="shared" si="12"/>
        <v>0</v>
      </c>
      <c r="L165" s="58">
        <f t="shared" si="13"/>
        <v>0</v>
      </c>
      <c r="M165" s="55"/>
    </row>
    <row r="166" spans="2:13" s="50" customFormat="1">
      <c r="B166" s="55">
        <v>20</v>
      </c>
      <c r="C166" s="56" t="s">
        <v>34</v>
      </c>
      <c r="D166" s="57" t="s">
        <v>5000</v>
      </c>
      <c r="E166" s="56" t="s">
        <v>5227</v>
      </c>
      <c r="F166" s="57" t="s">
        <v>5391</v>
      </c>
      <c r="G166" s="57">
        <v>49</v>
      </c>
      <c r="H166" s="55">
        <v>60</v>
      </c>
      <c r="I166" s="56">
        <f t="shared" si="14"/>
        <v>6174</v>
      </c>
      <c r="J166" s="58">
        <f t="shared" si="15"/>
        <v>7560</v>
      </c>
      <c r="K166" s="58">
        <f t="shared" si="12"/>
        <v>-11</v>
      </c>
      <c r="L166" s="58">
        <f t="shared" si="13"/>
        <v>-1386</v>
      </c>
      <c r="M166" s="55"/>
    </row>
    <row r="167" spans="2:13" s="50" customFormat="1">
      <c r="B167" s="55">
        <v>20</v>
      </c>
      <c r="C167" s="56" t="s">
        <v>34</v>
      </c>
      <c r="D167" s="57" t="s">
        <v>5001</v>
      </c>
      <c r="E167" s="56" t="s">
        <v>5228</v>
      </c>
      <c r="F167" s="57" t="s">
        <v>5313</v>
      </c>
      <c r="G167" s="57" t="s">
        <v>5514</v>
      </c>
      <c r="H167" s="55">
        <v>19</v>
      </c>
      <c r="I167" s="56">
        <f t="shared" si="14"/>
        <v>337.25</v>
      </c>
      <c r="J167" s="58">
        <f t="shared" si="15"/>
        <v>337.25</v>
      </c>
      <c r="K167" s="58">
        <f t="shared" si="12"/>
        <v>0</v>
      </c>
      <c r="L167" s="58">
        <f t="shared" si="13"/>
        <v>0</v>
      </c>
      <c r="M167" s="55"/>
    </row>
    <row r="168" spans="2:13" s="50" customFormat="1">
      <c r="B168" s="55">
        <v>20</v>
      </c>
      <c r="C168" s="56" t="s">
        <v>34</v>
      </c>
      <c r="D168" s="57" t="s">
        <v>5002</v>
      </c>
      <c r="E168" s="56" t="s">
        <v>5229</v>
      </c>
      <c r="F168" s="57" t="s">
        <v>5392</v>
      </c>
      <c r="G168" s="57" t="s">
        <v>5515</v>
      </c>
      <c r="H168" s="55">
        <v>46</v>
      </c>
      <c r="I168" s="56">
        <f t="shared" si="14"/>
        <v>1608.75</v>
      </c>
      <c r="J168" s="58">
        <f t="shared" si="15"/>
        <v>1644.5</v>
      </c>
      <c r="K168" s="58">
        <f t="shared" si="12"/>
        <v>-1</v>
      </c>
      <c r="L168" s="58">
        <f t="shared" si="13"/>
        <v>-35.75</v>
      </c>
      <c r="M168" s="55"/>
    </row>
    <row r="169" spans="2:13" s="50" customFormat="1">
      <c r="B169" s="55">
        <v>20</v>
      </c>
      <c r="C169" s="56" t="s">
        <v>34</v>
      </c>
      <c r="D169" s="57" t="s">
        <v>5003</v>
      </c>
      <c r="E169" s="56" t="s">
        <v>5230</v>
      </c>
      <c r="F169" s="57" t="s">
        <v>5376</v>
      </c>
      <c r="G169" s="57" t="s">
        <v>5516</v>
      </c>
      <c r="H169" s="55">
        <v>94</v>
      </c>
      <c r="I169" s="56">
        <f t="shared" si="14"/>
        <v>2538</v>
      </c>
      <c r="J169" s="58">
        <f t="shared" si="15"/>
        <v>2538</v>
      </c>
      <c r="K169" s="58">
        <f t="shared" si="12"/>
        <v>0</v>
      </c>
      <c r="L169" s="58">
        <f t="shared" si="13"/>
        <v>0</v>
      </c>
      <c r="M169" s="55"/>
    </row>
    <row r="170" spans="2:13" s="50" customFormat="1">
      <c r="B170" s="55">
        <v>20</v>
      </c>
      <c r="C170" s="56" t="s">
        <v>34</v>
      </c>
      <c r="D170" s="57" t="s">
        <v>5004</v>
      </c>
      <c r="E170" s="56" t="s">
        <v>5231</v>
      </c>
      <c r="F170" s="57" t="s">
        <v>5376</v>
      </c>
      <c r="G170" s="57" t="s">
        <v>5517</v>
      </c>
      <c r="H170" s="55">
        <v>108</v>
      </c>
      <c r="I170" s="56">
        <f t="shared" si="14"/>
        <v>2916</v>
      </c>
      <c r="J170" s="58">
        <f t="shared" si="15"/>
        <v>2916</v>
      </c>
      <c r="K170" s="58">
        <f t="shared" si="12"/>
        <v>0</v>
      </c>
      <c r="L170" s="58">
        <f t="shared" si="13"/>
        <v>0</v>
      </c>
      <c r="M170" s="55"/>
    </row>
    <row r="171" spans="2:13" s="50" customFormat="1">
      <c r="B171" s="55">
        <v>20</v>
      </c>
      <c r="C171" s="56" t="s">
        <v>34</v>
      </c>
      <c r="D171" s="57" t="s">
        <v>5005</v>
      </c>
      <c r="E171" s="56" t="s">
        <v>5232</v>
      </c>
      <c r="F171" s="57" t="s">
        <v>5372</v>
      </c>
      <c r="G171" s="57" t="s">
        <v>5428</v>
      </c>
      <c r="H171" s="55">
        <v>5</v>
      </c>
      <c r="I171" s="56">
        <f t="shared" si="14"/>
        <v>500</v>
      </c>
      <c r="J171" s="58">
        <f t="shared" si="15"/>
        <v>500</v>
      </c>
      <c r="K171" s="58">
        <f t="shared" si="12"/>
        <v>0</v>
      </c>
      <c r="L171" s="58">
        <f t="shared" si="13"/>
        <v>0</v>
      </c>
      <c r="M171" s="55"/>
    </row>
    <row r="172" spans="2:13" s="50" customFormat="1">
      <c r="B172" s="55">
        <v>20</v>
      </c>
      <c r="C172" s="56" t="s">
        <v>34</v>
      </c>
      <c r="D172" s="57" t="s">
        <v>5006</v>
      </c>
      <c r="E172" s="56" t="s">
        <v>5233</v>
      </c>
      <c r="F172" s="57" t="s">
        <v>5393</v>
      </c>
      <c r="G172" s="57" t="s">
        <v>5472</v>
      </c>
      <c r="H172" s="55">
        <v>81</v>
      </c>
      <c r="I172" s="56">
        <f t="shared" si="14"/>
        <v>4420</v>
      </c>
      <c r="J172" s="58">
        <f t="shared" si="15"/>
        <v>4475.25</v>
      </c>
      <c r="K172" s="58">
        <f t="shared" si="12"/>
        <v>-1</v>
      </c>
      <c r="L172" s="58">
        <f t="shared" si="13"/>
        <v>-55.25</v>
      </c>
      <c r="M172" s="55"/>
    </row>
    <row r="173" spans="2:13" s="50" customFormat="1">
      <c r="B173" s="55">
        <v>20</v>
      </c>
      <c r="C173" s="56" t="s">
        <v>34</v>
      </c>
      <c r="D173" s="57" t="s">
        <v>5007</v>
      </c>
      <c r="E173" s="56" t="s">
        <v>5234</v>
      </c>
      <c r="F173" s="57" t="s">
        <v>5394</v>
      </c>
      <c r="G173" s="57" t="s">
        <v>5518</v>
      </c>
      <c r="H173" s="55">
        <v>78</v>
      </c>
      <c r="I173" s="56">
        <f t="shared" si="14"/>
        <v>3385.2</v>
      </c>
      <c r="J173" s="58">
        <f t="shared" si="15"/>
        <v>3385.2</v>
      </c>
      <c r="K173" s="58">
        <f t="shared" si="12"/>
        <v>0</v>
      </c>
      <c r="L173" s="58">
        <f t="shared" si="13"/>
        <v>0</v>
      </c>
      <c r="M173" s="55"/>
    </row>
    <row r="174" spans="2:13" s="50" customFormat="1">
      <c r="B174" s="55">
        <v>20</v>
      </c>
      <c r="C174" s="56" t="s">
        <v>34</v>
      </c>
      <c r="D174" s="57" t="s">
        <v>5008</v>
      </c>
      <c r="E174" s="56" t="s">
        <v>5235</v>
      </c>
      <c r="F174" s="57" t="s">
        <v>5394</v>
      </c>
      <c r="G174" s="57" t="s">
        <v>5519</v>
      </c>
      <c r="H174" s="55">
        <v>70</v>
      </c>
      <c r="I174" s="56">
        <f t="shared" si="14"/>
        <v>3038</v>
      </c>
      <c r="J174" s="58">
        <f t="shared" si="15"/>
        <v>3038</v>
      </c>
      <c r="K174" s="58">
        <f t="shared" si="12"/>
        <v>0</v>
      </c>
      <c r="L174" s="58">
        <f t="shared" si="13"/>
        <v>0</v>
      </c>
      <c r="M174" s="55"/>
    </row>
    <row r="175" spans="2:13" s="50" customFormat="1">
      <c r="B175" s="55">
        <v>20</v>
      </c>
      <c r="C175" s="56" t="s">
        <v>34</v>
      </c>
      <c r="D175" s="57" t="s">
        <v>5009</v>
      </c>
      <c r="E175" s="56" t="s">
        <v>5236</v>
      </c>
      <c r="F175" s="57" t="s">
        <v>5395</v>
      </c>
      <c r="G175" s="57" t="s">
        <v>5520</v>
      </c>
      <c r="H175" s="62">
        <v>46</v>
      </c>
      <c r="I175" s="56">
        <f t="shared" si="14"/>
        <v>230</v>
      </c>
      <c r="J175" s="58">
        <f t="shared" si="15"/>
        <v>230</v>
      </c>
      <c r="K175" s="58">
        <f t="shared" si="12"/>
        <v>0</v>
      </c>
      <c r="L175" s="58">
        <f t="shared" si="13"/>
        <v>0</v>
      </c>
      <c r="M175" s="55"/>
    </row>
    <row r="176" spans="2:13" s="50" customFormat="1">
      <c r="B176" s="55">
        <v>20</v>
      </c>
      <c r="C176" s="56" t="s">
        <v>34</v>
      </c>
      <c r="D176" s="57" t="s">
        <v>5010</v>
      </c>
      <c r="E176" s="56" t="s">
        <v>5237</v>
      </c>
      <c r="F176" s="57" t="s">
        <v>5305</v>
      </c>
      <c r="G176" s="57" t="s">
        <v>5521</v>
      </c>
      <c r="H176" s="55">
        <v>159</v>
      </c>
      <c r="I176" s="56">
        <f t="shared" si="14"/>
        <v>954</v>
      </c>
      <c r="J176" s="58">
        <f t="shared" si="15"/>
        <v>954</v>
      </c>
      <c r="K176" s="58">
        <f t="shared" si="12"/>
        <v>0</v>
      </c>
      <c r="L176" s="58">
        <f t="shared" si="13"/>
        <v>0</v>
      </c>
      <c r="M176" s="55"/>
    </row>
    <row r="177" spans="2:13" s="50" customFormat="1">
      <c r="B177" s="55">
        <v>20</v>
      </c>
      <c r="C177" s="56" t="s">
        <v>34</v>
      </c>
      <c r="D177" s="57" t="s">
        <v>5011</v>
      </c>
      <c r="E177" s="56" t="s">
        <v>5238</v>
      </c>
      <c r="F177" s="57" t="s">
        <v>5321</v>
      </c>
      <c r="G177" s="57" t="s">
        <v>5459</v>
      </c>
      <c r="H177" s="55">
        <v>20</v>
      </c>
      <c r="I177" s="56">
        <f t="shared" si="14"/>
        <v>240</v>
      </c>
      <c r="J177" s="58">
        <f t="shared" si="15"/>
        <v>240</v>
      </c>
      <c r="K177" s="58">
        <f t="shared" si="12"/>
        <v>0</v>
      </c>
      <c r="L177" s="58">
        <f t="shared" si="13"/>
        <v>0</v>
      </c>
      <c r="M177" s="55"/>
    </row>
    <row r="178" spans="2:13" s="50" customFormat="1">
      <c r="B178" s="55">
        <v>20</v>
      </c>
      <c r="C178" s="56" t="s">
        <v>34</v>
      </c>
      <c r="D178" s="57" t="s">
        <v>5012</v>
      </c>
      <c r="E178" s="56" t="s">
        <v>5239</v>
      </c>
      <c r="F178" s="57" t="s">
        <v>5388</v>
      </c>
      <c r="G178" s="57" t="s">
        <v>5522</v>
      </c>
      <c r="H178" s="55">
        <v>160</v>
      </c>
      <c r="I178" s="56">
        <f t="shared" si="14"/>
        <v>2080</v>
      </c>
      <c r="J178" s="58">
        <f t="shared" si="15"/>
        <v>2080</v>
      </c>
      <c r="K178" s="58">
        <f t="shared" si="12"/>
        <v>0</v>
      </c>
      <c r="L178" s="58">
        <f t="shared" si="13"/>
        <v>0</v>
      </c>
      <c r="M178" s="55"/>
    </row>
    <row r="179" spans="2:13" s="50" customFormat="1">
      <c r="B179" s="55">
        <v>20</v>
      </c>
      <c r="C179" s="56" t="s">
        <v>34</v>
      </c>
      <c r="D179" s="57" t="s">
        <v>5013</v>
      </c>
      <c r="E179" s="56" t="s">
        <v>5240</v>
      </c>
      <c r="F179" s="57" t="s">
        <v>5351</v>
      </c>
      <c r="G179" s="57" t="s">
        <v>5523</v>
      </c>
      <c r="H179" s="55">
        <v>180</v>
      </c>
      <c r="I179" s="56">
        <f t="shared" si="14"/>
        <v>2520</v>
      </c>
      <c r="J179" s="58">
        <f t="shared" si="15"/>
        <v>2520</v>
      </c>
      <c r="K179" s="58">
        <f t="shared" si="12"/>
        <v>0</v>
      </c>
      <c r="L179" s="58">
        <f t="shared" si="13"/>
        <v>0</v>
      </c>
      <c r="M179" s="55"/>
    </row>
    <row r="180" spans="2:13" s="50" customFormat="1">
      <c r="B180" s="55">
        <v>20</v>
      </c>
      <c r="C180" s="56" t="s">
        <v>34</v>
      </c>
      <c r="D180" s="57" t="s">
        <v>5014</v>
      </c>
      <c r="E180" s="56" t="s">
        <v>5241</v>
      </c>
      <c r="F180" s="57" t="s">
        <v>5396</v>
      </c>
      <c r="G180" s="57" t="s">
        <v>5524</v>
      </c>
      <c r="H180" s="55">
        <v>96</v>
      </c>
      <c r="I180" s="56">
        <f t="shared" si="14"/>
        <v>840</v>
      </c>
      <c r="J180" s="58">
        <f t="shared" si="15"/>
        <v>840</v>
      </c>
      <c r="K180" s="58">
        <f t="shared" si="12"/>
        <v>0</v>
      </c>
      <c r="L180" s="58">
        <f t="shared" si="13"/>
        <v>0</v>
      </c>
      <c r="M180" s="55"/>
    </row>
    <row r="181" spans="2:13" s="50" customFormat="1">
      <c r="B181" s="55">
        <v>20</v>
      </c>
      <c r="C181" s="56" t="s">
        <v>34</v>
      </c>
      <c r="D181" s="57" t="s">
        <v>5015</v>
      </c>
      <c r="E181" s="56" t="s">
        <v>5242</v>
      </c>
      <c r="F181" s="57" t="s">
        <v>5396</v>
      </c>
      <c r="G181" s="57" t="s">
        <v>5525</v>
      </c>
      <c r="H181" s="55">
        <v>89</v>
      </c>
      <c r="I181" s="56">
        <f t="shared" si="14"/>
        <v>778.75</v>
      </c>
      <c r="J181" s="58">
        <f t="shared" si="15"/>
        <v>778.75</v>
      </c>
      <c r="K181" s="58">
        <f t="shared" si="12"/>
        <v>0</v>
      </c>
      <c r="L181" s="58">
        <f t="shared" si="13"/>
        <v>0</v>
      </c>
      <c r="M181" s="55"/>
    </row>
    <row r="182" spans="2:13" s="50" customFormat="1">
      <c r="B182" s="55">
        <v>20</v>
      </c>
      <c r="C182" s="56" t="s">
        <v>34</v>
      </c>
      <c r="D182" s="57" t="s">
        <v>5016</v>
      </c>
      <c r="E182" s="56" t="s">
        <v>5243</v>
      </c>
      <c r="F182" s="57" t="s">
        <v>5319</v>
      </c>
      <c r="G182" s="57" t="s">
        <v>5454</v>
      </c>
      <c r="H182" s="55">
        <v>14</v>
      </c>
      <c r="I182" s="56">
        <f t="shared" si="14"/>
        <v>126</v>
      </c>
      <c r="J182" s="58">
        <f t="shared" si="15"/>
        <v>126</v>
      </c>
      <c r="K182" s="58">
        <f t="shared" si="12"/>
        <v>0</v>
      </c>
      <c r="L182" s="58">
        <f t="shared" si="13"/>
        <v>0</v>
      </c>
      <c r="M182" s="55"/>
    </row>
    <row r="183" spans="2:13" s="50" customFormat="1">
      <c r="B183" s="55">
        <v>20</v>
      </c>
      <c r="C183" s="56" t="s">
        <v>34</v>
      </c>
      <c r="D183" s="57" t="s">
        <v>5017</v>
      </c>
      <c r="E183" s="56" t="s">
        <v>5244</v>
      </c>
      <c r="F183" s="57" t="s">
        <v>5397</v>
      </c>
      <c r="G183" s="57" t="s">
        <v>5526</v>
      </c>
      <c r="H183" s="55">
        <v>57</v>
      </c>
      <c r="I183" s="56">
        <f t="shared" si="14"/>
        <v>712.5</v>
      </c>
      <c r="J183" s="58">
        <f t="shared" si="15"/>
        <v>712.5</v>
      </c>
      <c r="K183" s="58">
        <f t="shared" si="12"/>
        <v>0</v>
      </c>
      <c r="L183" s="58">
        <f t="shared" si="13"/>
        <v>0</v>
      </c>
      <c r="M183" s="55"/>
    </row>
    <row r="184" spans="2:13" s="50" customFormat="1">
      <c r="B184" s="55">
        <v>20</v>
      </c>
      <c r="C184" s="56" t="s">
        <v>34</v>
      </c>
      <c r="D184" s="57" t="s">
        <v>5018</v>
      </c>
      <c r="E184" s="56" t="s">
        <v>5245</v>
      </c>
      <c r="F184" s="57" t="s">
        <v>5398</v>
      </c>
      <c r="G184" s="57" t="s">
        <v>5427</v>
      </c>
      <c r="H184" s="55">
        <v>4</v>
      </c>
      <c r="I184" s="56">
        <f t="shared" si="14"/>
        <v>135</v>
      </c>
      <c r="J184" s="58">
        <f t="shared" si="15"/>
        <v>135</v>
      </c>
      <c r="K184" s="58">
        <f t="shared" si="12"/>
        <v>0</v>
      </c>
      <c r="L184" s="58">
        <f t="shared" si="13"/>
        <v>0</v>
      </c>
      <c r="M184" s="55"/>
    </row>
    <row r="185" spans="2:13" s="50" customFormat="1">
      <c r="B185" s="55">
        <v>20</v>
      </c>
      <c r="C185" s="56" t="s">
        <v>34</v>
      </c>
      <c r="D185" s="57" t="s">
        <v>5019</v>
      </c>
      <c r="E185" s="56" t="s">
        <v>5246</v>
      </c>
      <c r="F185" s="57" t="s">
        <v>5299</v>
      </c>
      <c r="G185" s="57" t="s">
        <v>5469</v>
      </c>
      <c r="H185" s="55">
        <v>6</v>
      </c>
      <c r="I185" s="56">
        <f t="shared" si="14"/>
        <v>720</v>
      </c>
      <c r="J185" s="58">
        <f t="shared" si="15"/>
        <v>720</v>
      </c>
      <c r="K185" s="58">
        <f t="shared" si="12"/>
        <v>0</v>
      </c>
      <c r="L185" s="58">
        <f t="shared" si="13"/>
        <v>0</v>
      </c>
      <c r="M185" s="55"/>
    </row>
    <row r="186" spans="2:13" s="50" customFormat="1">
      <c r="B186" s="55">
        <v>20</v>
      </c>
      <c r="C186" s="56" t="s">
        <v>34</v>
      </c>
      <c r="D186" s="57" t="s">
        <v>5020</v>
      </c>
      <c r="E186" s="56" t="s">
        <v>5247</v>
      </c>
      <c r="F186" s="57" t="s">
        <v>5399</v>
      </c>
      <c r="G186" s="57" t="s">
        <v>5429</v>
      </c>
      <c r="H186" s="55">
        <v>3</v>
      </c>
      <c r="I186" s="56">
        <f t="shared" si="14"/>
        <v>372</v>
      </c>
      <c r="J186" s="58">
        <f t="shared" si="15"/>
        <v>372</v>
      </c>
      <c r="K186" s="58">
        <f t="shared" si="12"/>
        <v>0</v>
      </c>
      <c r="L186" s="58">
        <f t="shared" si="13"/>
        <v>0</v>
      </c>
      <c r="M186" s="55"/>
    </row>
    <row r="187" spans="2:13" s="50" customFormat="1">
      <c r="B187" s="55">
        <v>20</v>
      </c>
      <c r="C187" s="56" t="s">
        <v>34</v>
      </c>
      <c r="D187" s="57" t="s">
        <v>5021</v>
      </c>
      <c r="E187" s="56" t="s">
        <v>5248</v>
      </c>
      <c r="F187" s="57" t="s">
        <v>5322</v>
      </c>
      <c r="G187" s="57" t="s">
        <v>5461</v>
      </c>
      <c r="H187" s="55">
        <v>9</v>
      </c>
      <c r="I187" s="56">
        <f t="shared" si="14"/>
        <v>99</v>
      </c>
      <c r="J187" s="58">
        <f t="shared" si="15"/>
        <v>99</v>
      </c>
      <c r="K187" s="58">
        <f t="shared" si="12"/>
        <v>0</v>
      </c>
      <c r="L187" s="58">
        <f t="shared" si="13"/>
        <v>0</v>
      </c>
      <c r="M187" s="55"/>
    </row>
    <row r="188" spans="2:13" s="50" customFormat="1">
      <c r="B188" s="55">
        <v>20</v>
      </c>
      <c r="C188" s="56" t="s">
        <v>34</v>
      </c>
      <c r="D188" s="57" t="s">
        <v>5022</v>
      </c>
      <c r="E188" s="56" t="s">
        <v>5249</v>
      </c>
      <c r="F188" s="57" t="s">
        <v>5400</v>
      </c>
      <c r="G188" s="57" t="s">
        <v>5527</v>
      </c>
      <c r="H188" s="55">
        <v>408</v>
      </c>
      <c r="I188" s="56">
        <f t="shared" si="14"/>
        <v>4080</v>
      </c>
      <c r="J188" s="58">
        <f t="shared" si="15"/>
        <v>4080</v>
      </c>
      <c r="K188" s="58">
        <f t="shared" si="12"/>
        <v>0</v>
      </c>
      <c r="L188" s="58">
        <f t="shared" si="13"/>
        <v>0</v>
      </c>
      <c r="M188" s="55"/>
    </row>
    <row r="189" spans="2:13" s="50" customFormat="1">
      <c r="B189" s="55">
        <v>20</v>
      </c>
      <c r="C189" s="56" t="s">
        <v>34</v>
      </c>
      <c r="D189" s="57" t="s">
        <v>5023</v>
      </c>
      <c r="E189" s="56" t="s">
        <v>5250</v>
      </c>
      <c r="F189" s="57" t="s">
        <v>5401</v>
      </c>
      <c r="G189" s="57" t="s">
        <v>5427</v>
      </c>
      <c r="H189" s="55">
        <v>4</v>
      </c>
      <c r="I189" s="56">
        <f t="shared" si="14"/>
        <v>2826</v>
      </c>
      <c r="J189" s="58">
        <f t="shared" si="15"/>
        <v>2826</v>
      </c>
      <c r="K189" s="58">
        <f t="shared" si="12"/>
        <v>0</v>
      </c>
      <c r="L189" s="58">
        <f t="shared" si="13"/>
        <v>0</v>
      </c>
      <c r="M189" s="55"/>
    </row>
    <row r="190" spans="2:13" s="50" customFormat="1">
      <c r="B190" s="55">
        <v>20</v>
      </c>
      <c r="C190" s="56" t="s">
        <v>34</v>
      </c>
      <c r="D190" s="57" t="s">
        <v>5024</v>
      </c>
      <c r="E190" s="56" t="s">
        <v>5251</v>
      </c>
      <c r="F190" s="57" t="s">
        <v>5305</v>
      </c>
      <c r="G190" s="57" t="s">
        <v>5454</v>
      </c>
      <c r="H190" s="55">
        <v>14</v>
      </c>
      <c r="I190" s="56">
        <f t="shared" si="14"/>
        <v>84</v>
      </c>
      <c r="J190" s="58">
        <f t="shared" si="15"/>
        <v>84</v>
      </c>
      <c r="K190" s="58">
        <f t="shared" si="12"/>
        <v>0</v>
      </c>
      <c r="L190" s="58">
        <f t="shared" si="13"/>
        <v>0</v>
      </c>
      <c r="M190" s="55"/>
    </row>
    <row r="191" spans="2:13" s="50" customFormat="1">
      <c r="B191" s="55">
        <v>20</v>
      </c>
      <c r="C191" s="56" t="s">
        <v>34</v>
      </c>
      <c r="D191" s="57" t="s">
        <v>5025</v>
      </c>
      <c r="E191" s="56" t="s">
        <v>5252</v>
      </c>
      <c r="F191" s="57" t="s">
        <v>5339</v>
      </c>
      <c r="G191" s="57" t="s">
        <v>5528</v>
      </c>
      <c r="H191" s="55">
        <v>50</v>
      </c>
      <c r="I191" s="56">
        <f t="shared" si="14"/>
        <v>2500</v>
      </c>
      <c r="J191" s="58">
        <f t="shared" si="15"/>
        <v>2500</v>
      </c>
      <c r="K191" s="58">
        <f t="shared" si="12"/>
        <v>0</v>
      </c>
      <c r="L191" s="58">
        <f t="shared" si="13"/>
        <v>0</v>
      </c>
      <c r="M191" s="55"/>
    </row>
    <row r="192" spans="2:13" s="50" customFormat="1">
      <c r="B192" s="55">
        <v>20</v>
      </c>
      <c r="C192" s="56" t="s">
        <v>34</v>
      </c>
      <c r="D192" s="57" t="s">
        <v>5026</v>
      </c>
      <c r="E192" s="56" t="s">
        <v>5253</v>
      </c>
      <c r="F192" s="57" t="s">
        <v>5402</v>
      </c>
      <c r="G192" s="57" t="s">
        <v>5434</v>
      </c>
      <c r="H192" s="55">
        <v>1</v>
      </c>
      <c r="I192" s="56">
        <f t="shared" si="14"/>
        <v>244.3</v>
      </c>
      <c r="J192" s="58">
        <f t="shared" si="15"/>
        <v>244.3</v>
      </c>
      <c r="K192" s="58">
        <f t="shared" si="12"/>
        <v>0</v>
      </c>
      <c r="L192" s="58">
        <f t="shared" si="13"/>
        <v>0</v>
      </c>
      <c r="M192" s="55"/>
    </row>
    <row r="193" spans="2:13" s="50" customFormat="1">
      <c r="B193" s="55">
        <v>20</v>
      </c>
      <c r="C193" s="56" t="s">
        <v>34</v>
      </c>
      <c r="D193" s="57" t="s">
        <v>5027</v>
      </c>
      <c r="E193" s="56" t="s">
        <v>5254</v>
      </c>
      <c r="F193" s="57" t="s">
        <v>5403</v>
      </c>
      <c r="G193" s="57" t="s">
        <v>5434</v>
      </c>
      <c r="H193" s="55">
        <v>1</v>
      </c>
      <c r="I193" s="56">
        <f t="shared" si="14"/>
        <v>16.5</v>
      </c>
      <c r="J193" s="58">
        <f t="shared" si="15"/>
        <v>16.5</v>
      </c>
      <c r="K193" s="58">
        <f t="shared" si="12"/>
        <v>0</v>
      </c>
      <c r="L193" s="58">
        <f t="shared" si="13"/>
        <v>0</v>
      </c>
      <c r="M193" s="55"/>
    </row>
    <row r="194" spans="2:13" s="50" customFormat="1">
      <c r="B194" s="55">
        <v>20</v>
      </c>
      <c r="C194" s="56" t="s">
        <v>34</v>
      </c>
      <c r="D194" s="57" t="s">
        <v>5028</v>
      </c>
      <c r="E194" s="56" t="s">
        <v>5255</v>
      </c>
      <c r="F194" s="57" t="s">
        <v>5374</v>
      </c>
      <c r="G194" s="57" t="s">
        <v>2544</v>
      </c>
      <c r="H194" s="55">
        <v>2</v>
      </c>
      <c r="I194" s="56">
        <f t="shared" si="14"/>
        <v>230</v>
      </c>
      <c r="J194" s="58">
        <f t="shared" si="15"/>
        <v>230</v>
      </c>
      <c r="K194" s="58">
        <f t="shared" si="12"/>
        <v>0</v>
      </c>
      <c r="L194" s="58">
        <f t="shared" si="13"/>
        <v>0</v>
      </c>
      <c r="M194" s="55"/>
    </row>
    <row r="195" spans="2:13" s="50" customFormat="1">
      <c r="B195" s="55">
        <v>20</v>
      </c>
      <c r="C195" s="56" t="s">
        <v>34</v>
      </c>
      <c r="D195" s="57" t="s">
        <v>5028</v>
      </c>
      <c r="E195" s="56" t="s">
        <v>5255</v>
      </c>
      <c r="F195" s="57" t="s">
        <v>5374</v>
      </c>
      <c r="G195" s="57" t="s">
        <v>5459</v>
      </c>
      <c r="H195" s="55">
        <v>20</v>
      </c>
      <c r="I195" s="56">
        <f t="shared" si="14"/>
        <v>2300</v>
      </c>
      <c r="J195" s="58">
        <f t="shared" si="15"/>
        <v>2300</v>
      </c>
      <c r="K195" s="58">
        <f t="shared" si="12"/>
        <v>0</v>
      </c>
      <c r="L195" s="58">
        <f t="shared" si="13"/>
        <v>0</v>
      </c>
      <c r="M195" s="55"/>
    </row>
    <row r="196" spans="2:13" s="50" customFormat="1">
      <c r="B196" s="55">
        <v>20</v>
      </c>
      <c r="C196" s="56" t="s">
        <v>34</v>
      </c>
      <c r="D196" s="57" t="s">
        <v>5029</v>
      </c>
      <c r="E196" s="56" t="s">
        <v>5256</v>
      </c>
      <c r="F196" s="57" t="s">
        <v>5321</v>
      </c>
      <c r="G196" s="57" t="s">
        <v>5529</v>
      </c>
      <c r="H196" s="55">
        <v>21</v>
      </c>
      <c r="I196" s="56">
        <f t="shared" si="14"/>
        <v>252</v>
      </c>
      <c r="J196" s="58">
        <f t="shared" si="15"/>
        <v>252</v>
      </c>
      <c r="K196" s="58">
        <f t="shared" si="12"/>
        <v>0</v>
      </c>
      <c r="L196" s="58">
        <f t="shared" si="13"/>
        <v>0</v>
      </c>
      <c r="M196" s="55"/>
    </row>
    <row r="197" spans="2:13" s="50" customFormat="1">
      <c r="B197" s="55">
        <v>20</v>
      </c>
      <c r="C197" s="56" t="s">
        <v>34</v>
      </c>
      <c r="D197" s="57" t="s">
        <v>5029</v>
      </c>
      <c r="E197" s="56" t="s">
        <v>5256</v>
      </c>
      <c r="F197" s="57" t="s">
        <v>5321</v>
      </c>
      <c r="G197" s="57" t="s">
        <v>5505</v>
      </c>
      <c r="H197" s="55">
        <v>120</v>
      </c>
      <c r="I197" s="56">
        <f t="shared" si="14"/>
        <v>1440</v>
      </c>
      <c r="J197" s="58">
        <f t="shared" si="15"/>
        <v>1440</v>
      </c>
      <c r="K197" s="58">
        <f t="shared" si="12"/>
        <v>0</v>
      </c>
      <c r="L197" s="58">
        <f t="shared" si="13"/>
        <v>0</v>
      </c>
      <c r="M197" s="55"/>
    </row>
    <row r="198" spans="2:13" s="50" customFormat="1">
      <c r="B198" s="55">
        <v>20</v>
      </c>
      <c r="C198" s="56" t="s">
        <v>34</v>
      </c>
      <c r="D198" s="57" t="s">
        <v>5030</v>
      </c>
      <c r="E198" s="56" t="s">
        <v>5257</v>
      </c>
      <c r="F198" s="57" t="s">
        <v>5404</v>
      </c>
      <c r="G198" s="57" t="s">
        <v>5509</v>
      </c>
      <c r="H198" s="55">
        <v>35</v>
      </c>
      <c r="I198" s="56">
        <f t="shared" si="14"/>
        <v>1820</v>
      </c>
      <c r="J198" s="58">
        <f t="shared" si="15"/>
        <v>1820</v>
      </c>
      <c r="K198" s="58">
        <f t="shared" si="12"/>
        <v>0</v>
      </c>
      <c r="L198" s="58">
        <f t="shared" si="13"/>
        <v>0</v>
      </c>
      <c r="M198" s="55"/>
    </row>
    <row r="199" spans="2:13" s="50" customFormat="1">
      <c r="B199" s="55">
        <v>20</v>
      </c>
      <c r="C199" s="56" t="s">
        <v>34</v>
      </c>
      <c r="D199" s="57" t="s">
        <v>5031</v>
      </c>
      <c r="E199" s="56" t="s">
        <v>5258</v>
      </c>
      <c r="F199" s="57" t="s">
        <v>5379</v>
      </c>
      <c r="G199" s="57" t="s">
        <v>5507</v>
      </c>
      <c r="H199" s="55">
        <v>11</v>
      </c>
      <c r="I199" s="56">
        <f t="shared" si="14"/>
        <v>1045</v>
      </c>
      <c r="J199" s="58">
        <f t="shared" si="15"/>
        <v>1045</v>
      </c>
      <c r="K199" s="58">
        <f t="shared" ref="K199:K235" si="16">G199-H199</f>
        <v>0</v>
      </c>
      <c r="L199" s="58">
        <f t="shared" ref="L199:L235" si="17">I199-J199</f>
        <v>0</v>
      </c>
      <c r="M199" s="55"/>
    </row>
    <row r="200" spans="2:13" s="50" customFormat="1">
      <c r="B200" s="55">
        <v>20</v>
      </c>
      <c r="C200" s="56" t="s">
        <v>34</v>
      </c>
      <c r="D200" s="57" t="s">
        <v>5032</v>
      </c>
      <c r="E200" s="56" t="s">
        <v>5259</v>
      </c>
      <c r="F200" s="57" t="s">
        <v>5356</v>
      </c>
      <c r="G200" s="57" t="s">
        <v>5530</v>
      </c>
      <c r="H200" s="55">
        <v>123</v>
      </c>
      <c r="I200" s="56">
        <f t="shared" ref="I200:I235" si="18">F200*G200</f>
        <v>861</v>
      </c>
      <c r="J200" s="58">
        <f t="shared" ref="J200:J235" si="19">F200*H200</f>
        <v>861</v>
      </c>
      <c r="K200" s="58">
        <f t="shared" si="16"/>
        <v>0</v>
      </c>
      <c r="L200" s="58">
        <f t="shared" si="17"/>
        <v>0</v>
      </c>
      <c r="M200" s="55"/>
    </row>
    <row r="201" spans="2:13" s="50" customFormat="1">
      <c r="B201" s="55">
        <v>20</v>
      </c>
      <c r="C201" s="56" t="s">
        <v>34</v>
      </c>
      <c r="D201" s="57" t="s">
        <v>5033</v>
      </c>
      <c r="E201" s="56" t="s">
        <v>5260</v>
      </c>
      <c r="F201" s="57" t="s">
        <v>5405</v>
      </c>
      <c r="G201" s="57" t="s">
        <v>5428</v>
      </c>
      <c r="H201" s="55">
        <v>5</v>
      </c>
      <c r="I201" s="56">
        <f t="shared" si="18"/>
        <v>42.5</v>
      </c>
      <c r="J201" s="58">
        <f t="shared" si="19"/>
        <v>42.5</v>
      </c>
      <c r="K201" s="58">
        <f t="shared" si="16"/>
        <v>0</v>
      </c>
      <c r="L201" s="58">
        <f t="shared" si="17"/>
        <v>0</v>
      </c>
      <c r="M201" s="55"/>
    </row>
    <row r="202" spans="2:13" s="50" customFormat="1">
      <c r="B202" s="55">
        <v>20</v>
      </c>
      <c r="C202" s="56" t="s">
        <v>34</v>
      </c>
      <c r="D202" s="57" t="s">
        <v>5034</v>
      </c>
      <c r="E202" s="56" t="s">
        <v>5261</v>
      </c>
      <c r="F202" s="57" t="s">
        <v>5406</v>
      </c>
      <c r="G202" s="57" t="s">
        <v>5513</v>
      </c>
      <c r="H202" s="55">
        <v>38</v>
      </c>
      <c r="I202" s="56">
        <f t="shared" si="18"/>
        <v>1463</v>
      </c>
      <c r="J202" s="58">
        <f t="shared" si="19"/>
        <v>1463</v>
      </c>
      <c r="K202" s="58">
        <f t="shared" si="16"/>
        <v>0</v>
      </c>
      <c r="L202" s="58">
        <f t="shared" si="17"/>
        <v>0</v>
      </c>
      <c r="M202" s="55"/>
    </row>
    <row r="203" spans="2:13" s="50" customFormat="1">
      <c r="B203" s="55">
        <v>20</v>
      </c>
      <c r="C203" s="56" t="s">
        <v>34</v>
      </c>
      <c r="D203" s="57" t="s">
        <v>5035</v>
      </c>
      <c r="E203" s="56" t="s">
        <v>5262</v>
      </c>
      <c r="F203" s="57" t="s">
        <v>5362</v>
      </c>
      <c r="G203" s="57" t="s">
        <v>5465</v>
      </c>
      <c r="H203" s="55">
        <v>10</v>
      </c>
      <c r="I203" s="56">
        <f t="shared" si="18"/>
        <v>880</v>
      </c>
      <c r="J203" s="58">
        <f t="shared" si="19"/>
        <v>880</v>
      </c>
      <c r="K203" s="58">
        <f t="shared" si="16"/>
        <v>0</v>
      </c>
      <c r="L203" s="58">
        <f t="shared" si="17"/>
        <v>0</v>
      </c>
      <c r="M203" s="55"/>
    </row>
    <row r="204" spans="2:13" s="50" customFormat="1">
      <c r="B204" s="55">
        <v>20</v>
      </c>
      <c r="C204" s="56" t="s">
        <v>34</v>
      </c>
      <c r="D204" s="57" t="s">
        <v>5036</v>
      </c>
      <c r="E204" s="56" t="s">
        <v>5263</v>
      </c>
      <c r="F204" s="57" t="s">
        <v>5370</v>
      </c>
      <c r="G204" s="57" t="s">
        <v>5507</v>
      </c>
      <c r="H204" s="55">
        <v>11</v>
      </c>
      <c r="I204" s="56">
        <f t="shared" si="18"/>
        <v>187</v>
      </c>
      <c r="J204" s="58">
        <f t="shared" si="19"/>
        <v>187</v>
      </c>
      <c r="K204" s="58">
        <f t="shared" si="16"/>
        <v>0</v>
      </c>
      <c r="L204" s="58">
        <f t="shared" si="17"/>
        <v>0</v>
      </c>
      <c r="M204" s="65"/>
    </row>
    <row r="205" spans="2:13" s="50" customFormat="1">
      <c r="B205" s="55">
        <v>20</v>
      </c>
      <c r="C205" s="56" t="s">
        <v>34</v>
      </c>
      <c r="D205" s="57" t="s">
        <v>5037</v>
      </c>
      <c r="E205" s="56" t="s">
        <v>5264</v>
      </c>
      <c r="F205" s="57" t="s">
        <v>5368</v>
      </c>
      <c r="G205" s="57" t="s">
        <v>5428</v>
      </c>
      <c r="H205" s="55">
        <v>5</v>
      </c>
      <c r="I205" s="56">
        <f t="shared" si="18"/>
        <v>100</v>
      </c>
      <c r="J205" s="58">
        <f t="shared" si="19"/>
        <v>100</v>
      </c>
      <c r="K205" s="58">
        <f t="shared" si="16"/>
        <v>0</v>
      </c>
      <c r="L205" s="58">
        <f t="shared" si="17"/>
        <v>0</v>
      </c>
      <c r="M205" s="55"/>
    </row>
    <row r="206" spans="2:13" s="50" customFormat="1">
      <c r="B206" s="55">
        <v>20</v>
      </c>
      <c r="C206" s="56" t="s">
        <v>34</v>
      </c>
      <c r="D206" s="57" t="s">
        <v>5038</v>
      </c>
      <c r="E206" s="56" t="s">
        <v>5265</v>
      </c>
      <c r="F206" s="57" t="s">
        <v>5407</v>
      </c>
      <c r="G206" s="57" t="s">
        <v>5437</v>
      </c>
      <c r="H206" s="55">
        <v>15</v>
      </c>
      <c r="I206" s="56">
        <f t="shared" si="18"/>
        <v>975</v>
      </c>
      <c r="J206" s="58">
        <f t="shared" si="19"/>
        <v>975</v>
      </c>
      <c r="K206" s="58">
        <f t="shared" si="16"/>
        <v>0</v>
      </c>
      <c r="L206" s="58">
        <f t="shared" si="17"/>
        <v>0</v>
      </c>
      <c r="M206" s="55"/>
    </row>
    <row r="207" spans="2:13" s="50" customFormat="1">
      <c r="B207" s="55">
        <v>20</v>
      </c>
      <c r="C207" s="56" t="s">
        <v>34</v>
      </c>
      <c r="D207" s="57" t="s">
        <v>5039</v>
      </c>
      <c r="E207" s="56" t="s">
        <v>5266</v>
      </c>
      <c r="F207" s="57" t="s">
        <v>5408</v>
      </c>
      <c r="G207" s="57" t="s">
        <v>5531</v>
      </c>
      <c r="H207" s="55">
        <v>52</v>
      </c>
      <c r="I207" s="56">
        <f t="shared" si="18"/>
        <v>3900</v>
      </c>
      <c r="J207" s="58">
        <f t="shared" si="19"/>
        <v>3900</v>
      </c>
      <c r="K207" s="58">
        <f t="shared" si="16"/>
        <v>0</v>
      </c>
      <c r="L207" s="58">
        <f t="shared" si="17"/>
        <v>0</v>
      </c>
      <c r="M207" s="55"/>
    </row>
    <row r="208" spans="2:13" s="50" customFormat="1">
      <c r="B208" s="55">
        <v>20</v>
      </c>
      <c r="C208" s="56" t="s">
        <v>34</v>
      </c>
      <c r="D208" s="57" t="s">
        <v>5040</v>
      </c>
      <c r="E208" s="56" t="s">
        <v>5267</v>
      </c>
      <c r="F208" s="57" t="s">
        <v>5409</v>
      </c>
      <c r="G208" s="57" t="s">
        <v>5469</v>
      </c>
      <c r="H208" s="55">
        <v>6</v>
      </c>
      <c r="I208" s="56">
        <f t="shared" si="18"/>
        <v>3000</v>
      </c>
      <c r="J208" s="58">
        <f t="shared" si="19"/>
        <v>3000</v>
      </c>
      <c r="K208" s="58">
        <f t="shared" si="16"/>
        <v>0</v>
      </c>
      <c r="L208" s="58">
        <f t="shared" si="17"/>
        <v>0</v>
      </c>
      <c r="M208" s="55"/>
    </row>
    <row r="209" spans="2:13" s="50" customFormat="1">
      <c r="B209" s="55">
        <v>20</v>
      </c>
      <c r="C209" s="56" t="s">
        <v>34</v>
      </c>
      <c r="D209" s="57" t="s">
        <v>5041</v>
      </c>
      <c r="E209" s="56" t="s">
        <v>5268</v>
      </c>
      <c r="F209" s="57" t="s">
        <v>5381</v>
      </c>
      <c r="G209" s="57" t="s">
        <v>2544</v>
      </c>
      <c r="H209" s="55">
        <v>2</v>
      </c>
      <c r="I209" s="56">
        <f t="shared" si="18"/>
        <v>50</v>
      </c>
      <c r="J209" s="58">
        <f t="shared" si="19"/>
        <v>50</v>
      </c>
      <c r="K209" s="58">
        <f t="shared" si="16"/>
        <v>0</v>
      </c>
      <c r="L209" s="58">
        <f t="shared" si="17"/>
        <v>0</v>
      </c>
      <c r="M209" s="55"/>
    </row>
    <row r="210" spans="2:13" s="50" customFormat="1">
      <c r="B210" s="55">
        <v>20</v>
      </c>
      <c r="C210" s="56" t="s">
        <v>34</v>
      </c>
      <c r="D210" s="57" t="s">
        <v>5042</v>
      </c>
      <c r="E210" s="56" t="s">
        <v>5269</v>
      </c>
      <c r="F210" s="57" t="s">
        <v>5410</v>
      </c>
      <c r="G210" s="57" t="s">
        <v>2544</v>
      </c>
      <c r="H210" s="55">
        <v>2</v>
      </c>
      <c r="I210" s="56">
        <f t="shared" si="18"/>
        <v>110</v>
      </c>
      <c r="J210" s="58">
        <f t="shared" si="19"/>
        <v>110</v>
      </c>
      <c r="K210" s="58">
        <f t="shared" si="16"/>
        <v>0</v>
      </c>
      <c r="L210" s="58">
        <f t="shared" si="17"/>
        <v>0</v>
      </c>
      <c r="M210" s="55"/>
    </row>
    <row r="211" spans="2:13" s="50" customFormat="1">
      <c r="B211" s="55">
        <v>20</v>
      </c>
      <c r="C211" s="56" t="s">
        <v>34</v>
      </c>
      <c r="D211" s="57" t="s">
        <v>5043</v>
      </c>
      <c r="E211" s="56" t="s">
        <v>5270</v>
      </c>
      <c r="F211" s="57" t="s">
        <v>5340</v>
      </c>
      <c r="G211" s="57" t="s">
        <v>5532</v>
      </c>
      <c r="H211" s="55">
        <v>24</v>
      </c>
      <c r="I211" s="56">
        <f t="shared" si="18"/>
        <v>1440</v>
      </c>
      <c r="J211" s="58">
        <f t="shared" si="19"/>
        <v>1440</v>
      </c>
      <c r="K211" s="58">
        <f t="shared" si="16"/>
        <v>0</v>
      </c>
      <c r="L211" s="58">
        <f t="shared" si="17"/>
        <v>0</v>
      </c>
      <c r="M211" s="55"/>
    </row>
    <row r="212" spans="2:13" s="50" customFormat="1">
      <c r="B212" s="55">
        <v>20</v>
      </c>
      <c r="C212" s="56" t="s">
        <v>34</v>
      </c>
      <c r="D212" s="57" t="s">
        <v>5044</v>
      </c>
      <c r="E212" s="56" t="s">
        <v>5271</v>
      </c>
      <c r="F212" s="57" t="s">
        <v>5298</v>
      </c>
      <c r="G212" s="57" t="s">
        <v>5427</v>
      </c>
      <c r="H212" s="55">
        <v>4</v>
      </c>
      <c r="I212" s="56">
        <f t="shared" si="18"/>
        <v>120</v>
      </c>
      <c r="J212" s="58">
        <f t="shared" si="19"/>
        <v>120</v>
      </c>
      <c r="K212" s="58">
        <f t="shared" si="16"/>
        <v>0</v>
      </c>
      <c r="L212" s="58">
        <f t="shared" si="17"/>
        <v>0</v>
      </c>
      <c r="M212" s="55"/>
    </row>
    <row r="213" spans="2:13" s="50" customFormat="1">
      <c r="B213" s="55">
        <v>20</v>
      </c>
      <c r="C213" s="56" t="s">
        <v>34</v>
      </c>
      <c r="D213" s="57" t="s">
        <v>5045</v>
      </c>
      <c r="E213" s="56" t="s">
        <v>5272</v>
      </c>
      <c r="F213" s="57" t="s">
        <v>5343</v>
      </c>
      <c r="G213" s="57" t="s">
        <v>5514</v>
      </c>
      <c r="H213" s="55">
        <v>19</v>
      </c>
      <c r="I213" s="56">
        <f t="shared" si="18"/>
        <v>1615</v>
      </c>
      <c r="J213" s="58">
        <f t="shared" si="19"/>
        <v>1615</v>
      </c>
      <c r="K213" s="58">
        <f t="shared" si="16"/>
        <v>0</v>
      </c>
      <c r="L213" s="58">
        <f t="shared" si="17"/>
        <v>0</v>
      </c>
      <c r="M213" s="55"/>
    </row>
    <row r="214" spans="2:13" s="50" customFormat="1">
      <c r="B214" s="55">
        <v>20</v>
      </c>
      <c r="C214" s="56" t="s">
        <v>34</v>
      </c>
      <c r="D214" s="57" t="s">
        <v>5046</v>
      </c>
      <c r="E214" s="56" t="s">
        <v>5273</v>
      </c>
      <c r="F214" s="57" t="s">
        <v>5300</v>
      </c>
      <c r="G214" s="57" t="s">
        <v>5533</v>
      </c>
      <c r="H214" s="55">
        <v>23</v>
      </c>
      <c r="I214" s="56">
        <f t="shared" si="18"/>
        <v>828</v>
      </c>
      <c r="J214" s="58">
        <f t="shared" si="19"/>
        <v>828</v>
      </c>
      <c r="K214" s="58">
        <f t="shared" si="16"/>
        <v>0</v>
      </c>
      <c r="L214" s="58">
        <f t="shared" si="17"/>
        <v>0</v>
      </c>
      <c r="M214" s="55"/>
    </row>
    <row r="215" spans="2:13" s="50" customFormat="1">
      <c r="B215" s="55">
        <v>20</v>
      </c>
      <c r="C215" s="56" t="s">
        <v>34</v>
      </c>
      <c r="D215" s="57" t="s">
        <v>5047</v>
      </c>
      <c r="E215" s="56" t="s">
        <v>5274</v>
      </c>
      <c r="F215" s="57" t="s">
        <v>5298</v>
      </c>
      <c r="G215" s="57" t="s">
        <v>5436</v>
      </c>
      <c r="H215" s="55">
        <v>32</v>
      </c>
      <c r="I215" s="56">
        <f t="shared" si="18"/>
        <v>960</v>
      </c>
      <c r="J215" s="58">
        <f t="shared" si="19"/>
        <v>960</v>
      </c>
      <c r="K215" s="58">
        <f t="shared" si="16"/>
        <v>0</v>
      </c>
      <c r="L215" s="58">
        <f t="shared" si="17"/>
        <v>0</v>
      </c>
      <c r="M215" s="55"/>
    </row>
    <row r="216" spans="2:13" s="50" customFormat="1">
      <c r="B216" s="55">
        <v>20</v>
      </c>
      <c r="C216" s="56" t="s">
        <v>34</v>
      </c>
      <c r="D216" s="57" t="s">
        <v>5048</v>
      </c>
      <c r="E216" s="56" t="s">
        <v>5275</v>
      </c>
      <c r="F216" s="57" t="s">
        <v>5411</v>
      </c>
      <c r="G216" s="57" t="s">
        <v>2544</v>
      </c>
      <c r="H216" s="55">
        <v>2</v>
      </c>
      <c r="I216" s="56">
        <f t="shared" si="18"/>
        <v>1200</v>
      </c>
      <c r="J216" s="58">
        <f t="shared" si="19"/>
        <v>1200</v>
      </c>
      <c r="K216" s="58">
        <f t="shared" si="16"/>
        <v>0</v>
      </c>
      <c r="L216" s="58">
        <f t="shared" si="17"/>
        <v>0</v>
      </c>
      <c r="M216" s="55"/>
    </row>
    <row r="217" spans="2:13" s="50" customFormat="1">
      <c r="B217" s="55">
        <v>20</v>
      </c>
      <c r="C217" s="56" t="s">
        <v>34</v>
      </c>
      <c r="D217" s="57" t="s">
        <v>5049</v>
      </c>
      <c r="E217" s="56" t="s">
        <v>5276</v>
      </c>
      <c r="F217" s="57" t="s">
        <v>5368</v>
      </c>
      <c r="G217" s="57" t="s">
        <v>5434</v>
      </c>
      <c r="H217" s="55">
        <v>1</v>
      </c>
      <c r="I217" s="56">
        <f t="shared" si="18"/>
        <v>20</v>
      </c>
      <c r="J217" s="58">
        <f t="shared" si="19"/>
        <v>20</v>
      </c>
      <c r="K217" s="58">
        <f t="shared" si="16"/>
        <v>0</v>
      </c>
      <c r="L217" s="58">
        <f t="shared" si="17"/>
        <v>0</v>
      </c>
      <c r="M217" s="55"/>
    </row>
    <row r="218" spans="2:13" s="50" customFormat="1">
      <c r="B218" s="55">
        <v>20</v>
      </c>
      <c r="C218" s="56" t="s">
        <v>34</v>
      </c>
      <c r="D218" s="57" t="s">
        <v>5050</v>
      </c>
      <c r="E218" s="56" t="s">
        <v>5277</v>
      </c>
      <c r="F218" s="57" t="s">
        <v>5412</v>
      </c>
      <c r="G218" s="57" t="s">
        <v>5434</v>
      </c>
      <c r="H218" s="55">
        <v>1</v>
      </c>
      <c r="I218" s="56">
        <f t="shared" si="18"/>
        <v>144</v>
      </c>
      <c r="J218" s="58">
        <f t="shared" si="19"/>
        <v>144</v>
      </c>
      <c r="K218" s="58">
        <f t="shared" si="16"/>
        <v>0</v>
      </c>
      <c r="L218" s="58">
        <f t="shared" si="17"/>
        <v>0</v>
      </c>
      <c r="M218" s="55"/>
    </row>
    <row r="219" spans="2:13" s="50" customFormat="1">
      <c r="B219" s="55">
        <v>20</v>
      </c>
      <c r="C219" s="56" t="s">
        <v>34</v>
      </c>
      <c r="D219" s="57" t="s">
        <v>5051</v>
      </c>
      <c r="E219" s="56" t="s">
        <v>5278</v>
      </c>
      <c r="F219" s="57" t="s">
        <v>5413</v>
      </c>
      <c r="G219" s="57" t="s">
        <v>5434</v>
      </c>
      <c r="H219" s="55">
        <v>1</v>
      </c>
      <c r="I219" s="56">
        <f t="shared" si="18"/>
        <v>216</v>
      </c>
      <c r="J219" s="58">
        <f t="shared" si="19"/>
        <v>216</v>
      </c>
      <c r="K219" s="58">
        <f t="shared" si="16"/>
        <v>0</v>
      </c>
      <c r="L219" s="58">
        <f t="shared" si="17"/>
        <v>0</v>
      </c>
      <c r="M219" s="55"/>
    </row>
    <row r="220" spans="2:13" s="50" customFormat="1">
      <c r="B220" s="55">
        <v>20</v>
      </c>
      <c r="C220" s="56" t="s">
        <v>34</v>
      </c>
      <c r="D220" s="57" t="s">
        <v>5052</v>
      </c>
      <c r="E220" s="56" t="s">
        <v>5279</v>
      </c>
      <c r="F220" s="57" t="s">
        <v>5414</v>
      </c>
      <c r="G220" s="57" t="s">
        <v>5459</v>
      </c>
      <c r="H220" s="55">
        <v>20</v>
      </c>
      <c r="I220" s="56">
        <f t="shared" si="18"/>
        <v>43.2</v>
      </c>
      <c r="J220" s="58">
        <f t="shared" si="19"/>
        <v>43.2</v>
      </c>
      <c r="K220" s="58">
        <f t="shared" si="16"/>
        <v>0</v>
      </c>
      <c r="L220" s="58">
        <f t="shared" si="17"/>
        <v>0</v>
      </c>
      <c r="M220" s="55"/>
    </row>
    <row r="221" spans="2:13" s="50" customFormat="1">
      <c r="B221" s="55">
        <v>20</v>
      </c>
      <c r="C221" s="56" t="s">
        <v>34</v>
      </c>
      <c r="D221" s="57" t="s">
        <v>5053</v>
      </c>
      <c r="E221" s="56" t="s">
        <v>5280</v>
      </c>
      <c r="F221" s="57" t="s">
        <v>5415</v>
      </c>
      <c r="G221" s="57" t="s">
        <v>5427</v>
      </c>
      <c r="H221" s="55">
        <v>4</v>
      </c>
      <c r="I221" s="56">
        <f t="shared" si="18"/>
        <v>320</v>
      </c>
      <c r="J221" s="58">
        <f t="shared" si="19"/>
        <v>320</v>
      </c>
      <c r="K221" s="58">
        <f t="shared" si="16"/>
        <v>0</v>
      </c>
      <c r="L221" s="58">
        <f t="shared" si="17"/>
        <v>0</v>
      </c>
      <c r="M221" s="55"/>
    </row>
    <row r="222" spans="2:13" s="50" customFormat="1">
      <c r="B222" s="55">
        <v>20</v>
      </c>
      <c r="C222" s="56" t="s">
        <v>34</v>
      </c>
      <c r="D222" s="57" t="s">
        <v>5054</v>
      </c>
      <c r="E222" s="56" t="s">
        <v>5281</v>
      </c>
      <c r="F222" s="57" t="s">
        <v>5368</v>
      </c>
      <c r="G222" s="57" t="s">
        <v>5429</v>
      </c>
      <c r="H222" s="55">
        <v>3</v>
      </c>
      <c r="I222" s="56">
        <f t="shared" si="18"/>
        <v>60</v>
      </c>
      <c r="J222" s="58">
        <f t="shared" si="19"/>
        <v>60</v>
      </c>
      <c r="K222" s="58">
        <f t="shared" si="16"/>
        <v>0</v>
      </c>
      <c r="L222" s="58">
        <f t="shared" si="17"/>
        <v>0</v>
      </c>
      <c r="M222" s="55"/>
    </row>
    <row r="223" spans="2:13" s="50" customFormat="1">
      <c r="B223" s="55">
        <v>20</v>
      </c>
      <c r="C223" s="56" t="s">
        <v>34</v>
      </c>
      <c r="D223" s="57" t="s">
        <v>5055</v>
      </c>
      <c r="E223" s="56" t="s">
        <v>5282</v>
      </c>
      <c r="F223" s="57" t="s">
        <v>5400</v>
      </c>
      <c r="G223" s="57" t="s">
        <v>5518</v>
      </c>
      <c r="H223" s="55">
        <v>78</v>
      </c>
      <c r="I223" s="56">
        <f t="shared" si="18"/>
        <v>780</v>
      </c>
      <c r="J223" s="58">
        <f t="shared" si="19"/>
        <v>780</v>
      </c>
      <c r="K223" s="58">
        <f t="shared" si="16"/>
        <v>0</v>
      </c>
      <c r="L223" s="58">
        <f t="shared" si="17"/>
        <v>0</v>
      </c>
      <c r="M223" s="55"/>
    </row>
    <row r="224" spans="2:13" s="50" customFormat="1">
      <c r="B224" s="55">
        <v>20</v>
      </c>
      <c r="C224" s="56" t="s">
        <v>34</v>
      </c>
      <c r="D224" s="57" t="s">
        <v>5056</v>
      </c>
      <c r="E224" s="56" t="s">
        <v>5283</v>
      </c>
      <c r="F224" s="57" t="s">
        <v>5298</v>
      </c>
      <c r="G224" s="57" t="s">
        <v>5496</v>
      </c>
      <c r="H224" s="55">
        <v>33</v>
      </c>
      <c r="I224" s="56">
        <f t="shared" si="18"/>
        <v>990</v>
      </c>
      <c r="J224" s="58">
        <f t="shared" si="19"/>
        <v>990</v>
      </c>
      <c r="K224" s="58">
        <f t="shared" si="16"/>
        <v>0</v>
      </c>
      <c r="L224" s="58">
        <f t="shared" si="17"/>
        <v>0</v>
      </c>
      <c r="M224" s="55"/>
    </row>
    <row r="225" spans="2:13" s="50" customFormat="1">
      <c r="B225" s="55">
        <v>20</v>
      </c>
      <c r="C225" s="56" t="s">
        <v>34</v>
      </c>
      <c r="D225" s="57" t="s">
        <v>5057</v>
      </c>
      <c r="E225" s="56" t="s">
        <v>5284</v>
      </c>
      <c r="F225" s="57" t="s">
        <v>5416</v>
      </c>
      <c r="G225" s="57" t="s">
        <v>5437</v>
      </c>
      <c r="H225" s="55">
        <v>15</v>
      </c>
      <c r="I225" s="56">
        <f t="shared" si="18"/>
        <v>382.5</v>
      </c>
      <c r="J225" s="58">
        <f t="shared" si="19"/>
        <v>382.5</v>
      </c>
      <c r="K225" s="58">
        <f t="shared" si="16"/>
        <v>0</v>
      </c>
      <c r="L225" s="58">
        <f t="shared" si="17"/>
        <v>0</v>
      </c>
      <c r="M225" s="55"/>
    </row>
    <row r="226" spans="2:13" s="50" customFormat="1">
      <c r="B226" s="55">
        <v>20</v>
      </c>
      <c r="C226" s="56" t="s">
        <v>34</v>
      </c>
      <c r="D226" s="57" t="s">
        <v>5058</v>
      </c>
      <c r="E226" s="56" t="s">
        <v>5285</v>
      </c>
      <c r="F226" s="57" t="s">
        <v>5417</v>
      </c>
      <c r="G226" s="57" t="s">
        <v>5507</v>
      </c>
      <c r="H226" s="55">
        <v>11</v>
      </c>
      <c r="I226" s="56">
        <f t="shared" si="18"/>
        <v>407</v>
      </c>
      <c r="J226" s="58">
        <f t="shared" si="19"/>
        <v>407</v>
      </c>
      <c r="K226" s="58">
        <f t="shared" si="16"/>
        <v>0</v>
      </c>
      <c r="L226" s="58">
        <f t="shared" si="17"/>
        <v>0</v>
      </c>
      <c r="M226" s="55"/>
    </row>
    <row r="227" spans="2:13" s="50" customFormat="1">
      <c r="B227" s="55">
        <v>20</v>
      </c>
      <c r="C227" s="56" t="s">
        <v>34</v>
      </c>
      <c r="D227" s="57" t="s">
        <v>5059</v>
      </c>
      <c r="E227" s="56" t="s">
        <v>5286</v>
      </c>
      <c r="F227" s="57" t="s">
        <v>5418</v>
      </c>
      <c r="G227" s="57" t="s">
        <v>5493</v>
      </c>
      <c r="H227" s="55">
        <v>30</v>
      </c>
      <c r="I227" s="56">
        <f t="shared" si="18"/>
        <v>1590</v>
      </c>
      <c r="J227" s="58">
        <f t="shared" si="19"/>
        <v>1590</v>
      </c>
      <c r="K227" s="58">
        <f t="shared" si="16"/>
        <v>0</v>
      </c>
      <c r="L227" s="58">
        <f t="shared" si="17"/>
        <v>0</v>
      </c>
      <c r="M227" s="55"/>
    </row>
    <row r="228" spans="2:13" s="50" customFormat="1">
      <c r="B228" s="55">
        <v>20</v>
      </c>
      <c r="C228" s="56" t="s">
        <v>34</v>
      </c>
      <c r="D228" s="57" t="s">
        <v>5060</v>
      </c>
      <c r="E228" s="56" t="s">
        <v>5287</v>
      </c>
      <c r="F228" s="57" t="s">
        <v>5376</v>
      </c>
      <c r="G228" s="57" t="s">
        <v>5454</v>
      </c>
      <c r="H228" s="55">
        <v>14</v>
      </c>
      <c r="I228" s="56">
        <f t="shared" si="18"/>
        <v>378</v>
      </c>
      <c r="J228" s="58">
        <f t="shared" si="19"/>
        <v>378</v>
      </c>
      <c r="K228" s="58">
        <f t="shared" si="16"/>
        <v>0</v>
      </c>
      <c r="L228" s="58">
        <f t="shared" si="17"/>
        <v>0</v>
      </c>
      <c r="M228" s="55"/>
    </row>
    <row r="229" spans="2:13" s="50" customFormat="1">
      <c r="B229" s="55">
        <v>20</v>
      </c>
      <c r="C229" s="56" t="s">
        <v>34</v>
      </c>
      <c r="D229" s="57" t="s">
        <v>5061</v>
      </c>
      <c r="E229" s="56" t="s">
        <v>5288</v>
      </c>
      <c r="F229" s="57" t="s">
        <v>5419</v>
      </c>
      <c r="G229" s="57" t="s">
        <v>5510</v>
      </c>
      <c r="H229" s="55">
        <v>60</v>
      </c>
      <c r="I229" s="56">
        <f t="shared" si="18"/>
        <v>26.4</v>
      </c>
      <c r="J229" s="58">
        <f t="shared" si="19"/>
        <v>26.4</v>
      </c>
      <c r="K229" s="58">
        <f t="shared" si="16"/>
        <v>0</v>
      </c>
      <c r="L229" s="58">
        <f t="shared" si="17"/>
        <v>0</v>
      </c>
      <c r="M229" s="55"/>
    </row>
    <row r="230" spans="2:13" s="50" customFormat="1">
      <c r="B230" s="55">
        <v>20</v>
      </c>
      <c r="C230" s="56" t="s">
        <v>34</v>
      </c>
      <c r="D230" s="57" t="s">
        <v>5062</v>
      </c>
      <c r="E230" s="56" t="s">
        <v>5289</v>
      </c>
      <c r="F230" s="57" t="s">
        <v>5420</v>
      </c>
      <c r="G230" s="57" t="s">
        <v>5534</v>
      </c>
      <c r="H230" s="55">
        <v>937</v>
      </c>
      <c r="I230" s="56">
        <f t="shared" si="18"/>
        <v>505.98</v>
      </c>
      <c r="J230" s="58">
        <f t="shared" si="19"/>
        <v>505.98</v>
      </c>
      <c r="K230" s="58">
        <f t="shared" si="16"/>
        <v>0</v>
      </c>
      <c r="L230" s="58">
        <f t="shared" si="17"/>
        <v>0</v>
      </c>
      <c r="M230" s="55"/>
    </row>
    <row r="231" spans="2:13" s="50" customFormat="1">
      <c r="B231" s="55">
        <v>20</v>
      </c>
      <c r="C231" s="56" t="s">
        <v>34</v>
      </c>
      <c r="D231" s="57" t="s">
        <v>5063</v>
      </c>
      <c r="E231" s="56" t="s">
        <v>5290</v>
      </c>
      <c r="F231" s="57" t="s">
        <v>5419</v>
      </c>
      <c r="G231" s="57" t="s">
        <v>5535</v>
      </c>
      <c r="H231" s="55">
        <v>751</v>
      </c>
      <c r="I231" s="56">
        <f t="shared" si="18"/>
        <v>330.44</v>
      </c>
      <c r="J231" s="58">
        <f t="shared" si="19"/>
        <v>330.44</v>
      </c>
      <c r="K231" s="58">
        <f t="shared" si="16"/>
        <v>0</v>
      </c>
      <c r="L231" s="58">
        <f t="shared" si="17"/>
        <v>0</v>
      </c>
      <c r="M231" s="55"/>
    </row>
    <row r="232" spans="2:13" s="50" customFormat="1">
      <c r="B232" s="55">
        <v>20</v>
      </c>
      <c r="C232" s="56" t="s">
        <v>34</v>
      </c>
      <c r="D232" s="57" t="s">
        <v>5064</v>
      </c>
      <c r="E232" s="56" t="s">
        <v>5291</v>
      </c>
      <c r="F232" s="57" t="s">
        <v>5421</v>
      </c>
      <c r="G232" s="57" t="s">
        <v>5536</v>
      </c>
      <c r="H232" s="55">
        <v>450</v>
      </c>
      <c r="I232" s="56">
        <f t="shared" si="18"/>
        <v>486.00000000000006</v>
      </c>
      <c r="J232" s="58">
        <f t="shared" si="19"/>
        <v>486.00000000000006</v>
      </c>
      <c r="K232" s="58">
        <f t="shared" si="16"/>
        <v>0</v>
      </c>
      <c r="L232" s="58">
        <f t="shared" si="17"/>
        <v>0</v>
      </c>
      <c r="M232" s="55"/>
    </row>
    <row r="233" spans="2:13" s="50" customFormat="1">
      <c r="B233" s="55">
        <v>20</v>
      </c>
      <c r="C233" s="56" t="s">
        <v>34</v>
      </c>
      <c r="D233" s="57" t="s">
        <v>5065</v>
      </c>
      <c r="E233" s="56" t="s">
        <v>5292</v>
      </c>
      <c r="F233" s="57" t="s">
        <v>5422</v>
      </c>
      <c r="G233" s="57" t="s">
        <v>5537</v>
      </c>
      <c r="H233" s="55">
        <v>19</v>
      </c>
      <c r="I233" s="56">
        <f t="shared" si="18"/>
        <v>576</v>
      </c>
      <c r="J233" s="58">
        <f t="shared" si="19"/>
        <v>608</v>
      </c>
      <c r="K233" s="58">
        <f t="shared" si="16"/>
        <v>-1</v>
      </c>
      <c r="L233" s="58">
        <f t="shared" si="17"/>
        <v>-32</v>
      </c>
      <c r="M233" s="55"/>
    </row>
    <row r="234" spans="2:13" s="50" customFormat="1">
      <c r="B234" s="55">
        <v>20</v>
      </c>
      <c r="C234" s="56" t="s">
        <v>34</v>
      </c>
      <c r="D234" s="57" t="s">
        <v>5066</v>
      </c>
      <c r="E234" s="56" t="s">
        <v>5293</v>
      </c>
      <c r="F234" s="57" t="s">
        <v>5423</v>
      </c>
      <c r="G234" s="57" t="s">
        <v>5538</v>
      </c>
      <c r="H234" s="55">
        <v>94</v>
      </c>
      <c r="I234" s="56">
        <f t="shared" si="18"/>
        <v>3128</v>
      </c>
      <c r="J234" s="58">
        <f t="shared" si="19"/>
        <v>3196</v>
      </c>
      <c r="K234" s="58">
        <f t="shared" si="16"/>
        <v>-2</v>
      </c>
      <c r="L234" s="58">
        <f t="shared" si="17"/>
        <v>-68</v>
      </c>
      <c r="M234" s="55"/>
    </row>
    <row r="235" spans="2:13" s="50" customFormat="1">
      <c r="B235" s="55">
        <v>20</v>
      </c>
      <c r="C235" s="56" t="s">
        <v>34</v>
      </c>
      <c r="D235" s="57" t="s">
        <v>5067</v>
      </c>
      <c r="E235" s="56" t="s">
        <v>5294</v>
      </c>
      <c r="F235" s="57" t="s">
        <v>5424</v>
      </c>
      <c r="G235" s="57" t="s">
        <v>5539</v>
      </c>
      <c r="H235" s="55">
        <v>49</v>
      </c>
      <c r="I235" s="56">
        <f t="shared" si="18"/>
        <v>1274</v>
      </c>
      <c r="J235" s="58">
        <f t="shared" si="19"/>
        <v>1274</v>
      </c>
      <c r="K235" s="58">
        <f t="shared" si="16"/>
        <v>0</v>
      </c>
      <c r="L235" s="58">
        <f t="shared" si="17"/>
        <v>0</v>
      </c>
      <c r="M235" s="55"/>
    </row>
    <row r="236" spans="2:13">
      <c r="B236" s="19" t="s">
        <v>12</v>
      </c>
      <c r="C236" s="20"/>
      <c r="D236" s="26"/>
      <c r="E236" s="20"/>
      <c r="F236" s="42"/>
      <c r="G236" s="28">
        <f t="shared" ref="G236:L236" si="20">SUM(G6:G235)</f>
        <v>57</v>
      </c>
      <c r="H236" s="28">
        <f t="shared" si="20"/>
        <v>37145</v>
      </c>
      <c r="I236" s="28">
        <f t="shared" si="20"/>
        <v>521523.46</v>
      </c>
      <c r="J236" s="60">
        <f t="shared" si="20"/>
        <v>528684.06000000006</v>
      </c>
      <c r="K236" s="28">
        <f t="shared" si="20"/>
        <v>-936</v>
      </c>
      <c r="L236" s="28">
        <f t="shared" si="20"/>
        <v>-7160.6000000000013</v>
      </c>
      <c r="M236" s="26"/>
    </row>
    <row r="238" spans="2:13">
      <c r="B238" s="21" t="s">
        <v>13</v>
      </c>
      <c r="C238" s="21"/>
      <c r="D238" s="1" t="s">
        <v>14</v>
      </c>
      <c r="E238" s="10" t="s">
        <v>15</v>
      </c>
      <c r="F238" s="372" t="s">
        <v>16</v>
      </c>
      <c r="G238" s="372"/>
      <c r="H238" s="372"/>
      <c r="I238" s="373"/>
    </row>
    <row r="239" spans="2:13">
      <c r="B239" s="374" t="s">
        <v>17</v>
      </c>
      <c r="C239" s="375"/>
      <c r="D239" s="22">
        <f>I236</f>
        <v>521523.46</v>
      </c>
      <c r="E239" s="23">
        <f>G236</f>
        <v>57</v>
      </c>
      <c r="F239" s="376" t="s">
        <v>36</v>
      </c>
      <c r="G239" s="376"/>
      <c r="H239" s="376"/>
      <c r="I239" s="377"/>
    </row>
    <row r="240" spans="2:13">
      <c r="B240" s="374" t="s">
        <v>6</v>
      </c>
      <c r="C240" s="375"/>
      <c r="D240" s="22">
        <f>J236</f>
        <v>528684.06000000006</v>
      </c>
      <c r="E240" s="23">
        <f>H236</f>
        <v>37145</v>
      </c>
      <c r="F240" s="378"/>
      <c r="G240" s="378"/>
      <c r="H240" s="378"/>
      <c r="I240" s="379"/>
    </row>
    <row r="241" spans="2:9">
      <c r="B241" s="21" t="s">
        <v>18</v>
      </c>
      <c r="C241" s="21"/>
      <c r="D241" s="24">
        <f>D239-D240</f>
        <v>-7160.6000000000349</v>
      </c>
      <c r="E241" s="25">
        <f>E239-E240</f>
        <v>-37088</v>
      </c>
      <c r="F241" s="380"/>
      <c r="G241" s="380"/>
      <c r="H241" s="380"/>
      <c r="I241" s="381"/>
    </row>
    <row r="243" spans="2:9">
      <c r="B243" s="2" t="s">
        <v>19</v>
      </c>
      <c r="C243" s="2"/>
      <c r="E243" s="2" t="s">
        <v>20</v>
      </c>
      <c r="F243" s="43"/>
      <c r="H243" s="40" t="s">
        <v>21</v>
      </c>
    </row>
    <row r="244" spans="2:9">
      <c r="B244" s="2"/>
      <c r="C244" s="2"/>
      <c r="E244" s="2"/>
      <c r="F244" s="43"/>
      <c r="H244" s="40"/>
    </row>
    <row r="245" spans="2:9">
      <c r="B245" s="371" t="s">
        <v>3839</v>
      </c>
      <c r="C245" s="371"/>
      <c r="E245" s="144" t="s">
        <v>3689</v>
      </c>
      <c r="F245" s="44"/>
      <c r="H245" s="371" t="s">
        <v>35</v>
      </c>
      <c r="I245" s="371"/>
    </row>
    <row r="246" spans="2:9">
      <c r="B246" s="370" t="s">
        <v>22</v>
      </c>
      <c r="C246" s="370"/>
      <c r="E246" s="146" t="s">
        <v>3692</v>
      </c>
      <c r="H246" s="370" t="s">
        <v>23</v>
      </c>
      <c r="I246" s="370"/>
    </row>
    <row r="249" spans="2:9">
      <c r="B249" s="2" t="s">
        <v>24</v>
      </c>
      <c r="C249" s="5"/>
      <c r="H249" s="40" t="s">
        <v>25</v>
      </c>
    </row>
    <row r="250" spans="2:9">
      <c r="B250" s="2"/>
      <c r="C250" s="5"/>
      <c r="H250" s="40"/>
    </row>
    <row r="251" spans="2:9">
      <c r="B251" s="239" t="s">
        <v>3843</v>
      </c>
      <c r="C251" s="239"/>
      <c r="D251" s="239"/>
      <c r="E251" s="7"/>
      <c r="H251" s="371" t="s">
        <v>26</v>
      </c>
      <c r="I251" s="371"/>
    </row>
    <row r="252" spans="2:9">
      <c r="B252" s="240" t="s">
        <v>3693</v>
      </c>
      <c r="C252" s="240"/>
      <c r="D252" s="240"/>
      <c r="E252" s="7"/>
      <c r="H252" s="370" t="s">
        <v>27</v>
      </c>
      <c r="I252" s="370"/>
    </row>
  </sheetData>
  <autoFilter ref="B5:X236" xr:uid="{00000000-0001-0000-0700-000000000000}"/>
  <mergeCells count="10">
    <mergeCell ref="B246:C246"/>
    <mergeCell ref="H246:I246"/>
    <mergeCell ref="H251:I251"/>
    <mergeCell ref="H252:I252"/>
    <mergeCell ref="F238:I238"/>
    <mergeCell ref="B239:C239"/>
    <mergeCell ref="F239:I241"/>
    <mergeCell ref="B240:C240"/>
    <mergeCell ref="B245:C245"/>
    <mergeCell ref="H245:I245"/>
  </mergeCells>
  <pageMargins left="0.7" right="0.7" top="0.25" bottom="0.25" header="0.3" footer="0.3"/>
  <pageSetup paperSize="14" scale="67" fitToHeight="0" orientation="landscape" r:id="rId1"/>
  <rowBreaks count="2" manualBreakCount="2">
    <brk id="58" max="12" man="1"/>
    <brk id="235" max="1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  <pageSetUpPr fitToPage="1"/>
  </sheetPr>
  <dimension ref="A1:L39"/>
  <sheetViews>
    <sheetView showGridLines="0" view="pageBreakPreview" zoomScale="115" zoomScaleNormal="115" zoomScaleSheetLayoutView="115" workbookViewId="0">
      <selection activeCell="N31" sqref="N31"/>
    </sheetView>
  </sheetViews>
  <sheetFormatPr defaultColWidth="9" defaultRowHeight="15"/>
  <cols>
    <col min="2" max="2" width="9.85546875" customWidth="1"/>
    <col min="3" max="3" width="52.85546875" customWidth="1"/>
    <col min="4" max="6" width="12.7109375" style="6" customWidth="1"/>
    <col min="7" max="8" width="12.7109375" hidden="1" customWidth="1"/>
    <col min="9" max="10" width="12.7109375" customWidth="1"/>
    <col min="11" max="12" width="0" hidden="1" customWidth="1"/>
  </cols>
  <sheetData>
    <row r="1" spans="1:12">
      <c r="A1" s="2" t="s">
        <v>37</v>
      </c>
      <c r="B1" s="2"/>
      <c r="D1"/>
      <c r="E1"/>
      <c r="F1"/>
      <c r="K1" s="6"/>
      <c r="L1" s="6"/>
    </row>
    <row r="2" spans="1:12" ht="12.75" customHeight="1">
      <c r="A2" t="str">
        <f>PRINTING!B2</f>
        <v>AS OF JULY 2026</v>
      </c>
      <c r="D2"/>
      <c r="E2"/>
      <c r="F2"/>
      <c r="K2" s="6"/>
      <c r="L2" s="6"/>
    </row>
    <row r="3" spans="1:12" ht="12.75" customHeight="1">
      <c r="B3" s="12" t="s">
        <v>28</v>
      </c>
    </row>
    <row r="4" spans="1:12" s="45" customFormat="1" ht="15.75" customHeight="1">
      <c r="B4" s="46" t="s">
        <v>32</v>
      </c>
      <c r="C4" s="39" t="s">
        <v>4</v>
      </c>
      <c r="D4" s="47" t="s">
        <v>5</v>
      </c>
      <c r="E4" s="48" t="s">
        <v>33</v>
      </c>
      <c r="F4" s="48" t="s">
        <v>6</v>
      </c>
      <c r="G4" s="48" t="s">
        <v>7</v>
      </c>
      <c r="H4" s="47" t="s">
        <v>8</v>
      </c>
      <c r="I4" s="39" t="s">
        <v>9</v>
      </c>
      <c r="J4" s="39" t="s">
        <v>10</v>
      </c>
    </row>
    <row r="5" spans="1:12" s="35" customFormat="1" ht="15" customHeight="1">
      <c r="B5" s="57" t="s">
        <v>4861</v>
      </c>
      <c r="C5" s="56" t="s">
        <v>5088</v>
      </c>
      <c r="D5" s="57" t="s">
        <v>5310</v>
      </c>
      <c r="E5" s="57" t="s">
        <v>5442</v>
      </c>
      <c r="F5" s="55">
        <v>300</v>
      </c>
      <c r="G5" s="56">
        <v>23976</v>
      </c>
      <c r="H5" s="58">
        <v>24300</v>
      </c>
      <c r="I5" s="58">
        <v>-4</v>
      </c>
      <c r="J5" s="58">
        <v>-324</v>
      </c>
    </row>
    <row r="6" spans="1:12" s="35" customFormat="1" ht="15" customHeight="1">
      <c r="B6" s="57" t="s">
        <v>4862</v>
      </c>
      <c r="C6" s="56" t="s">
        <v>5089</v>
      </c>
      <c r="D6" s="57" t="s">
        <v>5311</v>
      </c>
      <c r="E6" s="57" t="s">
        <v>5443</v>
      </c>
      <c r="F6" s="55">
        <v>90</v>
      </c>
      <c r="G6" s="56">
        <v>7844.7</v>
      </c>
      <c r="H6" s="58">
        <v>8937</v>
      </c>
      <c r="I6" s="58">
        <v>-11</v>
      </c>
      <c r="J6" s="58">
        <v>-1092.3000000000002</v>
      </c>
    </row>
    <row r="7" spans="1:12" s="35" customFormat="1" ht="15" customHeight="1">
      <c r="B7" s="57" t="s">
        <v>4863</v>
      </c>
      <c r="C7" s="56" t="s">
        <v>5090</v>
      </c>
      <c r="D7" s="57" t="s">
        <v>5312</v>
      </c>
      <c r="E7" s="57" t="s">
        <v>5444</v>
      </c>
      <c r="F7" s="55">
        <v>113</v>
      </c>
      <c r="G7" s="56">
        <v>9240</v>
      </c>
      <c r="H7" s="58">
        <v>9492</v>
      </c>
      <c r="I7" s="58">
        <v>-3</v>
      </c>
      <c r="J7" s="58">
        <v>-252</v>
      </c>
    </row>
    <row r="8" spans="1:12" s="35" customFormat="1" ht="15" customHeight="1">
      <c r="B8" s="57" t="s">
        <v>4865</v>
      </c>
      <c r="C8" s="56" t="s">
        <v>5092</v>
      </c>
      <c r="D8" s="57" t="s">
        <v>5301</v>
      </c>
      <c r="E8" s="57" t="s">
        <v>5446</v>
      </c>
      <c r="F8" s="55">
        <v>2000</v>
      </c>
      <c r="G8" s="56">
        <v>7960</v>
      </c>
      <c r="H8" s="58">
        <v>8000</v>
      </c>
      <c r="I8" s="58">
        <v>-10</v>
      </c>
      <c r="J8" s="58">
        <v>-40</v>
      </c>
    </row>
    <row r="9" spans="1:12" s="35" customFormat="1" ht="15" customHeight="1">
      <c r="B9" s="57" t="s">
        <v>4867</v>
      </c>
      <c r="C9" s="56" t="s">
        <v>5094</v>
      </c>
      <c r="D9" s="57" t="s">
        <v>5301</v>
      </c>
      <c r="E9" s="57" t="s">
        <v>5448</v>
      </c>
      <c r="F9" s="55">
        <v>750</v>
      </c>
      <c r="G9" s="56">
        <v>2992</v>
      </c>
      <c r="H9" s="58">
        <v>3000</v>
      </c>
      <c r="I9" s="58">
        <v>-2</v>
      </c>
      <c r="J9" s="58">
        <v>-8</v>
      </c>
    </row>
    <row r="10" spans="1:12" s="35" customFormat="1" ht="15" customHeight="1">
      <c r="B10" s="57" t="s">
        <v>4879</v>
      </c>
      <c r="C10" s="56" t="s">
        <v>5106</v>
      </c>
      <c r="D10" s="57" t="s">
        <v>5323</v>
      </c>
      <c r="E10" s="57" t="s">
        <v>5456</v>
      </c>
      <c r="F10" s="55">
        <v>4000</v>
      </c>
      <c r="G10" s="56">
        <v>5475</v>
      </c>
      <c r="H10" s="58">
        <v>6000</v>
      </c>
      <c r="I10" s="58">
        <v>-350</v>
      </c>
      <c r="J10" s="58">
        <v>-525</v>
      </c>
    </row>
    <row r="11" spans="1:12" s="35" customFormat="1" ht="15" customHeight="1">
      <c r="B11" s="57" t="s">
        <v>4918</v>
      </c>
      <c r="C11" s="56" t="s">
        <v>5145</v>
      </c>
      <c r="D11" s="57" t="s">
        <v>5349</v>
      </c>
      <c r="E11" s="57" t="s">
        <v>5475</v>
      </c>
      <c r="F11" s="55">
        <v>226</v>
      </c>
      <c r="G11" s="56">
        <v>3233.5</v>
      </c>
      <c r="H11" s="58">
        <v>3277</v>
      </c>
      <c r="I11" s="58">
        <v>-3</v>
      </c>
      <c r="J11" s="58">
        <v>-43.5</v>
      </c>
    </row>
    <row r="12" spans="1:12" s="35" customFormat="1" ht="15" customHeight="1">
      <c r="B12" s="57" t="s">
        <v>4943</v>
      </c>
      <c r="C12" s="56" t="s">
        <v>5170</v>
      </c>
      <c r="D12" s="57" t="s">
        <v>5359</v>
      </c>
      <c r="E12" s="57" t="s">
        <v>5489</v>
      </c>
      <c r="F12" s="55">
        <v>2630</v>
      </c>
      <c r="G12" s="56">
        <v>5802.3</v>
      </c>
      <c r="H12" s="58">
        <v>7101.0000000000009</v>
      </c>
      <c r="I12" s="58">
        <v>-481</v>
      </c>
      <c r="J12" s="58">
        <v>-1298.7000000000007</v>
      </c>
    </row>
    <row r="13" spans="1:12" s="35" customFormat="1" ht="15" customHeight="1">
      <c r="B13" s="57" t="s">
        <v>4946</v>
      </c>
      <c r="C13" s="56" t="s">
        <v>5173</v>
      </c>
      <c r="D13" s="57" t="s">
        <v>5360</v>
      </c>
      <c r="E13" s="57" t="s">
        <v>5491</v>
      </c>
      <c r="F13" s="55">
        <v>3213</v>
      </c>
      <c r="G13" s="56">
        <v>8892.7999999999993</v>
      </c>
      <c r="H13" s="58">
        <v>8996.4</v>
      </c>
      <c r="I13" s="58">
        <v>-37</v>
      </c>
      <c r="J13" s="58">
        <v>-103.60000000000036</v>
      </c>
    </row>
    <row r="14" spans="1:12" s="35" customFormat="1" ht="15" customHeight="1">
      <c r="B14" s="57" t="s">
        <v>4983</v>
      </c>
      <c r="C14" s="56" t="s">
        <v>5210</v>
      </c>
      <c r="D14" s="57" t="s">
        <v>5338</v>
      </c>
      <c r="E14" s="57" t="s">
        <v>5503</v>
      </c>
      <c r="F14" s="55">
        <v>98</v>
      </c>
      <c r="G14" s="56">
        <v>1260</v>
      </c>
      <c r="H14" s="58">
        <v>1470</v>
      </c>
      <c r="I14" s="58">
        <v>-14</v>
      </c>
      <c r="J14" s="58">
        <v>-210</v>
      </c>
    </row>
    <row r="15" spans="1:12" s="35" customFormat="1" ht="15" customHeight="1">
      <c r="B15" s="57" t="s">
        <v>4988</v>
      </c>
      <c r="C15" s="56" t="s">
        <v>5215</v>
      </c>
      <c r="D15" s="57" t="s">
        <v>5308</v>
      </c>
      <c r="E15" s="57" t="s">
        <v>5506</v>
      </c>
      <c r="F15" s="55">
        <v>76</v>
      </c>
      <c r="G15" s="56">
        <v>9280</v>
      </c>
      <c r="H15" s="58">
        <v>11020</v>
      </c>
      <c r="I15" s="58">
        <v>-12</v>
      </c>
      <c r="J15" s="58">
        <v>-1740</v>
      </c>
    </row>
    <row r="16" spans="1:12" s="35" customFormat="1" ht="15" customHeight="1">
      <c r="B16" s="57" t="s">
        <v>5000</v>
      </c>
      <c r="C16" s="56" t="s">
        <v>5227</v>
      </c>
      <c r="D16" s="57" t="s">
        <v>5391</v>
      </c>
      <c r="E16" s="57">
        <v>49</v>
      </c>
      <c r="F16" s="55">
        <v>60</v>
      </c>
      <c r="G16" s="56">
        <v>6174</v>
      </c>
      <c r="H16" s="58">
        <v>7560</v>
      </c>
      <c r="I16" s="58">
        <v>-11</v>
      </c>
      <c r="J16" s="58">
        <v>-1386</v>
      </c>
    </row>
    <row r="17" spans="2:12" s="35" customFormat="1" ht="15" customHeight="1">
      <c r="B17" s="57" t="s">
        <v>5002</v>
      </c>
      <c r="C17" s="56" t="s">
        <v>5229</v>
      </c>
      <c r="D17" s="57" t="s">
        <v>5392</v>
      </c>
      <c r="E17" s="57" t="s">
        <v>5515</v>
      </c>
      <c r="F17" s="55">
        <v>46</v>
      </c>
      <c r="G17" s="56">
        <v>1608.75</v>
      </c>
      <c r="H17" s="58">
        <v>1644.5</v>
      </c>
      <c r="I17" s="58">
        <v>-1</v>
      </c>
      <c r="J17" s="58">
        <v>-35.75</v>
      </c>
    </row>
    <row r="18" spans="2:12" s="35" customFormat="1" ht="15" customHeight="1">
      <c r="B18" s="57" t="s">
        <v>5006</v>
      </c>
      <c r="C18" s="56" t="s">
        <v>5233</v>
      </c>
      <c r="D18" s="57" t="s">
        <v>5393</v>
      </c>
      <c r="E18" s="57" t="s">
        <v>5472</v>
      </c>
      <c r="F18" s="55">
        <v>81</v>
      </c>
      <c r="G18" s="56">
        <v>4420</v>
      </c>
      <c r="H18" s="58">
        <v>4475.25</v>
      </c>
      <c r="I18" s="58">
        <v>-1</v>
      </c>
      <c r="J18" s="58">
        <v>-55.25</v>
      </c>
    </row>
    <row r="19" spans="2:12" s="35" customFormat="1" ht="15" customHeight="1">
      <c r="B19" s="57" t="s">
        <v>5065</v>
      </c>
      <c r="C19" s="56" t="s">
        <v>5292</v>
      </c>
      <c r="D19" s="57" t="s">
        <v>5422</v>
      </c>
      <c r="E19" s="57" t="s">
        <v>5537</v>
      </c>
      <c r="F19" s="55">
        <v>19</v>
      </c>
      <c r="G19" s="56">
        <v>576</v>
      </c>
      <c r="H19" s="58">
        <v>608</v>
      </c>
      <c r="I19" s="58">
        <v>-1</v>
      </c>
      <c r="J19" s="58">
        <v>-32</v>
      </c>
    </row>
    <row r="20" spans="2:12" s="35" customFormat="1" ht="15" customHeight="1">
      <c r="B20" s="57" t="s">
        <v>5066</v>
      </c>
      <c r="C20" s="56" t="s">
        <v>5293</v>
      </c>
      <c r="D20" s="57" t="s">
        <v>5423</v>
      </c>
      <c r="E20" s="57" t="s">
        <v>5538</v>
      </c>
      <c r="F20" s="55">
        <v>94</v>
      </c>
      <c r="G20" s="56">
        <v>3128</v>
      </c>
      <c r="H20" s="58">
        <v>3196</v>
      </c>
      <c r="I20" s="58">
        <v>-2</v>
      </c>
      <c r="J20" s="58">
        <v>-68</v>
      </c>
    </row>
    <row r="21" spans="2:12" ht="15" customHeight="1">
      <c r="B21" s="13"/>
      <c r="C21" s="14"/>
      <c r="D21" s="15"/>
      <c r="E21" s="15">
        <f t="shared" ref="E21:I21" si="0">SUM(E5:E20)</f>
        <v>49</v>
      </c>
      <c r="F21" s="15">
        <f t="shared" si="0"/>
        <v>13796</v>
      </c>
      <c r="G21" s="15">
        <f t="shared" si="0"/>
        <v>101863.05</v>
      </c>
      <c r="H21" s="15">
        <f t="shared" si="0"/>
        <v>109077.15</v>
      </c>
      <c r="I21" s="15">
        <f t="shared" si="0"/>
        <v>-943</v>
      </c>
      <c r="J21" s="15">
        <f>SUM(J5:J20)</f>
        <v>-7214.1000000000013</v>
      </c>
    </row>
    <row r="22" spans="2:12" ht="19.5" customHeight="1">
      <c r="I22" s="17"/>
    </row>
    <row r="23" spans="2:12" ht="20.100000000000001" hidden="1" customHeight="1">
      <c r="B23" s="29" t="s">
        <v>29</v>
      </c>
      <c r="I23" s="17"/>
    </row>
    <row r="24" spans="2:12" ht="20.100000000000001" hidden="1" customHeight="1">
      <c r="B24" s="36" t="s">
        <v>3</v>
      </c>
      <c r="C24" s="30" t="s">
        <v>4</v>
      </c>
      <c r="D24" s="37" t="s">
        <v>5</v>
      </c>
      <c r="E24" s="37"/>
      <c r="F24" s="37"/>
      <c r="G24" s="30" t="s">
        <v>11</v>
      </c>
      <c r="I24" s="17"/>
    </row>
    <row r="25" spans="2:12" ht="20.100000000000001" hidden="1" customHeight="1">
      <c r="B25" s="33"/>
      <c r="C25" s="33"/>
      <c r="D25" s="38"/>
      <c r="E25" s="38"/>
      <c r="F25" s="38"/>
      <c r="G25" s="34"/>
      <c r="I25" s="17"/>
    </row>
    <row r="26" spans="2:12" ht="9" hidden="1" customHeight="1">
      <c r="B26" s="13"/>
      <c r="C26" s="14"/>
      <c r="D26" s="15"/>
      <c r="E26" s="15"/>
      <c r="F26" s="15"/>
      <c r="G26" s="16">
        <f>SUM(G25:G25)</f>
        <v>0</v>
      </c>
      <c r="I26" s="17"/>
    </row>
    <row r="27" spans="2:12" s="11" customFormat="1" ht="12.75" customHeight="1">
      <c r="B27" s="29" t="s">
        <v>30</v>
      </c>
      <c r="C27"/>
      <c r="D27" s="6"/>
      <c r="E27" s="6"/>
      <c r="F27" s="6"/>
      <c r="G27"/>
    </row>
    <row r="28" spans="2:12" s="45" customFormat="1" ht="13.5" customHeight="1">
      <c r="B28" s="46" t="s">
        <v>32</v>
      </c>
      <c r="C28" s="39" t="s">
        <v>4</v>
      </c>
      <c r="D28" s="47" t="s">
        <v>5</v>
      </c>
      <c r="E28" s="48" t="s">
        <v>33</v>
      </c>
      <c r="F28" s="48" t="s">
        <v>6</v>
      </c>
      <c r="G28" s="48" t="s">
        <v>7</v>
      </c>
      <c r="H28" s="47" t="s">
        <v>8</v>
      </c>
      <c r="I28" s="39" t="s">
        <v>9</v>
      </c>
      <c r="J28" s="39" t="s">
        <v>10</v>
      </c>
      <c r="K28" s="39" t="s">
        <v>38</v>
      </c>
      <c r="L28" s="39" t="s">
        <v>10</v>
      </c>
    </row>
    <row r="29" spans="2:12" s="35" customFormat="1">
      <c r="B29" s="57" t="s">
        <v>4927</v>
      </c>
      <c r="C29" s="56" t="s">
        <v>5154</v>
      </c>
      <c r="D29" s="57" t="s">
        <v>5349</v>
      </c>
      <c r="E29" s="57" t="s">
        <v>5478</v>
      </c>
      <c r="F29" s="55">
        <v>66</v>
      </c>
      <c r="G29" s="56">
        <v>971.5</v>
      </c>
      <c r="H29" s="58">
        <v>957</v>
      </c>
      <c r="I29" s="58">
        <v>1</v>
      </c>
      <c r="J29" s="58">
        <v>14.5</v>
      </c>
      <c r="K29" s="58">
        <v>20</v>
      </c>
      <c r="L29" s="58">
        <f>I29*K29</f>
        <v>20</v>
      </c>
    </row>
    <row r="30" spans="2:12">
      <c r="B30" s="57" t="s">
        <v>4959</v>
      </c>
      <c r="C30" s="56" t="s">
        <v>5186</v>
      </c>
      <c r="D30" s="57" t="s">
        <v>5369</v>
      </c>
      <c r="E30" s="57" t="s">
        <v>5494</v>
      </c>
      <c r="F30" s="55">
        <v>1434</v>
      </c>
      <c r="G30" s="56">
        <v>9360</v>
      </c>
      <c r="H30" s="58">
        <v>9321</v>
      </c>
      <c r="I30" s="58">
        <v>6</v>
      </c>
      <c r="J30" s="58">
        <v>39</v>
      </c>
      <c r="K30" s="58">
        <v>10</v>
      </c>
      <c r="L30" s="58">
        <f>I30*K30</f>
        <v>60</v>
      </c>
    </row>
    <row r="31" spans="2:12">
      <c r="B31" s="13"/>
      <c r="C31" s="14"/>
      <c r="D31" s="15"/>
      <c r="E31" s="15">
        <f t="shared" ref="E31:J31" si="1">SUM(E29:E30)</f>
        <v>0</v>
      </c>
      <c r="F31" s="15">
        <f t="shared" si="1"/>
        <v>1500</v>
      </c>
      <c r="G31" s="15">
        <f t="shared" si="1"/>
        <v>10331.5</v>
      </c>
      <c r="H31" s="15">
        <f t="shared" si="1"/>
        <v>10278</v>
      </c>
      <c r="I31" s="15">
        <f t="shared" si="1"/>
        <v>7</v>
      </c>
      <c r="J31" s="15">
        <f t="shared" si="1"/>
        <v>53.5</v>
      </c>
      <c r="K31" s="15">
        <f t="shared" ref="K31:L31" si="2">SUM(K29:K30)</f>
        <v>30</v>
      </c>
      <c r="L31" s="15">
        <f t="shared" si="2"/>
        <v>80</v>
      </c>
    </row>
    <row r="34" spans="2:9">
      <c r="B34" s="29" t="s">
        <v>30</v>
      </c>
      <c r="H34" s="11"/>
      <c r="I34" s="11"/>
    </row>
    <row r="35" spans="2:9" ht="16.5">
      <c r="B35" s="46" t="s">
        <v>3</v>
      </c>
      <c r="C35" s="39" t="s">
        <v>4</v>
      </c>
      <c r="D35" s="9" t="s">
        <v>38</v>
      </c>
      <c r="E35" s="48" t="s">
        <v>33</v>
      </c>
      <c r="F35" s="48" t="s">
        <v>6</v>
      </c>
      <c r="G35" s="48" t="s">
        <v>9</v>
      </c>
      <c r="H35" s="47" t="s">
        <v>10</v>
      </c>
      <c r="I35" s="39" t="s">
        <v>11</v>
      </c>
    </row>
    <row r="36" spans="2:9">
      <c r="B36" s="51"/>
      <c r="C36" s="51"/>
      <c r="D36" s="52"/>
      <c r="E36" s="52"/>
      <c r="F36" s="53"/>
      <c r="G36" s="54"/>
      <c r="H36" s="54"/>
      <c r="I36" s="49"/>
    </row>
    <row r="37" spans="2:9">
      <c r="B37" s="51"/>
      <c r="C37" s="51"/>
      <c r="D37" s="52"/>
      <c r="E37" s="52"/>
      <c r="F37" s="53"/>
      <c r="G37" s="54"/>
      <c r="H37" s="54"/>
      <c r="I37" s="49"/>
    </row>
    <row r="38" spans="2:9">
      <c r="B38" s="51"/>
      <c r="C38" s="51"/>
      <c r="D38" s="52"/>
      <c r="E38" s="52"/>
      <c r="F38" s="53"/>
      <c r="G38" s="54"/>
      <c r="H38" s="54"/>
      <c r="I38" s="49"/>
    </row>
    <row r="39" spans="2:9">
      <c r="B39" s="13"/>
      <c r="C39" s="14"/>
      <c r="D39" s="15"/>
      <c r="E39" s="15"/>
      <c r="F39" s="15"/>
      <c r="G39" s="15">
        <f>SUM(G36:G38)</f>
        <v>0</v>
      </c>
      <c r="H39" s="15">
        <f>SUM(H36:H38)</f>
        <v>0</v>
      </c>
      <c r="I39" s="16"/>
    </row>
  </sheetData>
  <pageMargins left="0.7" right="0.7" top="0.25" bottom="0.25" header="0.3" footer="0.3"/>
  <pageSetup paperSize="14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589D-7AB8-46BD-8DD3-0091F11C2218}">
  <sheetPr filterMode="1">
    <tabColor rgb="FFFFFF00"/>
    <pageSetUpPr fitToPage="1"/>
  </sheetPr>
  <dimension ref="A1:AE2081"/>
  <sheetViews>
    <sheetView view="pageBreakPreview" zoomScale="55" zoomScaleNormal="70" zoomScaleSheetLayoutView="55" workbookViewId="0">
      <selection activeCell="R2062" sqref="D13:R2062"/>
    </sheetView>
  </sheetViews>
  <sheetFormatPr defaultColWidth="9" defaultRowHeight="15"/>
  <cols>
    <col min="2" max="2" width="8.140625" customWidth="1"/>
    <col min="3" max="3" width="20.140625" customWidth="1"/>
    <col min="4" max="4" width="29" style="324" customWidth="1"/>
    <col min="5" max="5" width="75.28515625" style="11" customWidth="1"/>
    <col min="6" max="6" width="9.28515625" style="41" customWidth="1"/>
    <col min="7" max="8" width="10.7109375" style="66" customWidth="1"/>
    <col min="9" max="9" width="10.7109375" style="294" customWidth="1"/>
    <col min="10" max="12" width="10.7109375" style="66" customWidth="1"/>
    <col min="13" max="13" width="10.7109375" style="329" customWidth="1"/>
    <col min="14" max="14" width="15" style="393" hidden="1" customWidth="1"/>
    <col min="15" max="15" width="18.7109375" style="393" hidden="1" customWidth="1"/>
    <col min="16" max="16" width="12.28515625" style="294" customWidth="1"/>
    <col min="17" max="17" width="15" style="393" customWidth="1"/>
    <col min="18" max="18" width="29.7109375" customWidth="1"/>
    <col min="19" max="20" width="6.7109375" style="68" customWidth="1"/>
    <col min="22" max="22" width="17.28515625" customWidth="1"/>
    <col min="24" max="24" width="16.7109375" customWidth="1"/>
    <col min="26" max="26" width="15.140625" customWidth="1"/>
    <col min="28" max="28" width="17.85546875" customWidth="1"/>
    <col min="30" max="30" width="9.5703125" bestFit="1" customWidth="1"/>
    <col min="31" max="31" width="11.7109375" bestFit="1" customWidth="1"/>
  </cols>
  <sheetData>
    <row r="1" spans="2:31">
      <c r="B1" s="7" t="s">
        <v>0</v>
      </c>
    </row>
    <row r="2" spans="2:31">
      <c r="B2" s="7" t="str">
        <f>PRINTING!B2</f>
        <v>AS OF JULY 2026</v>
      </c>
      <c r="D2" s="197"/>
    </row>
    <row r="3" spans="2:31">
      <c r="B3" s="8" t="s">
        <v>40</v>
      </c>
    </row>
    <row r="4" spans="2:31">
      <c r="U4" s="383" t="s">
        <v>41</v>
      </c>
      <c r="V4" s="383"/>
      <c r="W4" s="382" t="s">
        <v>42</v>
      </c>
      <c r="X4" s="382"/>
      <c r="Y4" s="383" t="s">
        <v>43</v>
      </c>
      <c r="Z4" s="383"/>
      <c r="AA4" s="382" t="s">
        <v>44</v>
      </c>
      <c r="AB4" s="382"/>
      <c r="AD4" s="72" t="s">
        <v>45</v>
      </c>
    </row>
    <row r="5" spans="2:31" s="68" customFormat="1" ht="28.5" customHeight="1">
      <c r="B5" s="73" t="s">
        <v>1</v>
      </c>
      <c r="C5" s="73" t="s">
        <v>2</v>
      </c>
      <c r="D5" s="74" t="s">
        <v>3</v>
      </c>
      <c r="E5" s="73" t="s">
        <v>4</v>
      </c>
      <c r="F5" s="9" t="s">
        <v>5</v>
      </c>
      <c r="G5" s="75" t="s">
        <v>3845</v>
      </c>
      <c r="H5" s="48" t="s">
        <v>3710</v>
      </c>
      <c r="I5" s="226" t="s">
        <v>3773</v>
      </c>
      <c r="J5" s="226" t="s">
        <v>3711</v>
      </c>
      <c r="K5" s="226" t="s">
        <v>46</v>
      </c>
      <c r="L5" s="75" t="s">
        <v>12</v>
      </c>
      <c r="M5" s="330" t="s">
        <v>6</v>
      </c>
      <c r="N5" s="9" t="s">
        <v>7</v>
      </c>
      <c r="O5" s="9" t="s">
        <v>8</v>
      </c>
      <c r="P5" s="75" t="s">
        <v>9</v>
      </c>
      <c r="Q5" s="9" t="s">
        <v>10</v>
      </c>
      <c r="R5" s="73" t="s">
        <v>11</v>
      </c>
      <c r="U5" s="70" t="s">
        <v>47</v>
      </c>
      <c r="V5" s="70" t="s">
        <v>39</v>
      </c>
      <c r="W5" s="71" t="s">
        <v>47</v>
      </c>
      <c r="X5" s="71" t="s">
        <v>39</v>
      </c>
      <c r="Y5" s="70" t="s">
        <v>47</v>
      </c>
      <c r="Z5" s="70" t="s">
        <v>39</v>
      </c>
      <c r="AA5" s="71" t="s">
        <v>47</v>
      </c>
      <c r="AB5" s="71" t="s">
        <v>39</v>
      </c>
      <c r="AD5" s="76" t="s">
        <v>47</v>
      </c>
      <c r="AE5" s="76" t="s">
        <v>48</v>
      </c>
    </row>
    <row r="6" spans="2:31" ht="20.100000000000001" hidden="1" customHeight="1">
      <c r="B6" s="77">
        <v>1</v>
      </c>
      <c r="C6" s="78" t="s">
        <v>49</v>
      </c>
      <c r="D6" s="79" t="s">
        <v>50</v>
      </c>
      <c r="E6" s="80" t="s">
        <v>51</v>
      </c>
      <c r="F6" s="81">
        <v>18.53</v>
      </c>
      <c r="G6" s="222">
        <v>1</v>
      </c>
      <c r="H6" s="186"/>
      <c r="I6" s="186"/>
      <c r="J6" s="308"/>
      <c r="K6" s="227">
        <v>1</v>
      </c>
      <c r="L6" s="82">
        <f>G6+I6-J6-K6+H6</f>
        <v>0</v>
      </c>
      <c r="M6" s="331"/>
      <c r="N6" s="161">
        <f>F6*L6</f>
        <v>0</v>
      </c>
      <c r="O6" s="161">
        <f>M6*F6</f>
        <v>0</v>
      </c>
      <c r="P6" s="187">
        <f>L6-M6</f>
        <v>0</v>
      </c>
      <c r="Q6" s="161">
        <f>N6-O6</f>
        <v>0</v>
      </c>
      <c r="R6" s="232"/>
      <c r="S6" s="86">
        <f>U6+Y6+W6+AA6</f>
        <v>5</v>
      </c>
      <c r="T6" s="87">
        <f t="shared" ref="T6" si="0">M6-S6</f>
        <v>-5</v>
      </c>
      <c r="U6">
        <v>5</v>
      </c>
      <c r="Y6" s="88"/>
    </row>
    <row r="7" spans="2:31" ht="20.100000000000001" hidden="1" customHeight="1">
      <c r="B7" s="77">
        <v>1</v>
      </c>
      <c r="C7" s="78" t="s">
        <v>49</v>
      </c>
      <c r="D7" s="79" t="s">
        <v>50</v>
      </c>
      <c r="E7" s="80" t="s">
        <v>51</v>
      </c>
      <c r="F7" s="316">
        <v>19.100000000000001</v>
      </c>
      <c r="G7" s="222"/>
      <c r="H7" s="186"/>
      <c r="I7" s="186">
        <v>40</v>
      </c>
      <c r="J7" s="308"/>
      <c r="K7" s="227">
        <v>15</v>
      </c>
      <c r="L7" s="82">
        <f>G7+I7-J7-K7+H7</f>
        <v>25</v>
      </c>
      <c r="M7" s="331">
        <v>25</v>
      </c>
      <c r="N7" s="161">
        <f>F7*L7</f>
        <v>477.50000000000006</v>
      </c>
      <c r="O7" s="161">
        <f>M7*F7</f>
        <v>477.50000000000006</v>
      </c>
      <c r="P7" s="187">
        <f>L7-M7</f>
        <v>0</v>
      </c>
      <c r="Q7" s="161">
        <f>N7-O7</f>
        <v>0</v>
      </c>
      <c r="R7" s="232"/>
      <c r="S7" s="86">
        <f>U7+Y7+W7+AA7</f>
        <v>5</v>
      </c>
      <c r="T7" s="87">
        <f t="shared" ref="T7:T71" si="1">M7-S7</f>
        <v>20</v>
      </c>
      <c r="U7">
        <v>5</v>
      </c>
      <c r="Y7" s="88"/>
    </row>
    <row r="8" spans="2:31" ht="20.100000000000001" hidden="1" customHeight="1">
      <c r="B8" s="77">
        <v>1</v>
      </c>
      <c r="C8" s="78" t="s">
        <v>49</v>
      </c>
      <c r="D8" s="79" t="s">
        <v>3812</v>
      </c>
      <c r="E8" s="80" t="s">
        <v>52</v>
      </c>
      <c r="F8" s="81">
        <v>16.03</v>
      </c>
      <c r="G8" s="222">
        <v>15</v>
      </c>
      <c r="H8" s="186"/>
      <c r="I8" s="186"/>
      <c r="J8" s="308"/>
      <c r="K8" s="227">
        <v>3</v>
      </c>
      <c r="L8" s="82">
        <f t="shared" ref="L8:L79" si="2">G8+I8-J8-K8+H8</f>
        <v>12</v>
      </c>
      <c r="M8" s="331">
        <v>12</v>
      </c>
      <c r="N8" s="161">
        <f t="shared" ref="N8:N72" si="3">F8*L8</f>
        <v>192.36</v>
      </c>
      <c r="O8" s="161">
        <f t="shared" ref="O8:O72" si="4">M8*F8</f>
        <v>192.36</v>
      </c>
      <c r="P8" s="187">
        <f t="shared" ref="P8:P72" si="5">L8-M8</f>
        <v>0</v>
      </c>
      <c r="Q8" s="161">
        <f t="shared" ref="Q8:Q72" si="6">N8-O8</f>
        <v>0</v>
      </c>
      <c r="R8" s="85"/>
      <c r="S8" s="86">
        <f t="shared" ref="S8:S72" si="7">U8+Y8+W8+AA8</f>
        <v>26</v>
      </c>
      <c r="T8" s="87">
        <f t="shared" si="1"/>
        <v>-14</v>
      </c>
      <c r="U8">
        <v>26</v>
      </c>
    </row>
    <row r="9" spans="2:31" ht="20.100000000000001" hidden="1" customHeight="1">
      <c r="B9" s="77">
        <v>1</v>
      </c>
      <c r="C9" s="78" t="s">
        <v>49</v>
      </c>
      <c r="D9" s="79" t="s">
        <v>53</v>
      </c>
      <c r="E9" s="80" t="s">
        <v>54</v>
      </c>
      <c r="F9" s="81">
        <v>16.03</v>
      </c>
      <c r="G9" s="222">
        <v>12</v>
      </c>
      <c r="H9" s="186"/>
      <c r="I9" s="186"/>
      <c r="J9" s="308"/>
      <c r="K9" s="227">
        <v>5</v>
      </c>
      <c r="L9" s="82">
        <f t="shared" si="2"/>
        <v>7</v>
      </c>
      <c r="M9" s="331">
        <f>5+2</f>
        <v>7</v>
      </c>
      <c r="N9" s="161">
        <f t="shared" si="3"/>
        <v>112.21000000000001</v>
      </c>
      <c r="O9" s="161">
        <f t="shared" si="4"/>
        <v>112.21000000000001</v>
      </c>
      <c r="P9" s="187">
        <f t="shared" si="5"/>
        <v>0</v>
      </c>
      <c r="Q9" s="161">
        <f t="shared" si="6"/>
        <v>0</v>
      </c>
      <c r="R9" s="85"/>
      <c r="S9" s="86">
        <f t="shared" si="7"/>
        <v>23</v>
      </c>
      <c r="T9" s="87">
        <f t="shared" si="1"/>
        <v>-16</v>
      </c>
      <c r="U9">
        <v>23</v>
      </c>
    </row>
    <row r="10" spans="2:31" ht="20.100000000000001" hidden="1" customHeight="1">
      <c r="B10" s="77">
        <v>1</v>
      </c>
      <c r="C10" s="78" t="s">
        <v>49</v>
      </c>
      <c r="D10" s="79" t="s">
        <v>55</v>
      </c>
      <c r="E10" s="80" t="s">
        <v>56</v>
      </c>
      <c r="F10" s="315">
        <v>16.84</v>
      </c>
      <c r="G10" s="222">
        <v>65</v>
      </c>
      <c r="H10" s="186"/>
      <c r="I10" s="186"/>
      <c r="J10" s="308"/>
      <c r="K10" s="227">
        <v>3</v>
      </c>
      <c r="L10" s="82">
        <f t="shared" si="2"/>
        <v>62</v>
      </c>
      <c r="M10" s="331">
        <f>27+35</f>
        <v>62</v>
      </c>
      <c r="N10" s="161">
        <f t="shared" si="3"/>
        <v>1044.08</v>
      </c>
      <c r="O10" s="161">
        <f t="shared" si="4"/>
        <v>1044.08</v>
      </c>
      <c r="P10" s="187">
        <f t="shared" si="5"/>
        <v>0</v>
      </c>
      <c r="Q10" s="161">
        <f t="shared" si="6"/>
        <v>0</v>
      </c>
      <c r="R10" s="85"/>
      <c r="S10" s="86">
        <f t="shared" si="7"/>
        <v>33</v>
      </c>
      <c r="T10" s="87">
        <f t="shared" si="1"/>
        <v>29</v>
      </c>
      <c r="U10">
        <v>33</v>
      </c>
    </row>
    <row r="11" spans="2:31" ht="20.100000000000001" hidden="1" customHeight="1">
      <c r="B11" s="77">
        <v>1</v>
      </c>
      <c r="C11" s="78" t="s">
        <v>49</v>
      </c>
      <c r="D11" s="79" t="s">
        <v>57</v>
      </c>
      <c r="E11" s="80" t="s">
        <v>58</v>
      </c>
      <c r="F11" s="81">
        <v>16.03</v>
      </c>
      <c r="G11" s="222">
        <v>24</v>
      </c>
      <c r="H11" s="186"/>
      <c r="I11" s="186"/>
      <c r="J11" s="308"/>
      <c r="K11" s="227">
        <v>1</v>
      </c>
      <c r="L11" s="82">
        <f t="shared" si="2"/>
        <v>23</v>
      </c>
      <c r="M11" s="331">
        <v>23</v>
      </c>
      <c r="N11" s="161">
        <f t="shared" si="3"/>
        <v>368.69000000000005</v>
      </c>
      <c r="O11" s="161">
        <f t="shared" si="4"/>
        <v>368.69000000000005</v>
      </c>
      <c r="P11" s="187">
        <f t="shared" si="5"/>
        <v>0</v>
      </c>
      <c r="Q11" s="161">
        <f t="shared" si="6"/>
        <v>0</v>
      </c>
      <c r="R11" s="85"/>
      <c r="S11" s="86">
        <f t="shared" si="7"/>
        <v>27</v>
      </c>
      <c r="T11" s="87">
        <f t="shared" si="1"/>
        <v>-4</v>
      </c>
      <c r="U11">
        <v>27</v>
      </c>
    </row>
    <row r="12" spans="2:31" ht="20.100000000000001" hidden="1" customHeight="1">
      <c r="B12" s="77">
        <v>1</v>
      </c>
      <c r="C12" s="78" t="s">
        <v>49</v>
      </c>
      <c r="D12" s="79" t="s">
        <v>59</v>
      </c>
      <c r="E12" s="80" t="s">
        <v>60</v>
      </c>
      <c r="F12" s="273">
        <v>18.88</v>
      </c>
      <c r="G12" s="222"/>
      <c r="H12" s="186"/>
      <c r="I12" s="186">
        <v>20</v>
      </c>
      <c r="J12" s="308"/>
      <c r="K12" s="227">
        <v>4</v>
      </c>
      <c r="L12" s="82">
        <f t="shared" si="2"/>
        <v>16</v>
      </c>
      <c r="M12" s="331">
        <v>16</v>
      </c>
      <c r="N12" s="161">
        <f t="shared" si="3"/>
        <v>302.08</v>
      </c>
      <c r="O12" s="161">
        <f t="shared" si="4"/>
        <v>302.08</v>
      </c>
      <c r="P12" s="187">
        <f t="shared" si="5"/>
        <v>0</v>
      </c>
      <c r="Q12" s="161">
        <f t="shared" si="6"/>
        <v>0</v>
      </c>
      <c r="R12" s="232"/>
      <c r="S12" s="86">
        <f t="shared" si="7"/>
        <v>5</v>
      </c>
      <c r="T12" s="87">
        <f t="shared" si="1"/>
        <v>11</v>
      </c>
      <c r="U12">
        <v>5</v>
      </c>
    </row>
    <row r="13" spans="2:31" ht="20.100000000000001" customHeight="1">
      <c r="B13" s="77">
        <v>1</v>
      </c>
      <c r="C13" s="78" t="s">
        <v>49</v>
      </c>
      <c r="D13" s="79" t="s">
        <v>61</v>
      </c>
      <c r="E13" s="80" t="s">
        <v>62</v>
      </c>
      <c r="F13" s="81">
        <v>16.03</v>
      </c>
      <c r="G13" s="222">
        <v>56</v>
      </c>
      <c r="H13" s="186"/>
      <c r="I13" s="186"/>
      <c r="J13" s="308"/>
      <c r="K13" s="227">
        <v>2</v>
      </c>
      <c r="L13" s="82">
        <f t="shared" si="2"/>
        <v>54</v>
      </c>
      <c r="M13" s="331">
        <v>53</v>
      </c>
      <c r="N13" s="161">
        <f t="shared" si="3"/>
        <v>865.62000000000012</v>
      </c>
      <c r="O13" s="161">
        <f>M13*F13</f>
        <v>849.59</v>
      </c>
      <c r="P13" s="187">
        <f t="shared" si="5"/>
        <v>1</v>
      </c>
      <c r="Q13" s="161">
        <f t="shared" si="6"/>
        <v>16.030000000000086</v>
      </c>
      <c r="R13" s="85"/>
      <c r="S13" s="86">
        <f t="shared" si="7"/>
        <v>19</v>
      </c>
      <c r="T13" s="87">
        <f t="shared" si="1"/>
        <v>34</v>
      </c>
      <c r="U13">
        <v>19</v>
      </c>
    </row>
    <row r="14" spans="2:31" ht="20.100000000000001" hidden="1" customHeight="1">
      <c r="B14" s="77">
        <v>1</v>
      </c>
      <c r="C14" s="78" t="s">
        <v>49</v>
      </c>
      <c r="D14" s="79" t="s">
        <v>63</v>
      </c>
      <c r="E14" s="80" t="s">
        <v>64</v>
      </c>
      <c r="F14" s="81">
        <v>16.03</v>
      </c>
      <c r="G14" s="222"/>
      <c r="H14" s="186"/>
      <c r="I14" s="186"/>
      <c r="J14" s="308"/>
      <c r="K14" s="227"/>
      <c r="L14" s="82">
        <f t="shared" si="2"/>
        <v>0</v>
      </c>
      <c r="M14" s="331"/>
      <c r="N14" s="161">
        <f t="shared" si="3"/>
        <v>0</v>
      </c>
      <c r="O14" s="161">
        <f t="shared" si="4"/>
        <v>0</v>
      </c>
      <c r="P14" s="187">
        <f t="shared" si="5"/>
        <v>0</v>
      </c>
      <c r="Q14" s="161">
        <f t="shared" si="6"/>
        <v>0</v>
      </c>
      <c r="R14" s="85"/>
      <c r="S14" s="86">
        <f t="shared" si="7"/>
        <v>0</v>
      </c>
      <c r="T14" s="87">
        <f t="shared" si="1"/>
        <v>0</v>
      </c>
    </row>
    <row r="15" spans="2:31" ht="20.100000000000001" hidden="1" customHeight="1">
      <c r="B15" s="77">
        <v>1</v>
      </c>
      <c r="C15" s="78" t="s">
        <v>49</v>
      </c>
      <c r="D15" s="79" t="s">
        <v>65</v>
      </c>
      <c r="E15" s="80" t="s">
        <v>66</v>
      </c>
      <c r="F15" s="81">
        <v>32.130000000000003</v>
      </c>
      <c r="G15" s="222">
        <v>30</v>
      </c>
      <c r="H15" s="186"/>
      <c r="I15" s="186"/>
      <c r="J15" s="308"/>
      <c r="K15" s="227"/>
      <c r="L15" s="82">
        <f t="shared" ref="L15" si="8">G15+I15-J15-K15+H15</f>
        <v>30</v>
      </c>
      <c r="M15" s="331">
        <v>30</v>
      </c>
      <c r="N15" s="161">
        <f t="shared" ref="N15" si="9">F15*L15</f>
        <v>963.90000000000009</v>
      </c>
      <c r="O15" s="161">
        <f t="shared" ref="O15" si="10">M15*F15</f>
        <v>963.90000000000009</v>
      </c>
      <c r="P15" s="187">
        <f t="shared" ref="P15" si="11">L15-M15</f>
        <v>0</v>
      </c>
      <c r="Q15" s="161">
        <f t="shared" ref="Q15" si="12">N15-O15</f>
        <v>0</v>
      </c>
      <c r="R15" s="85" t="s">
        <v>67</v>
      </c>
      <c r="S15" s="86">
        <f t="shared" ref="S15" si="13">U15+Y15+W15+AA15</f>
        <v>4</v>
      </c>
      <c r="T15" s="87">
        <f t="shared" ref="T15" si="14">M15-S15</f>
        <v>26</v>
      </c>
      <c r="U15">
        <v>4</v>
      </c>
    </row>
    <row r="16" spans="2:31" ht="20.100000000000001" hidden="1" customHeight="1">
      <c r="B16" s="77">
        <v>1</v>
      </c>
      <c r="C16" s="78" t="s">
        <v>49</v>
      </c>
      <c r="D16" s="79" t="s">
        <v>65</v>
      </c>
      <c r="E16" s="80" t="s">
        <v>66</v>
      </c>
      <c r="F16" s="273">
        <v>33.75</v>
      </c>
      <c r="G16" s="222"/>
      <c r="H16" s="186"/>
      <c r="I16" s="186">
        <v>20</v>
      </c>
      <c r="J16" s="308"/>
      <c r="K16" s="227">
        <v>8</v>
      </c>
      <c r="L16" s="82">
        <f t="shared" si="2"/>
        <v>12</v>
      </c>
      <c r="M16" s="331">
        <v>12</v>
      </c>
      <c r="N16" s="161">
        <f t="shared" si="3"/>
        <v>405</v>
      </c>
      <c r="O16" s="161">
        <f t="shared" si="4"/>
        <v>405</v>
      </c>
      <c r="P16" s="187">
        <f t="shared" si="5"/>
        <v>0</v>
      </c>
      <c r="Q16" s="161">
        <f t="shared" si="6"/>
        <v>0</v>
      </c>
      <c r="R16" s="85" t="s">
        <v>67</v>
      </c>
      <c r="S16" s="86">
        <f t="shared" si="7"/>
        <v>4</v>
      </c>
      <c r="T16" s="87">
        <f t="shared" si="1"/>
        <v>8</v>
      </c>
      <c r="U16">
        <v>4</v>
      </c>
    </row>
    <row r="17" spans="2:31" ht="20.100000000000001" hidden="1" customHeight="1">
      <c r="B17" s="77">
        <v>1</v>
      </c>
      <c r="C17" s="78" t="s">
        <v>49</v>
      </c>
      <c r="D17" s="79" t="s">
        <v>68</v>
      </c>
      <c r="E17" s="80" t="s">
        <v>69</v>
      </c>
      <c r="F17" s="81">
        <v>18.53</v>
      </c>
      <c r="G17" s="222">
        <v>12</v>
      </c>
      <c r="H17" s="186"/>
      <c r="I17" s="186"/>
      <c r="J17" s="308"/>
      <c r="K17" s="227">
        <v>10</v>
      </c>
      <c r="L17" s="82">
        <f t="shared" si="2"/>
        <v>2</v>
      </c>
      <c r="M17" s="331">
        <v>2</v>
      </c>
      <c r="N17" s="161">
        <f t="shared" si="3"/>
        <v>37.06</v>
      </c>
      <c r="O17" s="161">
        <f t="shared" si="4"/>
        <v>37.06</v>
      </c>
      <c r="P17" s="187">
        <f t="shared" si="5"/>
        <v>0</v>
      </c>
      <c r="Q17" s="161">
        <f t="shared" si="6"/>
        <v>0</v>
      </c>
      <c r="R17" s="85"/>
      <c r="S17" s="86">
        <f t="shared" si="7"/>
        <v>27</v>
      </c>
      <c r="T17" s="87">
        <f t="shared" si="1"/>
        <v>-25</v>
      </c>
      <c r="U17">
        <v>27</v>
      </c>
    </row>
    <row r="18" spans="2:31" ht="20.100000000000001" hidden="1" customHeight="1">
      <c r="B18" s="77">
        <v>1</v>
      </c>
      <c r="C18" s="78" t="s">
        <v>49</v>
      </c>
      <c r="D18" s="79" t="s">
        <v>70</v>
      </c>
      <c r="E18" s="80" t="s">
        <v>71</v>
      </c>
      <c r="F18" s="81">
        <v>6.18</v>
      </c>
      <c r="G18" s="222">
        <v>91</v>
      </c>
      <c r="H18" s="186"/>
      <c r="I18" s="186"/>
      <c r="J18" s="308"/>
      <c r="K18" s="227"/>
      <c r="L18" s="82">
        <f t="shared" si="2"/>
        <v>91</v>
      </c>
      <c r="M18" s="331">
        <v>91</v>
      </c>
      <c r="N18" s="161">
        <f t="shared" si="3"/>
        <v>562.38</v>
      </c>
      <c r="O18" s="161">
        <f t="shared" si="4"/>
        <v>562.38</v>
      </c>
      <c r="P18" s="187">
        <f t="shared" si="5"/>
        <v>0</v>
      </c>
      <c r="Q18" s="161">
        <f t="shared" si="6"/>
        <v>0</v>
      </c>
      <c r="R18" s="232"/>
      <c r="S18" s="86">
        <f t="shared" si="7"/>
        <v>94</v>
      </c>
      <c r="T18" s="87">
        <f t="shared" si="1"/>
        <v>-3</v>
      </c>
      <c r="U18">
        <v>6</v>
      </c>
      <c r="W18">
        <f>37+50+1</f>
        <v>88</v>
      </c>
      <c r="X18" t="s">
        <v>72</v>
      </c>
      <c r="AD18">
        <v>50</v>
      </c>
      <c r="AE18" s="89">
        <f>AD18*F18</f>
        <v>309</v>
      </c>
    </row>
    <row r="19" spans="2:31" ht="20.100000000000001" hidden="1" customHeight="1">
      <c r="B19" s="77">
        <v>1</v>
      </c>
      <c r="C19" s="78" t="s">
        <v>49</v>
      </c>
      <c r="D19" s="79" t="s">
        <v>73</v>
      </c>
      <c r="E19" s="80" t="s">
        <v>74</v>
      </c>
      <c r="F19" s="81">
        <v>51.54</v>
      </c>
      <c r="G19" s="222">
        <v>1</v>
      </c>
      <c r="H19" s="186"/>
      <c r="I19" s="186"/>
      <c r="J19" s="308"/>
      <c r="K19" s="227"/>
      <c r="L19" s="82">
        <f t="shared" si="2"/>
        <v>1</v>
      </c>
      <c r="M19" s="331">
        <v>1</v>
      </c>
      <c r="N19" s="161">
        <f t="shared" si="3"/>
        <v>51.54</v>
      </c>
      <c r="O19" s="161">
        <f t="shared" si="4"/>
        <v>51.54</v>
      </c>
      <c r="P19" s="187">
        <f t="shared" si="5"/>
        <v>0</v>
      </c>
      <c r="Q19" s="161">
        <f t="shared" si="6"/>
        <v>0</v>
      </c>
      <c r="R19" s="85"/>
      <c r="S19" s="86">
        <f t="shared" si="7"/>
        <v>1</v>
      </c>
      <c r="T19" s="87">
        <f t="shared" si="1"/>
        <v>0</v>
      </c>
      <c r="U19">
        <v>1</v>
      </c>
    </row>
    <row r="20" spans="2:31" ht="20.100000000000001" hidden="1" customHeight="1">
      <c r="B20" s="77">
        <v>1</v>
      </c>
      <c r="C20" s="78" t="s">
        <v>49</v>
      </c>
      <c r="D20" s="79" t="s">
        <v>75</v>
      </c>
      <c r="E20" s="80" t="s">
        <v>76</v>
      </c>
      <c r="F20" s="81">
        <v>7.4</v>
      </c>
      <c r="G20" s="222">
        <v>10</v>
      </c>
      <c r="H20" s="186"/>
      <c r="I20" s="186"/>
      <c r="J20" s="308"/>
      <c r="K20" s="227"/>
      <c r="L20" s="82">
        <f t="shared" ref="L20" si="15">G20+I20-J20-K20+H20</f>
        <v>10</v>
      </c>
      <c r="M20" s="331">
        <v>10</v>
      </c>
      <c r="N20" s="161">
        <f t="shared" ref="N20" si="16">F20*L20</f>
        <v>74</v>
      </c>
      <c r="O20" s="161">
        <f t="shared" ref="O20" si="17">M20*F20</f>
        <v>74</v>
      </c>
      <c r="P20" s="187">
        <f t="shared" ref="P20" si="18">L20-M20</f>
        <v>0</v>
      </c>
      <c r="Q20" s="161">
        <f t="shared" ref="Q20" si="19">N20-O20</f>
        <v>0</v>
      </c>
      <c r="R20" s="85"/>
      <c r="S20" s="86">
        <f t="shared" ref="S20" si="20">U20+Y20+W20+AA20</f>
        <v>10</v>
      </c>
      <c r="T20" s="87">
        <f t="shared" ref="T20" si="21">M20-S20</f>
        <v>0</v>
      </c>
      <c r="U20">
        <v>10</v>
      </c>
    </row>
    <row r="21" spans="2:31" ht="20.100000000000001" hidden="1" customHeight="1">
      <c r="B21" s="77">
        <v>1</v>
      </c>
      <c r="C21" s="78" t="s">
        <v>49</v>
      </c>
      <c r="D21" s="79" t="s">
        <v>75</v>
      </c>
      <c r="E21" s="80" t="s">
        <v>76</v>
      </c>
      <c r="F21" s="257">
        <v>7.7484999999999999</v>
      </c>
      <c r="G21" s="222"/>
      <c r="H21" s="186"/>
      <c r="I21" s="186">
        <v>20</v>
      </c>
      <c r="J21" s="308"/>
      <c r="K21" s="227">
        <v>3</v>
      </c>
      <c r="L21" s="82">
        <f t="shared" si="2"/>
        <v>17</v>
      </c>
      <c r="M21" s="331">
        <v>17</v>
      </c>
      <c r="N21" s="161">
        <f t="shared" si="3"/>
        <v>131.72450000000001</v>
      </c>
      <c r="O21" s="161">
        <f t="shared" si="4"/>
        <v>131.72450000000001</v>
      </c>
      <c r="P21" s="187">
        <f t="shared" si="5"/>
        <v>0</v>
      </c>
      <c r="Q21" s="161">
        <f t="shared" si="6"/>
        <v>0</v>
      </c>
      <c r="R21" s="85"/>
      <c r="S21" s="86">
        <f t="shared" si="7"/>
        <v>10</v>
      </c>
      <c r="T21" s="87">
        <f t="shared" si="1"/>
        <v>7</v>
      </c>
      <c r="U21">
        <v>10</v>
      </c>
    </row>
    <row r="22" spans="2:31" ht="20.100000000000001" hidden="1" customHeight="1">
      <c r="B22" s="77">
        <v>1</v>
      </c>
      <c r="C22" s="78" t="s">
        <v>49</v>
      </c>
      <c r="D22" s="79" t="s">
        <v>77</v>
      </c>
      <c r="E22" s="80" t="s">
        <v>78</v>
      </c>
      <c r="F22" s="81">
        <v>26.09</v>
      </c>
      <c r="G22" s="222">
        <v>17</v>
      </c>
      <c r="H22" s="186"/>
      <c r="I22" s="186"/>
      <c r="J22" s="308"/>
      <c r="K22" s="227">
        <v>1</v>
      </c>
      <c r="L22" s="82">
        <f t="shared" ref="L22" si="22">G22+I22-J22-K22+H22</f>
        <v>16</v>
      </c>
      <c r="M22" s="331">
        <v>17</v>
      </c>
      <c r="N22" s="161">
        <f t="shared" ref="N22" si="23">F22*L22</f>
        <v>417.44</v>
      </c>
      <c r="O22" s="161">
        <f t="shared" ref="O22" si="24">M22*F22</f>
        <v>443.53</v>
      </c>
      <c r="P22" s="187">
        <f t="shared" ref="P22" si="25">L22-M22</f>
        <v>-1</v>
      </c>
      <c r="Q22" s="161">
        <f t="shared" ref="Q22" si="26">N22-O22</f>
        <v>-26.089999999999975</v>
      </c>
      <c r="R22" s="85"/>
      <c r="S22" s="86">
        <f t="shared" ref="S22" si="27">U22+Y22+W22+AA22</f>
        <v>23</v>
      </c>
      <c r="T22" s="87">
        <f t="shared" ref="T22" si="28">M22-S22</f>
        <v>-6</v>
      </c>
      <c r="U22">
        <v>23</v>
      </c>
    </row>
    <row r="23" spans="2:31" ht="20.100000000000001" customHeight="1">
      <c r="B23" s="77">
        <v>1</v>
      </c>
      <c r="C23" s="78" t="s">
        <v>49</v>
      </c>
      <c r="D23" s="79" t="s">
        <v>77</v>
      </c>
      <c r="E23" s="80" t="s">
        <v>78</v>
      </c>
      <c r="F23" s="257">
        <v>28.196000000000002</v>
      </c>
      <c r="G23" s="222"/>
      <c r="H23" s="186"/>
      <c r="I23" s="186">
        <v>15</v>
      </c>
      <c r="J23" s="308"/>
      <c r="K23" s="227"/>
      <c r="L23" s="82">
        <f t="shared" si="2"/>
        <v>15</v>
      </c>
      <c r="M23" s="331">
        <v>14</v>
      </c>
      <c r="N23" s="161">
        <f t="shared" si="3"/>
        <v>422.94</v>
      </c>
      <c r="O23" s="161">
        <f t="shared" si="4"/>
        <v>394.74400000000003</v>
      </c>
      <c r="P23" s="187">
        <f t="shared" si="5"/>
        <v>1</v>
      </c>
      <c r="Q23" s="161">
        <f t="shared" si="6"/>
        <v>28.19599999999997</v>
      </c>
      <c r="R23" s="85"/>
      <c r="S23" s="86">
        <f t="shared" si="7"/>
        <v>23</v>
      </c>
      <c r="T23" s="87">
        <f t="shared" si="1"/>
        <v>-9</v>
      </c>
      <c r="U23">
        <v>23</v>
      </c>
    </row>
    <row r="24" spans="2:31" ht="20.100000000000001" hidden="1" customHeight="1">
      <c r="B24" s="77">
        <v>1</v>
      </c>
      <c r="C24" s="78" t="s">
        <v>49</v>
      </c>
      <c r="D24" s="79" t="s">
        <v>79</v>
      </c>
      <c r="E24" s="80" t="s">
        <v>80</v>
      </c>
      <c r="F24" s="81">
        <v>7.4</v>
      </c>
      <c r="G24" s="222"/>
      <c r="H24" s="186"/>
      <c r="I24" s="186"/>
      <c r="J24" s="308"/>
      <c r="K24" s="227"/>
      <c r="L24" s="82">
        <f t="shared" si="2"/>
        <v>0</v>
      </c>
      <c r="M24" s="331"/>
      <c r="N24" s="161">
        <f t="shared" si="3"/>
        <v>0</v>
      </c>
      <c r="O24" s="161">
        <f t="shared" si="4"/>
        <v>0</v>
      </c>
      <c r="P24" s="187">
        <f t="shared" si="5"/>
        <v>0</v>
      </c>
      <c r="Q24" s="161">
        <f t="shared" si="6"/>
        <v>0</v>
      </c>
      <c r="R24" s="85"/>
      <c r="S24" s="86">
        <f t="shared" si="7"/>
        <v>0</v>
      </c>
      <c r="T24" s="87">
        <f t="shared" si="1"/>
        <v>0</v>
      </c>
    </row>
    <row r="25" spans="2:31" ht="20.100000000000001" hidden="1" customHeight="1">
      <c r="B25" s="77">
        <v>1</v>
      </c>
      <c r="C25" s="78" t="s">
        <v>49</v>
      </c>
      <c r="D25" s="79" t="s">
        <v>81</v>
      </c>
      <c r="E25" s="80" t="s">
        <v>82</v>
      </c>
      <c r="F25" s="81">
        <v>26.09</v>
      </c>
      <c r="G25" s="222">
        <v>10</v>
      </c>
      <c r="H25" s="186"/>
      <c r="I25" s="186"/>
      <c r="J25" s="308"/>
      <c r="K25" s="227"/>
      <c r="L25" s="82">
        <f t="shared" ref="L25" si="29">G25+I25-J25-K25+H25</f>
        <v>10</v>
      </c>
      <c r="M25" s="331">
        <v>10</v>
      </c>
      <c r="N25" s="161">
        <f t="shared" ref="N25" si="30">F25*L25</f>
        <v>260.89999999999998</v>
      </c>
      <c r="O25" s="161">
        <f t="shared" ref="O25" si="31">M25*F25</f>
        <v>260.89999999999998</v>
      </c>
      <c r="P25" s="187">
        <f t="shared" ref="P25" si="32">L25-M25</f>
        <v>0</v>
      </c>
      <c r="Q25" s="161">
        <f t="shared" ref="Q25" si="33">N25-O25</f>
        <v>0</v>
      </c>
      <c r="R25" s="85"/>
      <c r="S25" s="86">
        <f t="shared" ref="S25" si="34">U25+Y25+W25+AA25</f>
        <v>12</v>
      </c>
      <c r="T25" s="87">
        <f t="shared" ref="T25" si="35">M25-S25</f>
        <v>-2</v>
      </c>
      <c r="U25">
        <v>12</v>
      </c>
    </row>
    <row r="26" spans="2:31" ht="20.100000000000001" hidden="1" customHeight="1">
      <c r="B26" s="77">
        <v>1</v>
      </c>
      <c r="C26" s="78" t="s">
        <v>49</v>
      </c>
      <c r="D26" s="79" t="s">
        <v>81</v>
      </c>
      <c r="E26" s="80" t="s">
        <v>82</v>
      </c>
      <c r="F26" s="257">
        <v>28.196000000000002</v>
      </c>
      <c r="G26" s="222"/>
      <c r="H26" s="186"/>
      <c r="I26" s="186">
        <v>15</v>
      </c>
      <c r="J26" s="308"/>
      <c r="K26" s="227">
        <v>2</v>
      </c>
      <c r="L26" s="82">
        <f t="shared" si="2"/>
        <v>13</v>
      </c>
      <c r="M26" s="331">
        <v>13</v>
      </c>
      <c r="N26" s="161">
        <f t="shared" si="3"/>
        <v>366.548</v>
      </c>
      <c r="O26" s="161">
        <f t="shared" si="4"/>
        <v>366.548</v>
      </c>
      <c r="P26" s="187">
        <f t="shared" si="5"/>
        <v>0</v>
      </c>
      <c r="Q26" s="161">
        <f t="shared" si="6"/>
        <v>0</v>
      </c>
      <c r="R26" s="85"/>
      <c r="S26" s="86">
        <f t="shared" si="7"/>
        <v>12</v>
      </c>
      <c r="T26" s="87">
        <f t="shared" si="1"/>
        <v>1</v>
      </c>
      <c r="U26">
        <v>12</v>
      </c>
    </row>
    <row r="27" spans="2:31" ht="20.100000000000001" hidden="1" customHeight="1">
      <c r="B27" s="77">
        <v>1</v>
      </c>
      <c r="C27" s="78" t="s">
        <v>49</v>
      </c>
      <c r="D27" s="79" t="s">
        <v>83</v>
      </c>
      <c r="E27" s="80" t="s">
        <v>84</v>
      </c>
      <c r="F27" s="81">
        <v>17.100000000000001</v>
      </c>
      <c r="G27" s="222"/>
      <c r="H27" s="186"/>
      <c r="I27" s="186"/>
      <c r="J27" s="308"/>
      <c r="K27" s="227"/>
      <c r="L27" s="82">
        <f t="shared" si="2"/>
        <v>0</v>
      </c>
      <c r="M27" s="331"/>
      <c r="N27" s="161">
        <f t="shared" si="3"/>
        <v>0</v>
      </c>
      <c r="O27" s="161">
        <f t="shared" si="4"/>
        <v>0</v>
      </c>
      <c r="P27" s="187">
        <f t="shared" si="5"/>
        <v>0</v>
      </c>
      <c r="Q27" s="161">
        <f t="shared" si="6"/>
        <v>0</v>
      </c>
      <c r="R27" s="85"/>
      <c r="S27" s="86">
        <f t="shared" si="7"/>
        <v>0</v>
      </c>
      <c r="T27" s="87">
        <f t="shared" si="1"/>
        <v>0</v>
      </c>
    </row>
    <row r="28" spans="2:31" ht="20.100000000000001" hidden="1" customHeight="1">
      <c r="B28" s="77">
        <v>1</v>
      </c>
      <c r="C28" s="78" t="s">
        <v>49</v>
      </c>
      <c r="D28" s="79" t="s">
        <v>85</v>
      </c>
      <c r="E28" s="80" t="s">
        <v>86</v>
      </c>
      <c r="F28" s="81">
        <v>6.83</v>
      </c>
      <c r="G28" s="222">
        <v>28</v>
      </c>
      <c r="H28" s="186"/>
      <c r="I28" s="186"/>
      <c r="J28" s="308"/>
      <c r="K28" s="227"/>
      <c r="L28" s="82">
        <f t="shared" si="2"/>
        <v>28</v>
      </c>
      <c r="M28" s="331">
        <v>28</v>
      </c>
      <c r="N28" s="161">
        <f t="shared" si="3"/>
        <v>191.24</v>
      </c>
      <c r="O28" s="161">
        <f t="shared" si="4"/>
        <v>191.24</v>
      </c>
      <c r="P28" s="187">
        <f t="shared" si="5"/>
        <v>0</v>
      </c>
      <c r="Q28" s="161">
        <f t="shared" si="6"/>
        <v>0</v>
      </c>
      <c r="R28" s="232"/>
      <c r="S28" s="86">
        <f t="shared" si="7"/>
        <v>35</v>
      </c>
      <c r="T28" s="87">
        <f t="shared" si="1"/>
        <v>-7</v>
      </c>
      <c r="U28">
        <v>35</v>
      </c>
    </row>
    <row r="29" spans="2:31" ht="20.100000000000001" hidden="1" customHeight="1">
      <c r="B29" s="77">
        <v>1</v>
      </c>
      <c r="C29" s="78" t="s">
        <v>49</v>
      </c>
      <c r="D29" s="79" t="s">
        <v>87</v>
      </c>
      <c r="E29" s="80" t="s">
        <v>88</v>
      </c>
      <c r="F29" s="81">
        <v>19.399999999999999</v>
      </c>
      <c r="G29" s="222"/>
      <c r="H29" s="186"/>
      <c r="I29" s="186"/>
      <c r="J29" s="308"/>
      <c r="K29" s="227"/>
      <c r="L29" s="82">
        <f t="shared" si="2"/>
        <v>0</v>
      </c>
      <c r="M29" s="331"/>
      <c r="N29" s="161">
        <f t="shared" si="3"/>
        <v>0</v>
      </c>
      <c r="O29" s="161">
        <f t="shared" si="4"/>
        <v>0</v>
      </c>
      <c r="P29" s="187">
        <f t="shared" si="5"/>
        <v>0</v>
      </c>
      <c r="Q29" s="161">
        <f t="shared" si="6"/>
        <v>0</v>
      </c>
      <c r="R29" s="85"/>
      <c r="S29" s="86">
        <f t="shared" si="7"/>
        <v>0</v>
      </c>
      <c r="T29" s="87">
        <f t="shared" si="1"/>
        <v>0</v>
      </c>
    </row>
    <row r="30" spans="2:31" ht="20.100000000000001" hidden="1" customHeight="1">
      <c r="B30" s="77">
        <v>1</v>
      </c>
      <c r="C30" s="78" t="s">
        <v>49</v>
      </c>
      <c r="D30" s="79" t="s">
        <v>89</v>
      </c>
      <c r="E30" s="80" t="s">
        <v>90</v>
      </c>
      <c r="F30" s="81">
        <v>6.83</v>
      </c>
      <c r="G30" s="222">
        <v>29</v>
      </c>
      <c r="H30" s="186"/>
      <c r="I30" s="186"/>
      <c r="J30" s="308"/>
      <c r="K30" s="227"/>
      <c r="L30" s="82">
        <f t="shared" si="2"/>
        <v>29</v>
      </c>
      <c r="M30" s="331">
        <v>29</v>
      </c>
      <c r="N30" s="161">
        <f t="shared" si="3"/>
        <v>198.07</v>
      </c>
      <c r="O30" s="161">
        <f t="shared" si="4"/>
        <v>198.07</v>
      </c>
      <c r="P30" s="187">
        <f t="shared" si="5"/>
        <v>0</v>
      </c>
      <c r="Q30" s="161">
        <f t="shared" si="6"/>
        <v>0</v>
      </c>
      <c r="R30" s="85"/>
      <c r="S30" s="86">
        <f t="shared" si="7"/>
        <v>36</v>
      </c>
      <c r="T30" s="87">
        <f t="shared" si="1"/>
        <v>-7</v>
      </c>
      <c r="U30">
        <v>36</v>
      </c>
    </row>
    <row r="31" spans="2:31" ht="20.100000000000001" hidden="1" customHeight="1">
      <c r="B31" s="77">
        <v>1</v>
      </c>
      <c r="C31" s="78" t="s">
        <v>49</v>
      </c>
      <c r="D31" s="79" t="s">
        <v>92</v>
      </c>
      <c r="E31" s="80" t="s">
        <v>93</v>
      </c>
      <c r="F31" s="81">
        <v>19.399999999999999</v>
      </c>
      <c r="G31" s="222"/>
      <c r="H31" s="186"/>
      <c r="I31" s="186"/>
      <c r="J31" s="308"/>
      <c r="K31" s="227"/>
      <c r="L31" s="82">
        <f t="shared" si="2"/>
        <v>0</v>
      </c>
      <c r="M31" s="331"/>
      <c r="N31" s="161">
        <f t="shared" si="3"/>
        <v>0</v>
      </c>
      <c r="O31" s="161">
        <f t="shared" si="4"/>
        <v>0</v>
      </c>
      <c r="P31" s="187">
        <f t="shared" si="5"/>
        <v>0</v>
      </c>
      <c r="Q31" s="161">
        <f t="shared" si="6"/>
        <v>0</v>
      </c>
      <c r="R31" s="85"/>
      <c r="S31" s="86">
        <f t="shared" si="7"/>
        <v>0</v>
      </c>
      <c r="T31" s="87">
        <f t="shared" si="1"/>
        <v>0</v>
      </c>
    </row>
    <row r="32" spans="2:31" ht="20.100000000000001" hidden="1" customHeight="1">
      <c r="B32" s="77">
        <v>1</v>
      </c>
      <c r="C32" s="78" t="s">
        <v>49</v>
      </c>
      <c r="D32" s="79" t="s">
        <v>94</v>
      </c>
      <c r="E32" s="80" t="s">
        <v>95</v>
      </c>
      <c r="F32" s="81">
        <v>17.649999999999999</v>
      </c>
      <c r="G32" s="222">
        <v>2</v>
      </c>
      <c r="H32" s="186"/>
      <c r="I32" s="186"/>
      <c r="J32" s="308"/>
      <c r="K32" s="227">
        <v>1</v>
      </c>
      <c r="L32" s="82">
        <f t="shared" ref="L32" si="36">G32+I32-J32-K32+H32</f>
        <v>1</v>
      </c>
      <c r="M32" s="331">
        <v>1</v>
      </c>
      <c r="N32" s="161">
        <f t="shared" ref="N32" si="37">F32*L32</f>
        <v>17.649999999999999</v>
      </c>
      <c r="O32" s="161">
        <f t="shared" ref="O32" si="38">M32*F32</f>
        <v>17.649999999999999</v>
      </c>
      <c r="P32" s="187">
        <f t="shared" ref="P32" si="39">L32-M32</f>
        <v>0</v>
      </c>
      <c r="Q32" s="161">
        <f t="shared" ref="Q32" si="40">N32-O32</f>
        <v>0</v>
      </c>
      <c r="R32" s="232"/>
      <c r="S32" s="86">
        <f t="shared" ref="S32" si="41">U32+Y32+W32+AA32</f>
        <v>6</v>
      </c>
      <c r="T32" s="87">
        <f t="shared" ref="T32" si="42">M32-S32</f>
        <v>-5</v>
      </c>
      <c r="U32">
        <v>6</v>
      </c>
    </row>
    <row r="33" spans="2:31" ht="20.100000000000001" hidden="1" customHeight="1">
      <c r="B33" s="77">
        <v>1</v>
      </c>
      <c r="C33" s="78" t="s">
        <v>49</v>
      </c>
      <c r="D33" s="79" t="s">
        <v>94</v>
      </c>
      <c r="E33" s="80" t="s">
        <v>95</v>
      </c>
      <c r="F33" s="281">
        <v>18.649999999999999</v>
      </c>
      <c r="G33" s="222"/>
      <c r="H33" s="186"/>
      <c r="I33" s="186">
        <v>10</v>
      </c>
      <c r="J33" s="308"/>
      <c r="K33" s="227">
        <v>1</v>
      </c>
      <c r="L33" s="82">
        <f t="shared" si="2"/>
        <v>9</v>
      </c>
      <c r="M33" s="331">
        <v>9</v>
      </c>
      <c r="N33" s="161">
        <f t="shared" si="3"/>
        <v>167.85</v>
      </c>
      <c r="O33" s="161">
        <f t="shared" si="4"/>
        <v>167.85</v>
      </c>
      <c r="P33" s="187">
        <f t="shared" si="5"/>
        <v>0</v>
      </c>
      <c r="Q33" s="161">
        <f t="shared" si="6"/>
        <v>0</v>
      </c>
      <c r="R33" s="232"/>
      <c r="S33" s="86">
        <f t="shared" si="7"/>
        <v>6</v>
      </c>
      <c r="T33" s="87">
        <f t="shared" si="1"/>
        <v>3</v>
      </c>
      <c r="U33">
        <v>6</v>
      </c>
    </row>
    <row r="34" spans="2:31" ht="20.100000000000001" hidden="1" customHeight="1">
      <c r="B34" s="77">
        <v>1</v>
      </c>
      <c r="C34" s="78" t="s">
        <v>49</v>
      </c>
      <c r="D34" s="79" t="s">
        <v>96</v>
      </c>
      <c r="E34" s="80" t="s">
        <v>97</v>
      </c>
      <c r="F34" s="81">
        <v>17.649999999999999</v>
      </c>
      <c r="G34" s="222">
        <v>8</v>
      </c>
      <c r="H34" s="186"/>
      <c r="I34" s="186"/>
      <c r="J34" s="308"/>
      <c r="K34" s="227">
        <v>4</v>
      </c>
      <c r="L34" s="82">
        <f t="shared" ref="L34" si="43">G34+I34-J34-K34+H34</f>
        <v>4</v>
      </c>
      <c r="M34" s="331">
        <v>4</v>
      </c>
      <c r="N34" s="161">
        <f t="shared" ref="N34" si="44">F34*L34</f>
        <v>70.599999999999994</v>
      </c>
      <c r="O34" s="161">
        <f t="shared" ref="O34" si="45">M34*F34</f>
        <v>70.599999999999994</v>
      </c>
      <c r="P34" s="187">
        <f t="shared" ref="P34" si="46">L34-M34</f>
        <v>0</v>
      </c>
      <c r="Q34" s="161">
        <f t="shared" ref="Q34" si="47">N34-O34</f>
        <v>0</v>
      </c>
      <c r="R34" s="85"/>
      <c r="S34" s="86">
        <f t="shared" ref="S34" si="48">U34+Y34+W34+AA34</f>
        <v>10</v>
      </c>
      <c r="T34" s="87">
        <f t="shared" ref="T34" si="49">M34-S34</f>
        <v>-6</v>
      </c>
      <c r="U34">
        <v>10</v>
      </c>
    </row>
    <row r="35" spans="2:31" ht="20.100000000000001" hidden="1" customHeight="1">
      <c r="B35" s="77">
        <v>1</v>
      </c>
      <c r="C35" s="78" t="s">
        <v>49</v>
      </c>
      <c r="D35" s="79" t="s">
        <v>96</v>
      </c>
      <c r="E35" s="80" t="s">
        <v>97</v>
      </c>
      <c r="F35" s="273">
        <v>18.649999999999999</v>
      </c>
      <c r="G35" s="222"/>
      <c r="H35" s="186"/>
      <c r="I35" s="186">
        <v>10</v>
      </c>
      <c r="J35" s="308"/>
      <c r="K35" s="227">
        <v>1</v>
      </c>
      <c r="L35" s="82">
        <f t="shared" si="2"/>
        <v>9</v>
      </c>
      <c r="M35" s="331">
        <v>9</v>
      </c>
      <c r="N35" s="161">
        <f t="shared" si="3"/>
        <v>167.85</v>
      </c>
      <c r="O35" s="161">
        <f t="shared" si="4"/>
        <v>167.85</v>
      </c>
      <c r="P35" s="187">
        <f t="shared" si="5"/>
        <v>0</v>
      </c>
      <c r="Q35" s="161">
        <f t="shared" si="6"/>
        <v>0</v>
      </c>
      <c r="R35" s="85"/>
      <c r="S35" s="86">
        <f t="shared" si="7"/>
        <v>10</v>
      </c>
      <c r="T35" s="87">
        <f t="shared" si="1"/>
        <v>-1</v>
      </c>
      <c r="U35">
        <v>10</v>
      </c>
    </row>
    <row r="36" spans="2:31" ht="20.100000000000001" hidden="1" customHeight="1">
      <c r="B36" s="77">
        <v>1</v>
      </c>
      <c r="C36" s="78" t="s">
        <v>49</v>
      </c>
      <c r="D36" s="79" t="s">
        <v>98</v>
      </c>
      <c r="E36" s="80" t="s">
        <v>99</v>
      </c>
      <c r="F36" s="81">
        <v>17.649999999999999</v>
      </c>
      <c r="G36" s="222">
        <v>6</v>
      </c>
      <c r="H36" s="186"/>
      <c r="I36" s="186"/>
      <c r="J36" s="308"/>
      <c r="K36" s="227"/>
      <c r="L36" s="82">
        <f t="shared" ref="L36" si="50">G36+I36-J36-K36+H36</f>
        <v>6</v>
      </c>
      <c r="M36" s="331">
        <v>6</v>
      </c>
      <c r="N36" s="161">
        <f t="shared" ref="N36" si="51">F36*L36</f>
        <v>105.89999999999999</v>
      </c>
      <c r="O36" s="161">
        <f t="shared" ref="O36" si="52">M36*F36</f>
        <v>105.89999999999999</v>
      </c>
      <c r="P36" s="187">
        <f t="shared" ref="P36" si="53">L36-M36</f>
        <v>0</v>
      </c>
      <c r="Q36" s="161">
        <f t="shared" ref="Q36" si="54">N36-O36</f>
        <v>0</v>
      </c>
      <c r="R36" s="232"/>
      <c r="S36" s="86">
        <f t="shared" ref="S36" si="55">U36+Y36+W36+AA36</f>
        <v>1</v>
      </c>
      <c r="T36" s="87">
        <f t="shared" ref="T36" si="56">M36-S36</f>
        <v>5</v>
      </c>
      <c r="U36">
        <v>1</v>
      </c>
    </row>
    <row r="37" spans="2:31" ht="20.100000000000001" hidden="1" customHeight="1">
      <c r="B37" s="77">
        <v>1</v>
      </c>
      <c r="C37" s="78" t="s">
        <v>49</v>
      </c>
      <c r="D37" s="79" t="s">
        <v>98</v>
      </c>
      <c r="E37" s="80" t="s">
        <v>99</v>
      </c>
      <c r="F37" s="273">
        <v>18.649999999999999</v>
      </c>
      <c r="G37" s="222"/>
      <c r="H37" s="186"/>
      <c r="I37" s="186">
        <v>10</v>
      </c>
      <c r="J37" s="308"/>
      <c r="K37" s="227">
        <v>6</v>
      </c>
      <c r="L37" s="82">
        <f t="shared" si="2"/>
        <v>4</v>
      </c>
      <c r="M37" s="331">
        <v>4</v>
      </c>
      <c r="N37" s="161">
        <f t="shared" si="3"/>
        <v>74.599999999999994</v>
      </c>
      <c r="O37" s="161">
        <f t="shared" si="4"/>
        <v>74.599999999999994</v>
      </c>
      <c r="P37" s="187">
        <f t="shared" si="5"/>
        <v>0</v>
      </c>
      <c r="Q37" s="161">
        <f t="shared" si="6"/>
        <v>0</v>
      </c>
      <c r="R37" s="232"/>
      <c r="S37" s="86">
        <f t="shared" si="7"/>
        <v>1</v>
      </c>
      <c r="T37" s="87">
        <f t="shared" si="1"/>
        <v>3</v>
      </c>
      <c r="U37">
        <v>1</v>
      </c>
    </row>
    <row r="38" spans="2:31" ht="20.100000000000001" hidden="1" customHeight="1">
      <c r="B38" s="77">
        <v>1</v>
      </c>
      <c r="C38" s="78" t="s">
        <v>49</v>
      </c>
      <c r="D38" s="79" t="s">
        <v>100</v>
      </c>
      <c r="E38" s="80" t="s">
        <v>101</v>
      </c>
      <c r="F38" s="280">
        <v>18.649999999999999</v>
      </c>
      <c r="G38" s="222"/>
      <c r="H38" s="186"/>
      <c r="I38" s="186">
        <v>10</v>
      </c>
      <c r="J38" s="308"/>
      <c r="K38" s="227">
        <v>3</v>
      </c>
      <c r="L38" s="82">
        <f t="shared" si="2"/>
        <v>7</v>
      </c>
      <c r="M38" s="331">
        <v>7</v>
      </c>
      <c r="N38" s="161">
        <f t="shared" si="3"/>
        <v>130.54999999999998</v>
      </c>
      <c r="O38" s="161">
        <f t="shared" si="4"/>
        <v>130.54999999999998</v>
      </c>
      <c r="P38" s="187">
        <f t="shared" si="5"/>
        <v>0</v>
      </c>
      <c r="Q38" s="161">
        <f t="shared" si="6"/>
        <v>0</v>
      </c>
      <c r="R38" s="232"/>
      <c r="S38" s="86">
        <f t="shared" si="7"/>
        <v>1</v>
      </c>
      <c r="T38" s="87">
        <f t="shared" si="1"/>
        <v>6</v>
      </c>
      <c r="U38">
        <v>1</v>
      </c>
    </row>
    <row r="39" spans="2:31" ht="20.100000000000001" hidden="1" customHeight="1">
      <c r="B39" s="77">
        <v>1</v>
      </c>
      <c r="C39" s="78" t="s">
        <v>49</v>
      </c>
      <c r="D39" s="79" t="s">
        <v>102</v>
      </c>
      <c r="E39" s="80" t="s">
        <v>103</v>
      </c>
      <c r="F39" s="81">
        <v>7.06</v>
      </c>
      <c r="G39" s="222">
        <v>95</v>
      </c>
      <c r="H39" s="186"/>
      <c r="I39" s="186"/>
      <c r="J39" s="308"/>
      <c r="K39" s="227">
        <v>20</v>
      </c>
      <c r="L39" s="82">
        <f t="shared" si="2"/>
        <v>75</v>
      </c>
      <c r="M39" s="331">
        <v>75</v>
      </c>
      <c r="N39" s="161">
        <f t="shared" si="3"/>
        <v>529.5</v>
      </c>
      <c r="O39" s="161">
        <f t="shared" si="4"/>
        <v>529.5</v>
      </c>
      <c r="P39" s="187">
        <f t="shared" si="5"/>
        <v>0</v>
      </c>
      <c r="Q39" s="161">
        <f t="shared" si="6"/>
        <v>0</v>
      </c>
      <c r="R39" s="232"/>
      <c r="S39" s="86">
        <f t="shared" si="7"/>
        <v>0</v>
      </c>
      <c r="T39" s="87">
        <f t="shared" si="1"/>
        <v>75</v>
      </c>
    </row>
    <row r="40" spans="2:31" ht="20.100000000000001" hidden="1" customHeight="1">
      <c r="B40" s="77">
        <v>1</v>
      </c>
      <c r="C40" s="78" t="s">
        <v>49</v>
      </c>
      <c r="D40" s="79" t="s">
        <v>104</v>
      </c>
      <c r="E40" s="80" t="s">
        <v>105</v>
      </c>
      <c r="F40" s="81">
        <v>18.03</v>
      </c>
      <c r="G40" s="222"/>
      <c r="H40" s="186"/>
      <c r="I40" s="186"/>
      <c r="J40" s="308"/>
      <c r="K40" s="227"/>
      <c r="L40" s="82">
        <f t="shared" si="2"/>
        <v>0</v>
      </c>
      <c r="M40" s="331"/>
      <c r="N40" s="161">
        <f t="shared" si="3"/>
        <v>0</v>
      </c>
      <c r="O40" s="161">
        <f t="shared" si="4"/>
        <v>0</v>
      </c>
      <c r="P40" s="187">
        <f t="shared" si="5"/>
        <v>0</v>
      </c>
      <c r="Q40" s="161">
        <f t="shared" si="6"/>
        <v>0</v>
      </c>
      <c r="R40" s="85"/>
      <c r="S40" s="86">
        <f t="shared" si="7"/>
        <v>28</v>
      </c>
      <c r="T40" s="87">
        <f t="shared" si="1"/>
        <v>-28</v>
      </c>
      <c r="U40">
        <v>28</v>
      </c>
    </row>
    <row r="41" spans="2:31" ht="20.100000000000001" hidden="1" customHeight="1">
      <c r="B41" s="77">
        <v>1</v>
      </c>
      <c r="C41" s="78" t="s">
        <v>49</v>
      </c>
      <c r="D41" s="79" t="s">
        <v>106</v>
      </c>
      <c r="E41" s="80" t="s">
        <v>107</v>
      </c>
      <c r="F41" s="81">
        <v>22.68</v>
      </c>
      <c r="G41" s="222">
        <v>12</v>
      </c>
      <c r="H41" s="186"/>
      <c r="I41" s="186"/>
      <c r="J41" s="308"/>
      <c r="K41" s="227"/>
      <c r="L41" s="82">
        <f t="shared" si="2"/>
        <v>12</v>
      </c>
      <c r="M41" s="331">
        <v>12</v>
      </c>
      <c r="N41" s="161">
        <f t="shared" si="3"/>
        <v>272.15999999999997</v>
      </c>
      <c r="O41" s="161">
        <f t="shared" si="4"/>
        <v>272.15999999999997</v>
      </c>
      <c r="P41" s="187">
        <f t="shared" si="5"/>
        <v>0</v>
      </c>
      <c r="Q41" s="161">
        <f t="shared" si="6"/>
        <v>0</v>
      </c>
      <c r="R41" s="85"/>
      <c r="S41" s="86">
        <f t="shared" si="7"/>
        <v>23</v>
      </c>
      <c r="T41" s="87">
        <f t="shared" si="1"/>
        <v>-11</v>
      </c>
      <c r="U41">
        <v>23</v>
      </c>
    </row>
    <row r="42" spans="2:31" ht="20.100000000000001" hidden="1" customHeight="1">
      <c r="B42" s="77">
        <v>1</v>
      </c>
      <c r="C42" s="78" t="s">
        <v>49</v>
      </c>
      <c r="D42" s="79" t="s">
        <v>106</v>
      </c>
      <c r="E42" s="80" t="s">
        <v>107</v>
      </c>
      <c r="F42" s="81">
        <v>23.07</v>
      </c>
      <c r="G42" s="222">
        <v>1</v>
      </c>
      <c r="H42" s="186"/>
      <c r="I42" s="186"/>
      <c r="J42" s="308"/>
      <c r="K42" s="227">
        <v>1</v>
      </c>
      <c r="L42" s="82">
        <f t="shared" si="2"/>
        <v>0</v>
      </c>
      <c r="M42" s="331"/>
      <c r="N42" s="161">
        <f t="shared" si="3"/>
        <v>0</v>
      </c>
      <c r="O42" s="161">
        <f t="shared" si="4"/>
        <v>0</v>
      </c>
      <c r="P42" s="187">
        <f t="shared" si="5"/>
        <v>0</v>
      </c>
      <c r="Q42" s="161">
        <f t="shared" si="6"/>
        <v>0</v>
      </c>
      <c r="R42" s="85"/>
      <c r="S42" s="86">
        <f t="shared" si="7"/>
        <v>0</v>
      </c>
      <c r="T42" s="87">
        <f t="shared" si="1"/>
        <v>0</v>
      </c>
    </row>
    <row r="43" spans="2:31" ht="20.100000000000001" hidden="1" customHeight="1">
      <c r="B43" s="77">
        <v>1</v>
      </c>
      <c r="C43" s="78" t="s">
        <v>49</v>
      </c>
      <c r="D43" s="79" t="s">
        <v>108</v>
      </c>
      <c r="E43" s="80" t="s">
        <v>109</v>
      </c>
      <c r="F43" s="315">
        <v>6.83</v>
      </c>
      <c r="G43" s="222">
        <v>1</v>
      </c>
      <c r="H43" s="186"/>
      <c r="I43" s="186"/>
      <c r="J43" s="308"/>
      <c r="K43" s="227">
        <v>1</v>
      </c>
      <c r="L43" s="82">
        <f t="shared" si="2"/>
        <v>0</v>
      </c>
      <c r="M43" s="331"/>
      <c r="N43" s="161">
        <f t="shared" si="3"/>
        <v>0</v>
      </c>
      <c r="O43" s="161">
        <f t="shared" si="4"/>
        <v>0</v>
      </c>
      <c r="P43" s="187">
        <f t="shared" si="5"/>
        <v>0</v>
      </c>
      <c r="Q43" s="161">
        <f t="shared" si="6"/>
        <v>0</v>
      </c>
      <c r="R43" s="232"/>
      <c r="S43" s="86">
        <f t="shared" si="7"/>
        <v>7</v>
      </c>
      <c r="T43" s="87">
        <f t="shared" si="1"/>
        <v>-7</v>
      </c>
      <c r="U43">
        <v>7</v>
      </c>
    </row>
    <row r="44" spans="2:31" ht="20.100000000000001" hidden="1" customHeight="1">
      <c r="B44" s="77">
        <v>1</v>
      </c>
      <c r="C44" s="78" t="s">
        <v>49</v>
      </c>
      <c r="D44" s="79" t="s">
        <v>108</v>
      </c>
      <c r="E44" s="80" t="s">
        <v>109</v>
      </c>
      <c r="F44" s="81">
        <v>7.056</v>
      </c>
      <c r="G44" s="222"/>
      <c r="H44" s="186"/>
      <c r="I44" s="186">
        <v>30</v>
      </c>
      <c r="J44" s="308"/>
      <c r="K44" s="227">
        <v>5</v>
      </c>
      <c r="L44" s="82">
        <f t="shared" si="2"/>
        <v>25</v>
      </c>
      <c r="M44" s="331">
        <v>25</v>
      </c>
      <c r="N44" s="161">
        <f t="shared" si="3"/>
        <v>176.4</v>
      </c>
      <c r="O44" s="161">
        <f t="shared" si="4"/>
        <v>176.4</v>
      </c>
      <c r="P44" s="187">
        <f t="shared" si="5"/>
        <v>0</v>
      </c>
      <c r="Q44" s="161">
        <f t="shared" si="6"/>
        <v>0</v>
      </c>
      <c r="R44" s="85"/>
      <c r="S44" s="86">
        <f t="shared" si="7"/>
        <v>0</v>
      </c>
      <c r="T44" s="87">
        <f t="shared" si="1"/>
        <v>25</v>
      </c>
    </row>
    <row r="45" spans="2:31" ht="20.100000000000001" hidden="1" customHeight="1">
      <c r="B45" s="77">
        <v>1</v>
      </c>
      <c r="C45" s="78" t="s">
        <v>49</v>
      </c>
      <c r="D45" s="79" t="s">
        <v>110</v>
      </c>
      <c r="E45" s="80" t="s">
        <v>111</v>
      </c>
      <c r="F45" s="81">
        <v>6.18</v>
      </c>
      <c r="G45" s="222">
        <v>141</v>
      </c>
      <c r="H45" s="186"/>
      <c r="I45" s="186"/>
      <c r="J45" s="308"/>
      <c r="K45" s="227"/>
      <c r="L45" s="82">
        <f t="shared" si="2"/>
        <v>141</v>
      </c>
      <c r="M45" s="331">
        <f>57+34+50</f>
        <v>141</v>
      </c>
      <c r="N45" s="161">
        <f t="shared" si="3"/>
        <v>871.38</v>
      </c>
      <c r="O45" s="161">
        <f t="shared" si="4"/>
        <v>871.38</v>
      </c>
      <c r="P45" s="187">
        <f t="shared" si="5"/>
        <v>0</v>
      </c>
      <c r="Q45" s="161">
        <f t="shared" si="6"/>
        <v>0</v>
      </c>
      <c r="R45" s="90">
        <v>46143</v>
      </c>
      <c r="S45" s="86">
        <f t="shared" si="7"/>
        <v>141</v>
      </c>
      <c r="T45" s="87">
        <f t="shared" si="1"/>
        <v>0</v>
      </c>
      <c r="U45">
        <v>34</v>
      </c>
      <c r="W45">
        <f>57+50</f>
        <v>107</v>
      </c>
      <c r="X45" t="s">
        <v>112</v>
      </c>
      <c r="AD45">
        <v>57</v>
      </c>
      <c r="AE45" s="89">
        <f>AD45*F45</f>
        <v>352.26</v>
      </c>
    </row>
    <row r="46" spans="2:31" ht="20.100000000000001" hidden="1" customHeight="1">
      <c r="B46" s="77">
        <v>1</v>
      </c>
      <c r="C46" s="78" t="s">
        <v>49</v>
      </c>
      <c r="D46" s="79" t="s">
        <v>113</v>
      </c>
      <c r="E46" s="80" t="s">
        <v>114</v>
      </c>
      <c r="F46" s="81">
        <v>51.06</v>
      </c>
      <c r="G46" s="222">
        <v>25</v>
      </c>
      <c r="H46" s="186"/>
      <c r="I46" s="186"/>
      <c r="J46" s="308"/>
      <c r="K46" s="227"/>
      <c r="L46" s="82">
        <f t="shared" si="2"/>
        <v>25</v>
      </c>
      <c r="M46" s="331">
        <v>25</v>
      </c>
      <c r="N46" s="161">
        <f t="shared" si="3"/>
        <v>1276.5</v>
      </c>
      <c r="O46" s="161">
        <f t="shared" si="4"/>
        <v>1276.5</v>
      </c>
      <c r="P46" s="187">
        <f t="shared" si="5"/>
        <v>0</v>
      </c>
      <c r="Q46" s="161">
        <f t="shared" si="6"/>
        <v>0</v>
      </c>
      <c r="R46" s="91">
        <v>45343</v>
      </c>
      <c r="S46" s="86">
        <f t="shared" si="7"/>
        <v>25</v>
      </c>
      <c r="T46" s="87">
        <f t="shared" si="1"/>
        <v>0</v>
      </c>
      <c r="W46">
        <v>25</v>
      </c>
      <c r="X46" t="s">
        <v>115</v>
      </c>
      <c r="AD46">
        <f t="shared" ref="AD46:AD48" si="57">W46</f>
        <v>25</v>
      </c>
      <c r="AE46" s="89">
        <f>AD46*F46</f>
        <v>1276.5</v>
      </c>
    </row>
    <row r="47" spans="2:31" ht="20.100000000000001" hidden="1" customHeight="1">
      <c r="B47" s="77">
        <v>1</v>
      </c>
      <c r="C47" s="78" t="s">
        <v>49</v>
      </c>
      <c r="D47" s="79" t="s">
        <v>116</v>
      </c>
      <c r="E47" s="80" t="s">
        <v>117</v>
      </c>
      <c r="F47" s="81">
        <v>7.51</v>
      </c>
      <c r="G47" s="222">
        <v>84</v>
      </c>
      <c r="H47" s="186"/>
      <c r="I47" s="186"/>
      <c r="J47" s="308">
        <v>64</v>
      </c>
      <c r="K47" s="227"/>
      <c r="L47" s="82">
        <f t="shared" ref="L47" si="58">G47+I47-J47-K47+H47</f>
        <v>20</v>
      </c>
      <c r="M47" s="331">
        <v>20</v>
      </c>
      <c r="N47" s="161">
        <f t="shared" ref="N47" si="59">F47*L47</f>
        <v>150.19999999999999</v>
      </c>
      <c r="O47" s="161">
        <f t="shared" ref="O47" si="60">M47*F47</f>
        <v>150.19999999999999</v>
      </c>
      <c r="P47" s="187">
        <f t="shared" ref="P47" si="61">L47-M47</f>
        <v>0</v>
      </c>
      <c r="Q47" s="161">
        <f t="shared" ref="Q47" si="62">N47-O47</f>
        <v>0</v>
      </c>
      <c r="R47" s="85" t="s">
        <v>118</v>
      </c>
      <c r="S47" s="86">
        <f t="shared" ref="S47" si="63">U47+Y47+W47+AA47</f>
        <v>99</v>
      </c>
      <c r="T47" s="87">
        <f t="shared" ref="T47" si="64">M47-S47</f>
        <v>-79</v>
      </c>
      <c r="U47">
        <v>79</v>
      </c>
      <c r="W47">
        <v>20</v>
      </c>
      <c r="X47" t="s">
        <v>115</v>
      </c>
      <c r="AD47">
        <f t="shared" ref="AD47" si="65">W47</f>
        <v>20</v>
      </c>
      <c r="AE47" s="89">
        <f>AD47*F47</f>
        <v>150.19999999999999</v>
      </c>
    </row>
    <row r="48" spans="2:31" ht="20.100000000000001" hidden="1" customHeight="1">
      <c r="B48" s="77">
        <v>1</v>
      </c>
      <c r="C48" s="78" t="s">
        <v>49</v>
      </c>
      <c r="D48" s="79" t="s">
        <v>116</v>
      </c>
      <c r="E48" s="80" t="s">
        <v>117</v>
      </c>
      <c r="F48" s="81">
        <v>7.75</v>
      </c>
      <c r="G48" s="222"/>
      <c r="H48" s="186"/>
      <c r="I48" s="186">
        <v>30</v>
      </c>
      <c r="J48" s="308"/>
      <c r="K48" s="227">
        <v>5</v>
      </c>
      <c r="L48" s="82">
        <f t="shared" si="2"/>
        <v>25</v>
      </c>
      <c r="M48" s="331">
        <v>25</v>
      </c>
      <c r="N48" s="161">
        <f t="shared" si="3"/>
        <v>193.75</v>
      </c>
      <c r="O48" s="161">
        <f t="shared" si="4"/>
        <v>193.75</v>
      </c>
      <c r="P48" s="187">
        <f t="shared" si="5"/>
        <v>0</v>
      </c>
      <c r="Q48" s="161">
        <f t="shared" si="6"/>
        <v>0</v>
      </c>
      <c r="R48" s="85" t="s">
        <v>118</v>
      </c>
      <c r="S48" s="86">
        <f t="shared" si="7"/>
        <v>99</v>
      </c>
      <c r="T48" s="87">
        <f t="shared" si="1"/>
        <v>-74</v>
      </c>
      <c r="U48">
        <v>79</v>
      </c>
      <c r="W48">
        <v>20</v>
      </c>
      <c r="X48" t="s">
        <v>115</v>
      </c>
      <c r="AD48">
        <f t="shared" si="57"/>
        <v>20</v>
      </c>
      <c r="AE48" s="89">
        <f>AD48*F48</f>
        <v>155</v>
      </c>
    </row>
    <row r="49" spans="2:31" ht="20.100000000000001" hidden="1" customHeight="1">
      <c r="B49" s="77">
        <v>1</v>
      </c>
      <c r="C49" s="78" t="s">
        <v>49</v>
      </c>
      <c r="D49" s="79" t="s">
        <v>119</v>
      </c>
      <c r="E49" s="80" t="s">
        <v>120</v>
      </c>
      <c r="F49" s="81">
        <v>22.19</v>
      </c>
      <c r="G49" s="222"/>
      <c r="H49" s="186"/>
      <c r="I49" s="186"/>
      <c r="J49" s="308"/>
      <c r="K49" s="227"/>
      <c r="L49" s="82">
        <f t="shared" si="2"/>
        <v>0</v>
      </c>
      <c r="M49" s="331"/>
      <c r="N49" s="161">
        <f t="shared" si="3"/>
        <v>0</v>
      </c>
      <c r="O49" s="161">
        <f t="shared" si="4"/>
        <v>0</v>
      </c>
      <c r="P49" s="187">
        <f t="shared" si="5"/>
        <v>0</v>
      </c>
      <c r="Q49" s="161">
        <f t="shared" si="6"/>
        <v>0</v>
      </c>
      <c r="R49" s="233"/>
      <c r="S49" s="86">
        <f t="shared" si="7"/>
        <v>3</v>
      </c>
      <c r="T49" s="87">
        <f t="shared" si="1"/>
        <v>-3</v>
      </c>
      <c r="W49">
        <v>3</v>
      </c>
      <c r="X49" t="s">
        <v>121</v>
      </c>
      <c r="AD49">
        <f>W49</f>
        <v>3</v>
      </c>
      <c r="AE49" s="89">
        <f>AD49*F49</f>
        <v>66.570000000000007</v>
      </c>
    </row>
    <row r="50" spans="2:31" ht="20.100000000000001" hidden="1" customHeight="1">
      <c r="B50" s="77">
        <v>1</v>
      </c>
      <c r="C50" s="78" t="s">
        <v>49</v>
      </c>
      <c r="D50" s="79" t="s">
        <v>122</v>
      </c>
      <c r="E50" s="80" t="s">
        <v>123</v>
      </c>
      <c r="F50" s="81">
        <v>31.96</v>
      </c>
      <c r="G50" s="222"/>
      <c r="H50" s="186"/>
      <c r="I50" s="186"/>
      <c r="J50" s="308"/>
      <c r="K50" s="227"/>
      <c r="L50" s="82">
        <f t="shared" si="2"/>
        <v>0</v>
      </c>
      <c r="M50" s="331"/>
      <c r="N50" s="161">
        <f t="shared" si="3"/>
        <v>0</v>
      </c>
      <c r="O50" s="161">
        <f t="shared" si="4"/>
        <v>0</v>
      </c>
      <c r="P50" s="187">
        <f t="shared" si="5"/>
        <v>0</v>
      </c>
      <c r="Q50" s="161">
        <f t="shared" si="6"/>
        <v>0</v>
      </c>
      <c r="R50" s="85"/>
      <c r="S50" s="86">
        <f t="shared" si="7"/>
        <v>0</v>
      </c>
      <c r="T50" s="87">
        <f t="shared" si="1"/>
        <v>0</v>
      </c>
    </row>
    <row r="51" spans="2:31" ht="20.100000000000001" hidden="1" customHeight="1">
      <c r="B51" s="77">
        <v>1</v>
      </c>
      <c r="C51" s="78" t="s">
        <v>49</v>
      </c>
      <c r="D51" s="79" t="s">
        <v>124</v>
      </c>
      <c r="E51" s="80" t="s">
        <v>125</v>
      </c>
      <c r="F51" s="81">
        <v>21.34</v>
      </c>
      <c r="G51" s="222">
        <v>7</v>
      </c>
      <c r="H51" s="186"/>
      <c r="I51" s="186"/>
      <c r="J51" s="308"/>
      <c r="K51" s="227"/>
      <c r="L51" s="82">
        <f t="shared" si="2"/>
        <v>7</v>
      </c>
      <c r="M51" s="331">
        <v>7</v>
      </c>
      <c r="N51" s="161">
        <f t="shared" si="3"/>
        <v>149.38</v>
      </c>
      <c r="O51" s="161">
        <f t="shared" si="4"/>
        <v>149.38</v>
      </c>
      <c r="P51" s="187">
        <f t="shared" si="5"/>
        <v>0</v>
      </c>
      <c r="Q51" s="161">
        <f t="shared" si="6"/>
        <v>0</v>
      </c>
      <c r="R51" s="91">
        <v>45903</v>
      </c>
      <c r="S51" s="86">
        <f t="shared" si="7"/>
        <v>7</v>
      </c>
      <c r="T51" s="87">
        <f t="shared" si="1"/>
        <v>0</v>
      </c>
      <c r="W51">
        <v>5</v>
      </c>
      <c r="X51" t="s">
        <v>121</v>
      </c>
      <c r="AA51">
        <v>2</v>
      </c>
      <c r="AB51" s="88" t="s">
        <v>126</v>
      </c>
      <c r="AD51">
        <f>AA51+W51</f>
        <v>7</v>
      </c>
      <c r="AE51" s="89">
        <f>AD51*F51</f>
        <v>149.38</v>
      </c>
    </row>
    <row r="52" spans="2:31" ht="20.100000000000001" hidden="1" customHeight="1">
      <c r="B52" s="77">
        <v>1</v>
      </c>
      <c r="C52" s="78" t="s">
        <v>49</v>
      </c>
      <c r="D52" s="79" t="s">
        <v>127</v>
      </c>
      <c r="E52" s="80" t="s">
        <v>128</v>
      </c>
      <c r="F52" s="81">
        <v>6.18</v>
      </c>
      <c r="G52" s="222">
        <v>73</v>
      </c>
      <c r="H52" s="186"/>
      <c r="I52" s="186"/>
      <c r="J52" s="308"/>
      <c r="K52" s="227"/>
      <c r="L52" s="82">
        <f t="shared" si="2"/>
        <v>73</v>
      </c>
      <c r="M52" s="331">
        <f>23+50</f>
        <v>73</v>
      </c>
      <c r="N52" s="161">
        <f t="shared" si="3"/>
        <v>451.14</v>
      </c>
      <c r="O52" s="161">
        <f t="shared" si="4"/>
        <v>451.14</v>
      </c>
      <c r="P52" s="187">
        <f t="shared" si="5"/>
        <v>0</v>
      </c>
      <c r="Q52" s="161">
        <f t="shared" si="6"/>
        <v>0</v>
      </c>
      <c r="R52" s="85"/>
      <c r="S52" s="86">
        <f t="shared" si="7"/>
        <v>77</v>
      </c>
      <c r="T52" s="87">
        <f t="shared" si="1"/>
        <v>-4</v>
      </c>
      <c r="U52">
        <v>27</v>
      </c>
      <c r="W52">
        <v>50</v>
      </c>
    </row>
    <row r="53" spans="2:31" ht="20.100000000000001" hidden="1" customHeight="1">
      <c r="B53" s="77">
        <v>1</v>
      </c>
      <c r="C53" s="78" t="s">
        <v>49</v>
      </c>
      <c r="D53" s="79" t="s">
        <v>129</v>
      </c>
      <c r="E53" s="80" t="s">
        <v>130</v>
      </c>
      <c r="F53" s="81">
        <v>5.66</v>
      </c>
      <c r="G53" s="222"/>
      <c r="H53" s="186"/>
      <c r="I53" s="186"/>
      <c r="J53" s="308"/>
      <c r="K53" s="227"/>
      <c r="L53" s="82">
        <f t="shared" si="2"/>
        <v>0</v>
      </c>
      <c r="M53" s="331"/>
      <c r="N53" s="161">
        <f t="shared" si="3"/>
        <v>0</v>
      </c>
      <c r="O53" s="161">
        <f t="shared" si="4"/>
        <v>0</v>
      </c>
      <c r="P53" s="187">
        <f t="shared" si="5"/>
        <v>0</v>
      </c>
      <c r="Q53" s="161">
        <f t="shared" si="6"/>
        <v>0</v>
      </c>
      <c r="R53" s="85"/>
      <c r="S53" s="86">
        <f t="shared" si="7"/>
        <v>0</v>
      </c>
      <c r="T53" s="87">
        <f t="shared" si="1"/>
        <v>0</v>
      </c>
    </row>
    <row r="54" spans="2:31" ht="20.100000000000001" hidden="1" customHeight="1">
      <c r="B54" s="77">
        <v>1</v>
      </c>
      <c r="C54" s="78" t="s">
        <v>49</v>
      </c>
      <c r="D54" s="79" t="s">
        <v>131</v>
      </c>
      <c r="E54" s="80" t="s">
        <v>132</v>
      </c>
      <c r="F54" s="81">
        <v>19.079999999999998</v>
      </c>
      <c r="G54" s="222"/>
      <c r="H54" s="186"/>
      <c r="I54" s="186"/>
      <c r="J54" s="308"/>
      <c r="K54" s="227"/>
      <c r="L54" s="82">
        <f t="shared" si="2"/>
        <v>0</v>
      </c>
      <c r="M54" s="331"/>
      <c r="N54" s="161">
        <f t="shared" si="3"/>
        <v>0</v>
      </c>
      <c r="O54" s="161">
        <f t="shared" si="4"/>
        <v>0</v>
      </c>
      <c r="P54" s="187">
        <f t="shared" si="5"/>
        <v>0</v>
      </c>
      <c r="Q54" s="161">
        <f t="shared" si="6"/>
        <v>0</v>
      </c>
      <c r="R54" s="85"/>
      <c r="S54" s="86">
        <f t="shared" si="7"/>
        <v>0</v>
      </c>
      <c r="T54" s="87">
        <f t="shared" si="1"/>
        <v>0</v>
      </c>
    </row>
    <row r="55" spans="2:31" ht="20.100000000000001" hidden="1" customHeight="1">
      <c r="B55" s="77">
        <v>1</v>
      </c>
      <c r="C55" s="78" t="s">
        <v>49</v>
      </c>
      <c r="D55" s="79" t="s">
        <v>133</v>
      </c>
      <c r="E55" s="80" t="s">
        <v>134</v>
      </c>
      <c r="F55" s="81">
        <v>19.079999999999998</v>
      </c>
      <c r="G55" s="222"/>
      <c r="H55" s="186"/>
      <c r="I55" s="186"/>
      <c r="J55" s="308"/>
      <c r="K55" s="227"/>
      <c r="L55" s="82">
        <f t="shared" si="2"/>
        <v>0</v>
      </c>
      <c r="M55" s="331"/>
      <c r="N55" s="161">
        <f t="shared" si="3"/>
        <v>0</v>
      </c>
      <c r="O55" s="161">
        <f t="shared" si="4"/>
        <v>0</v>
      </c>
      <c r="P55" s="187">
        <f t="shared" si="5"/>
        <v>0</v>
      </c>
      <c r="Q55" s="161">
        <f t="shared" si="6"/>
        <v>0</v>
      </c>
      <c r="R55" s="85"/>
      <c r="S55" s="86">
        <f t="shared" si="7"/>
        <v>0</v>
      </c>
      <c r="T55" s="87">
        <f t="shared" si="1"/>
        <v>0</v>
      </c>
    </row>
    <row r="56" spans="2:31" ht="20.100000000000001" hidden="1" customHeight="1">
      <c r="B56" s="77">
        <v>1</v>
      </c>
      <c r="C56" s="78" t="s">
        <v>49</v>
      </c>
      <c r="D56" s="79" t="s">
        <v>135</v>
      </c>
      <c r="E56" s="80" t="s">
        <v>136</v>
      </c>
      <c r="F56" s="81">
        <v>5.89</v>
      </c>
      <c r="G56" s="222"/>
      <c r="H56" s="186"/>
      <c r="I56" s="186"/>
      <c r="J56" s="308"/>
      <c r="K56" s="227"/>
      <c r="L56" s="82">
        <f t="shared" si="2"/>
        <v>0</v>
      </c>
      <c r="M56" s="331"/>
      <c r="N56" s="161">
        <f t="shared" si="3"/>
        <v>0</v>
      </c>
      <c r="O56" s="161">
        <f t="shared" si="4"/>
        <v>0</v>
      </c>
      <c r="P56" s="187">
        <f t="shared" si="5"/>
        <v>0</v>
      </c>
      <c r="Q56" s="161">
        <f t="shared" si="6"/>
        <v>0</v>
      </c>
      <c r="R56" s="85"/>
      <c r="S56" s="86">
        <f t="shared" si="7"/>
        <v>0</v>
      </c>
      <c r="T56" s="87">
        <f t="shared" si="1"/>
        <v>0</v>
      </c>
    </row>
    <row r="57" spans="2:31" ht="20.100000000000001" hidden="1" customHeight="1">
      <c r="B57" s="77">
        <v>1</v>
      </c>
      <c r="C57" s="78" t="s">
        <v>49</v>
      </c>
      <c r="D57" s="79" t="s">
        <v>137</v>
      </c>
      <c r="E57" s="80" t="s">
        <v>138</v>
      </c>
      <c r="F57" s="81">
        <v>5.66</v>
      </c>
      <c r="G57" s="222"/>
      <c r="H57" s="186"/>
      <c r="I57" s="186"/>
      <c r="J57" s="308"/>
      <c r="K57" s="227"/>
      <c r="L57" s="82">
        <f t="shared" si="2"/>
        <v>0</v>
      </c>
      <c r="M57" s="331"/>
      <c r="N57" s="161">
        <f t="shared" si="3"/>
        <v>0</v>
      </c>
      <c r="O57" s="161">
        <f t="shared" si="4"/>
        <v>0</v>
      </c>
      <c r="P57" s="187">
        <f t="shared" si="5"/>
        <v>0</v>
      </c>
      <c r="Q57" s="161">
        <f t="shared" si="6"/>
        <v>0</v>
      </c>
      <c r="R57" s="85"/>
      <c r="S57" s="86">
        <f t="shared" si="7"/>
        <v>0</v>
      </c>
      <c r="T57" s="87">
        <f t="shared" si="1"/>
        <v>0</v>
      </c>
    </row>
    <row r="58" spans="2:31" ht="20.100000000000001" hidden="1" customHeight="1">
      <c r="B58" s="77">
        <v>1</v>
      </c>
      <c r="C58" s="78" t="s">
        <v>49</v>
      </c>
      <c r="D58" s="79" t="s">
        <v>139</v>
      </c>
      <c r="E58" s="80" t="s">
        <v>140</v>
      </c>
      <c r="F58" s="81">
        <v>5.66</v>
      </c>
      <c r="G58" s="222"/>
      <c r="H58" s="186"/>
      <c r="I58" s="186"/>
      <c r="J58" s="308"/>
      <c r="K58" s="227"/>
      <c r="L58" s="82">
        <f t="shared" si="2"/>
        <v>0</v>
      </c>
      <c r="M58" s="331"/>
      <c r="N58" s="161">
        <f t="shared" si="3"/>
        <v>0</v>
      </c>
      <c r="O58" s="161">
        <f t="shared" si="4"/>
        <v>0</v>
      </c>
      <c r="P58" s="187">
        <f t="shared" si="5"/>
        <v>0</v>
      </c>
      <c r="Q58" s="161">
        <f t="shared" si="6"/>
        <v>0</v>
      </c>
      <c r="R58" s="85"/>
      <c r="S58" s="86">
        <f t="shared" si="7"/>
        <v>0</v>
      </c>
      <c r="T58" s="87">
        <f t="shared" si="1"/>
        <v>0</v>
      </c>
    </row>
    <row r="59" spans="2:31" ht="20.100000000000001" hidden="1" customHeight="1">
      <c r="B59" s="77">
        <v>1</v>
      </c>
      <c r="C59" s="78" t="s">
        <v>49</v>
      </c>
      <c r="D59" s="79" t="s">
        <v>141</v>
      </c>
      <c r="E59" s="80" t="s">
        <v>142</v>
      </c>
      <c r="F59" s="81">
        <v>23.48</v>
      </c>
      <c r="G59" s="222"/>
      <c r="H59" s="186"/>
      <c r="I59" s="186"/>
      <c r="J59" s="308"/>
      <c r="K59" s="227"/>
      <c r="L59" s="82">
        <f t="shared" si="2"/>
        <v>0</v>
      </c>
      <c r="M59" s="331"/>
      <c r="N59" s="161">
        <f t="shared" si="3"/>
        <v>0</v>
      </c>
      <c r="O59" s="161">
        <f t="shared" si="4"/>
        <v>0</v>
      </c>
      <c r="P59" s="187">
        <f t="shared" si="5"/>
        <v>0</v>
      </c>
      <c r="Q59" s="161">
        <f t="shared" si="6"/>
        <v>0</v>
      </c>
      <c r="R59" s="85"/>
      <c r="S59" s="86">
        <f t="shared" si="7"/>
        <v>0</v>
      </c>
      <c r="T59" s="87">
        <f t="shared" si="1"/>
        <v>0</v>
      </c>
    </row>
    <row r="60" spans="2:31" ht="20.100000000000001" hidden="1" customHeight="1">
      <c r="B60" s="77">
        <v>1</v>
      </c>
      <c r="C60" s="78" t="s">
        <v>49</v>
      </c>
      <c r="D60" s="79" t="s">
        <v>143</v>
      </c>
      <c r="E60" s="80" t="s">
        <v>144</v>
      </c>
      <c r="F60" s="81">
        <v>23.48</v>
      </c>
      <c r="G60" s="222"/>
      <c r="H60" s="186"/>
      <c r="I60" s="186"/>
      <c r="J60" s="308"/>
      <c r="K60" s="227"/>
      <c r="L60" s="82">
        <f t="shared" si="2"/>
        <v>0</v>
      </c>
      <c r="M60" s="331"/>
      <c r="N60" s="161">
        <f t="shared" si="3"/>
        <v>0</v>
      </c>
      <c r="O60" s="161">
        <f t="shared" si="4"/>
        <v>0</v>
      </c>
      <c r="P60" s="187">
        <f t="shared" si="5"/>
        <v>0</v>
      </c>
      <c r="Q60" s="161">
        <f t="shared" si="6"/>
        <v>0</v>
      </c>
      <c r="R60" s="85"/>
      <c r="S60" s="86">
        <f t="shared" si="7"/>
        <v>0</v>
      </c>
      <c r="T60" s="87">
        <f t="shared" si="1"/>
        <v>0</v>
      </c>
    </row>
    <row r="61" spans="2:31" ht="20.100000000000001" hidden="1" customHeight="1">
      <c r="B61" s="77">
        <v>1</v>
      </c>
      <c r="C61" s="78" t="s">
        <v>49</v>
      </c>
      <c r="D61" s="79" t="s">
        <v>145</v>
      </c>
      <c r="E61" s="80" t="s">
        <v>146</v>
      </c>
      <c r="F61" s="81">
        <v>6.95</v>
      </c>
      <c r="G61" s="222"/>
      <c r="H61" s="186"/>
      <c r="I61" s="186"/>
      <c r="J61" s="308"/>
      <c r="K61" s="227"/>
      <c r="L61" s="82">
        <f t="shared" si="2"/>
        <v>0</v>
      </c>
      <c r="M61" s="331"/>
      <c r="N61" s="161">
        <f t="shared" si="3"/>
        <v>0</v>
      </c>
      <c r="O61" s="161">
        <f t="shared" si="4"/>
        <v>0</v>
      </c>
      <c r="P61" s="187">
        <f t="shared" si="5"/>
        <v>0</v>
      </c>
      <c r="Q61" s="161">
        <f t="shared" si="6"/>
        <v>0</v>
      </c>
      <c r="R61" s="85"/>
      <c r="S61" s="86">
        <f t="shared" si="7"/>
        <v>0</v>
      </c>
      <c r="T61" s="87">
        <f t="shared" si="1"/>
        <v>0</v>
      </c>
    </row>
    <row r="62" spans="2:31" ht="20.100000000000001" hidden="1" customHeight="1">
      <c r="B62" s="77">
        <v>1</v>
      </c>
      <c r="C62" s="78" t="s">
        <v>49</v>
      </c>
      <c r="D62" s="79" t="s">
        <v>147</v>
      </c>
      <c r="E62" s="80" t="s">
        <v>148</v>
      </c>
      <c r="F62" s="81">
        <v>12.69</v>
      </c>
      <c r="G62" s="222">
        <v>57</v>
      </c>
      <c r="H62" s="186"/>
      <c r="I62" s="186"/>
      <c r="J62" s="308"/>
      <c r="K62" s="227">
        <v>5</v>
      </c>
      <c r="L62" s="82">
        <f t="shared" si="2"/>
        <v>52</v>
      </c>
      <c r="M62" s="331">
        <v>52</v>
      </c>
      <c r="N62" s="161">
        <f t="shared" si="3"/>
        <v>659.88</v>
      </c>
      <c r="O62" s="161">
        <f t="shared" si="4"/>
        <v>659.88</v>
      </c>
      <c r="P62" s="187">
        <f t="shared" si="5"/>
        <v>0</v>
      </c>
      <c r="Q62" s="161">
        <f t="shared" si="6"/>
        <v>0</v>
      </c>
      <c r="R62" s="85" t="s">
        <v>149</v>
      </c>
      <c r="S62" s="86">
        <f t="shared" si="7"/>
        <v>59</v>
      </c>
      <c r="T62" s="87">
        <f t="shared" si="1"/>
        <v>-7</v>
      </c>
      <c r="U62">
        <v>48</v>
      </c>
      <c r="W62">
        <v>11</v>
      </c>
      <c r="X62" t="s">
        <v>121</v>
      </c>
      <c r="AD62">
        <f>W62</f>
        <v>11</v>
      </c>
      <c r="AE62" s="89">
        <f>AD62*F62</f>
        <v>139.59</v>
      </c>
    </row>
    <row r="63" spans="2:31" ht="20.100000000000001" hidden="1" customHeight="1">
      <c r="B63" s="77">
        <v>1</v>
      </c>
      <c r="C63" s="78" t="s">
        <v>49</v>
      </c>
      <c r="D63" s="79" t="s">
        <v>150</v>
      </c>
      <c r="E63" s="80" t="s">
        <v>151</v>
      </c>
      <c r="F63" s="81">
        <v>34.380000000000003</v>
      </c>
      <c r="G63" s="222">
        <v>3</v>
      </c>
      <c r="H63" s="186"/>
      <c r="I63" s="186"/>
      <c r="J63" s="308"/>
      <c r="K63" s="227">
        <v>2</v>
      </c>
      <c r="L63" s="82">
        <f t="shared" si="2"/>
        <v>1</v>
      </c>
      <c r="M63" s="331">
        <v>1</v>
      </c>
      <c r="N63" s="161">
        <f t="shared" si="3"/>
        <v>34.380000000000003</v>
      </c>
      <c r="O63" s="161">
        <f t="shared" si="4"/>
        <v>34.380000000000003</v>
      </c>
      <c r="P63" s="187">
        <f t="shared" si="5"/>
        <v>0</v>
      </c>
      <c r="Q63" s="161">
        <f t="shared" si="6"/>
        <v>0</v>
      </c>
      <c r="R63" s="85"/>
      <c r="S63" s="86">
        <f t="shared" si="7"/>
        <v>11</v>
      </c>
      <c r="T63" s="87">
        <f t="shared" si="1"/>
        <v>-10</v>
      </c>
      <c r="U63">
        <v>11</v>
      </c>
    </row>
    <row r="64" spans="2:31" ht="20.100000000000001" hidden="1" customHeight="1">
      <c r="B64" s="77">
        <v>1</v>
      </c>
      <c r="C64" s="78" t="s">
        <v>49</v>
      </c>
      <c r="D64" s="79" t="s">
        <v>152</v>
      </c>
      <c r="E64" s="80" t="s">
        <v>153</v>
      </c>
      <c r="F64" s="81">
        <v>99.04</v>
      </c>
      <c r="G64" s="222">
        <v>19</v>
      </c>
      <c r="H64" s="186"/>
      <c r="I64" s="186"/>
      <c r="J64" s="308"/>
      <c r="K64" s="227"/>
      <c r="L64" s="82">
        <f t="shared" si="2"/>
        <v>19</v>
      </c>
      <c r="M64" s="331">
        <v>19</v>
      </c>
      <c r="N64" s="161">
        <f t="shared" si="3"/>
        <v>1881.7600000000002</v>
      </c>
      <c r="O64" s="161">
        <f t="shared" si="4"/>
        <v>1881.7600000000002</v>
      </c>
      <c r="P64" s="187">
        <f t="shared" si="5"/>
        <v>0</v>
      </c>
      <c r="Q64" s="161">
        <f t="shared" si="6"/>
        <v>0</v>
      </c>
      <c r="R64" s="85"/>
      <c r="S64" s="86">
        <f t="shared" si="7"/>
        <v>20</v>
      </c>
      <c r="T64" s="87">
        <f t="shared" si="1"/>
        <v>-1</v>
      </c>
      <c r="U64">
        <v>20</v>
      </c>
    </row>
    <row r="65" spans="2:31" ht="20.100000000000001" hidden="1" customHeight="1">
      <c r="B65" s="77">
        <v>1</v>
      </c>
      <c r="C65" s="78" t="s">
        <v>49</v>
      </c>
      <c r="D65" s="79" t="s">
        <v>154</v>
      </c>
      <c r="E65" s="80" t="s">
        <v>155</v>
      </c>
      <c r="F65" s="81">
        <v>25.88</v>
      </c>
      <c r="G65" s="222">
        <v>6</v>
      </c>
      <c r="H65" s="186"/>
      <c r="I65" s="186"/>
      <c r="J65" s="308"/>
      <c r="K65" s="227"/>
      <c r="L65" s="82">
        <f t="shared" si="2"/>
        <v>6</v>
      </c>
      <c r="M65" s="331">
        <v>6</v>
      </c>
      <c r="N65" s="161">
        <f t="shared" si="3"/>
        <v>155.28</v>
      </c>
      <c r="O65" s="161">
        <f t="shared" si="4"/>
        <v>155.28</v>
      </c>
      <c r="P65" s="187">
        <f t="shared" si="5"/>
        <v>0</v>
      </c>
      <c r="Q65" s="161">
        <f t="shared" si="6"/>
        <v>0</v>
      </c>
      <c r="R65" s="91">
        <v>45836</v>
      </c>
      <c r="S65" s="86">
        <f t="shared" si="7"/>
        <v>6</v>
      </c>
      <c r="T65" s="87">
        <f t="shared" si="1"/>
        <v>0</v>
      </c>
      <c r="W65">
        <v>6</v>
      </c>
      <c r="X65" t="s">
        <v>121</v>
      </c>
      <c r="AD65">
        <f>W65</f>
        <v>6</v>
      </c>
      <c r="AE65" s="89">
        <f>AD65*F65</f>
        <v>155.28</v>
      </c>
    </row>
    <row r="66" spans="2:31" ht="20.100000000000001" hidden="1" customHeight="1">
      <c r="B66" s="77">
        <v>1</v>
      </c>
      <c r="C66" s="78" t="s">
        <v>49</v>
      </c>
      <c r="D66" s="79" t="s">
        <v>156</v>
      </c>
      <c r="E66" s="80" t="s">
        <v>157</v>
      </c>
      <c r="F66" s="81">
        <v>61.5</v>
      </c>
      <c r="G66" s="222">
        <v>16</v>
      </c>
      <c r="H66" s="186"/>
      <c r="I66" s="186"/>
      <c r="J66" s="308"/>
      <c r="K66" s="227">
        <v>1</v>
      </c>
      <c r="L66" s="82">
        <f t="shared" si="2"/>
        <v>15</v>
      </c>
      <c r="M66" s="331">
        <v>15</v>
      </c>
      <c r="N66" s="161">
        <f t="shared" si="3"/>
        <v>922.5</v>
      </c>
      <c r="O66" s="161">
        <f t="shared" si="4"/>
        <v>922.5</v>
      </c>
      <c r="P66" s="187">
        <f t="shared" si="5"/>
        <v>0</v>
      </c>
      <c r="Q66" s="161">
        <f t="shared" si="6"/>
        <v>0</v>
      </c>
      <c r="R66" s="85"/>
      <c r="S66" s="86">
        <f t="shared" si="7"/>
        <v>21</v>
      </c>
      <c r="T66" s="87">
        <f t="shared" si="1"/>
        <v>-6</v>
      </c>
      <c r="U66">
        <v>18</v>
      </c>
      <c r="AA66">
        <v>3</v>
      </c>
      <c r="AB66" t="s">
        <v>158</v>
      </c>
      <c r="AD66">
        <f>AA66</f>
        <v>3</v>
      </c>
      <c r="AE66" s="89">
        <f>AD66*F66</f>
        <v>184.5</v>
      </c>
    </row>
    <row r="67" spans="2:31" ht="20.100000000000001" hidden="1" customHeight="1">
      <c r="B67" s="77">
        <v>1</v>
      </c>
      <c r="C67" s="78" t="s">
        <v>49</v>
      </c>
      <c r="D67" s="79" t="s">
        <v>159</v>
      </c>
      <c r="E67" s="80" t="s">
        <v>160</v>
      </c>
      <c r="F67" s="81">
        <v>97.04</v>
      </c>
      <c r="G67" s="222">
        <v>19</v>
      </c>
      <c r="H67" s="186"/>
      <c r="I67" s="186"/>
      <c r="J67" s="308"/>
      <c r="K67" s="227">
        <v>1</v>
      </c>
      <c r="L67" s="82">
        <f t="shared" si="2"/>
        <v>18</v>
      </c>
      <c r="M67" s="331">
        <v>18</v>
      </c>
      <c r="N67" s="161">
        <f t="shared" si="3"/>
        <v>1746.72</v>
      </c>
      <c r="O67" s="161">
        <f t="shared" si="4"/>
        <v>1746.72</v>
      </c>
      <c r="P67" s="187">
        <f t="shared" si="5"/>
        <v>0</v>
      </c>
      <c r="Q67" s="161">
        <f t="shared" si="6"/>
        <v>0</v>
      </c>
      <c r="R67" s="232"/>
      <c r="S67" s="86">
        <f t="shared" si="7"/>
        <v>19</v>
      </c>
      <c r="T67" s="87">
        <f t="shared" si="1"/>
        <v>-1</v>
      </c>
      <c r="U67">
        <v>19</v>
      </c>
    </row>
    <row r="68" spans="2:31" ht="20.100000000000001" hidden="1" customHeight="1">
      <c r="B68" s="77">
        <v>1</v>
      </c>
      <c r="C68" s="78" t="s">
        <v>49</v>
      </c>
      <c r="D68" s="79" t="s">
        <v>161</v>
      </c>
      <c r="E68" s="80" t="s">
        <v>162</v>
      </c>
      <c r="F68" s="81">
        <v>36.58</v>
      </c>
      <c r="G68" s="222">
        <v>21</v>
      </c>
      <c r="H68" s="186"/>
      <c r="I68" s="186"/>
      <c r="J68" s="308"/>
      <c r="K68" s="227">
        <v>1</v>
      </c>
      <c r="L68" s="82">
        <f t="shared" si="2"/>
        <v>20</v>
      </c>
      <c r="M68" s="331">
        <v>20</v>
      </c>
      <c r="N68" s="161">
        <f t="shared" si="3"/>
        <v>731.59999999999991</v>
      </c>
      <c r="O68" s="161">
        <f t="shared" si="4"/>
        <v>731.59999999999991</v>
      </c>
      <c r="P68" s="187">
        <f t="shared" si="5"/>
        <v>0</v>
      </c>
      <c r="Q68" s="161">
        <f t="shared" si="6"/>
        <v>0</v>
      </c>
      <c r="R68" s="85"/>
      <c r="S68" s="86">
        <f t="shared" si="7"/>
        <v>22</v>
      </c>
      <c r="T68" s="87">
        <f t="shared" si="1"/>
        <v>-2</v>
      </c>
      <c r="U68">
        <f>21+1</f>
        <v>22</v>
      </c>
    </row>
    <row r="69" spans="2:31" ht="20.100000000000001" hidden="1" customHeight="1">
      <c r="B69" s="77">
        <v>1</v>
      </c>
      <c r="C69" s="78" t="s">
        <v>49</v>
      </c>
      <c r="D69" s="79" t="s">
        <v>163</v>
      </c>
      <c r="E69" s="80" t="s">
        <v>164</v>
      </c>
      <c r="F69" s="81">
        <v>30.77</v>
      </c>
      <c r="G69" s="222">
        <v>25</v>
      </c>
      <c r="H69" s="186"/>
      <c r="I69" s="186"/>
      <c r="J69" s="308"/>
      <c r="K69" s="227"/>
      <c r="L69" s="82">
        <f t="shared" si="2"/>
        <v>25</v>
      </c>
      <c r="M69" s="331">
        <v>25</v>
      </c>
      <c r="N69" s="161">
        <f t="shared" si="3"/>
        <v>769.25</v>
      </c>
      <c r="O69" s="161">
        <f t="shared" si="4"/>
        <v>769.25</v>
      </c>
      <c r="P69" s="187">
        <f t="shared" si="5"/>
        <v>0</v>
      </c>
      <c r="Q69" s="161">
        <f t="shared" si="6"/>
        <v>0</v>
      </c>
      <c r="R69" s="85"/>
      <c r="S69" s="86">
        <f t="shared" si="7"/>
        <v>25</v>
      </c>
      <c r="T69" s="87">
        <f t="shared" si="1"/>
        <v>0</v>
      </c>
      <c r="AA69">
        <v>25</v>
      </c>
      <c r="AB69" t="s">
        <v>91</v>
      </c>
      <c r="AD69">
        <f>AA69</f>
        <v>25</v>
      </c>
      <c r="AE69" s="89">
        <f>AD69*F69</f>
        <v>769.25</v>
      </c>
    </row>
    <row r="70" spans="2:31" ht="20.100000000000001" hidden="1" customHeight="1">
      <c r="B70" s="77">
        <v>1</v>
      </c>
      <c r="C70" s="78" t="s">
        <v>49</v>
      </c>
      <c r="D70" s="79" t="s">
        <v>165</v>
      </c>
      <c r="E70" s="80" t="s">
        <v>166</v>
      </c>
      <c r="F70" s="81">
        <v>90.42</v>
      </c>
      <c r="G70" s="222">
        <v>13</v>
      </c>
      <c r="H70" s="186"/>
      <c r="I70" s="186"/>
      <c r="J70" s="308"/>
      <c r="K70" s="227">
        <v>1</v>
      </c>
      <c r="L70" s="82">
        <f t="shared" si="2"/>
        <v>12</v>
      </c>
      <c r="M70" s="331">
        <v>12</v>
      </c>
      <c r="N70" s="161">
        <f t="shared" si="3"/>
        <v>1085.04</v>
      </c>
      <c r="O70" s="161">
        <f t="shared" si="4"/>
        <v>1085.04</v>
      </c>
      <c r="P70" s="187">
        <f t="shared" si="5"/>
        <v>0</v>
      </c>
      <c r="Q70" s="161">
        <f t="shared" si="6"/>
        <v>0</v>
      </c>
      <c r="R70" s="232"/>
      <c r="S70" s="86">
        <f t="shared" si="7"/>
        <v>17</v>
      </c>
      <c r="T70" s="87">
        <f t="shared" si="1"/>
        <v>-5</v>
      </c>
      <c r="U70">
        <v>17</v>
      </c>
    </row>
    <row r="71" spans="2:31" ht="20.100000000000001" hidden="1" customHeight="1">
      <c r="B71" s="77">
        <v>1</v>
      </c>
      <c r="C71" s="78" t="s">
        <v>49</v>
      </c>
      <c r="D71" s="79" t="s">
        <v>167</v>
      </c>
      <c r="E71" s="80" t="s">
        <v>168</v>
      </c>
      <c r="F71" s="81">
        <v>41.15</v>
      </c>
      <c r="G71" s="222">
        <v>38</v>
      </c>
      <c r="H71" s="186"/>
      <c r="I71" s="186"/>
      <c r="J71" s="308"/>
      <c r="K71" s="227"/>
      <c r="L71" s="82">
        <f t="shared" si="2"/>
        <v>38</v>
      </c>
      <c r="M71" s="331">
        <v>38</v>
      </c>
      <c r="N71" s="161">
        <f t="shared" si="3"/>
        <v>1563.7</v>
      </c>
      <c r="O71" s="161">
        <f t="shared" si="4"/>
        <v>1563.7</v>
      </c>
      <c r="P71" s="187">
        <f t="shared" si="5"/>
        <v>0</v>
      </c>
      <c r="Q71" s="161">
        <f t="shared" si="6"/>
        <v>0</v>
      </c>
      <c r="R71" s="85"/>
      <c r="S71" s="86">
        <f t="shared" si="7"/>
        <v>0</v>
      </c>
      <c r="T71" s="87">
        <f t="shared" si="1"/>
        <v>38</v>
      </c>
    </row>
    <row r="72" spans="2:31" ht="20.100000000000001" hidden="1" customHeight="1">
      <c r="B72" s="77">
        <v>1</v>
      </c>
      <c r="C72" s="78" t="s">
        <v>49</v>
      </c>
      <c r="D72" s="79" t="s">
        <v>169</v>
      </c>
      <c r="E72" s="80" t="s">
        <v>170</v>
      </c>
      <c r="F72" s="81">
        <v>114.79</v>
      </c>
      <c r="G72" s="222">
        <v>22</v>
      </c>
      <c r="H72" s="186"/>
      <c r="I72" s="186"/>
      <c r="J72" s="308"/>
      <c r="K72" s="227"/>
      <c r="L72" s="82">
        <f t="shared" si="2"/>
        <v>22</v>
      </c>
      <c r="M72" s="331">
        <v>22</v>
      </c>
      <c r="N72" s="161">
        <f t="shared" si="3"/>
        <v>2525.38</v>
      </c>
      <c r="O72" s="161">
        <f t="shared" si="4"/>
        <v>2525.38</v>
      </c>
      <c r="P72" s="187">
        <f t="shared" si="5"/>
        <v>0</v>
      </c>
      <c r="Q72" s="161">
        <f t="shared" si="6"/>
        <v>0</v>
      </c>
      <c r="R72" s="85"/>
      <c r="S72" s="86">
        <f t="shared" si="7"/>
        <v>9</v>
      </c>
      <c r="T72" s="87">
        <f t="shared" ref="T72:T130" si="66">M72-S72</f>
        <v>13</v>
      </c>
      <c r="AA72">
        <v>9</v>
      </c>
      <c r="AB72" t="s">
        <v>171</v>
      </c>
      <c r="AD72">
        <f>AA72</f>
        <v>9</v>
      </c>
      <c r="AE72" s="89">
        <f>AD72*F72</f>
        <v>1033.1100000000001</v>
      </c>
    </row>
    <row r="73" spans="2:31" ht="20.100000000000001" hidden="1" customHeight="1">
      <c r="B73" s="77">
        <v>1</v>
      </c>
      <c r="C73" s="78" t="s">
        <v>49</v>
      </c>
      <c r="D73" s="79" t="s">
        <v>172</v>
      </c>
      <c r="E73" s="80" t="s">
        <v>173</v>
      </c>
      <c r="F73" s="81">
        <v>12.69</v>
      </c>
      <c r="G73" s="222">
        <v>43</v>
      </c>
      <c r="H73" s="186"/>
      <c r="I73" s="186"/>
      <c r="J73" s="308"/>
      <c r="K73" s="227"/>
      <c r="L73" s="82">
        <f t="shared" si="2"/>
        <v>43</v>
      </c>
      <c r="M73" s="331">
        <v>43</v>
      </c>
      <c r="N73" s="161">
        <f t="shared" ref="N73:N131" si="67">F73*L73</f>
        <v>545.66999999999996</v>
      </c>
      <c r="O73" s="161">
        <f t="shared" ref="O73:O131" si="68">M73*F73</f>
        <v>545.66999999999996</v>
      </c>
      <c r="P73" s="187">
        <f t="shared" ref="P73:P131" si="69">L73-M73</f>
        <v>0</v>
      </c>
      <c r="Q73" s="161">
        <f t="shared" ref="Q73:Q131" si="70">N73-O73</f>
        <v>0</v>
      </c>
      <c r="R73" s="85"/>
      <c r="S73" s="86">
        <f t="shared" ref="S73:S131" si="71">U73+Y73+W73+AA73</f>
        <v>0</v>
      </c>
      <c r="T73" s="87">
        <f t="shared" si="66"/>
        <v>43</v>
      </c>
    </row>
    <row r="74" spans="2:31" ht="20.100000000000001" hidden="1" customHeight="1">
      <c r="B74" s="77">
        <v>1</v>
      </c>
      <c r="C74" s="78" t="s">
        <v>49</v>
      </c>
      <c r="D74" s="79" t="s">
        <v>174</v>
      </c>
      <c r="E74" s="80" t="s">
        <v>175</v>
      </c>
      <c r="F74" s="81">
        <v>36.58</v>
      </c>
      <c r="G74" s="222">
        <v>21</v>
      </c>
      <c r="H74" s="186"/>
      <c r="I74" s="186"/>
      <c r="J74" s="308"/>
      <c r="K74" s="227">
        <v>3</v>
      </c>
      <c r="L74" s="82">
        <f t="shared" si="2"/>
        <v>18</v>
      </c>
      <c r="M74" s="331">
        <v>18</v>
      </c>
      <c r="N74" s="161">
        <f t="shared" si="67"/>
        <v>658.43999999999994</v>
      </c>
      <c r="O74" s="161">
        <f t="shared" si="68"/>
        <v>658.43999999999994</v>
      </c>
      <c r="P74" s="187">
        <f t="shared" si="69"/>
        <v>0</v>
      </c>
      <c r="Q74" s="161">
        <f t="shared" si="70"/>
        <v>0</v>
      </c>
      <c r="R74" s="85"/>
      <c r="S74" s="86">
        <f t="shared" si="71"/>
        <v>22</v>
      </c>
      <c r="T74" s="87">
        <f t="shared" si="66"/>
        <v>-4</v>
      </c>
      <c r="U74">
        <v>22</v>
      </c>
    </row>
    <row r="75" spans="2:31" ht="20.100000000000001" hidden="1" customHeight="1">
      <c r="B75" s="77">
        <v>1</v>
      </c>
      <c r="C75" s="78" t="s">
        <v>49</v>
      </c>
      <c r="D75" s="79" t="s">
        <v>176</v>
      </c>
      <c r="E75" s="80" t="s">
        <v>177</v>
      </c>
      <c r="F75" s="81">
        <v>30.77</v>
      </c>
      <c r="G75" s="222">
        <v>9</v>
      </c>
      <c r="H75" s="186"/>
      <c r="I75" s="186"/>
      <c r="J75" s="308"/>
      <c r="K75" s="227"/>
      <c r="L75" s="82">
        <f t="shared" si="2"/>
        <v>9</v>
      </c>
      <c r="M75" s="331">
        <v>9</v>
      </c>
      <c r="N75" s="161">
        <f t="shared" si="67"/>
        <v>276.93</v>
      </c>
      <c r="O75" s="161">
        <f t="shared" si="68"/>
        <v>276.93</v>
      </c>
      <c r="P75" s="187">
        <f t="shared" si="69"/>
        <v>0</v>
      </c>
      <c r="Q75" s="161">
        <f t="shared" si="70"/>
        <v>0</v>
      </c>
      <c r="R75" s="85"/>
      <c r="S75" s="86">
        <f t="shared" si="71"/>
        <v>9</v>
      </c>
      <c r="T75" s="87">
        <f t="shared" si="66"/>
        <v>0</v>
      </c>
      <c r="AA75">
        <v>9</v>
      </c>
      <c r="AB75" t="s">
        <v>91</v>
      </c>
      <c r="AD75">
        <f>AA75</f>
        <v>9</v>
      </c>
      <c r="AE75" s="89">
        <f>AD75*F75</f>
        <v>276.93</v>
      </c>
    </row>
    <row r="76" spans="2:31" ht="20.100000000000001" hidden="1" customHeight="1">
      <c r="B76" s="77">
        <v>1</v>
      </c>
      <c r="C76" s="78" t="s">
        <v>49</v>
      </c>
      <c r="D76" s="79" t="s">
        <v>178</v>
      </c>
      <c r="E76" s="80" t="s">
        <v>179</v>
      </c>
      <c r="F76" s="81">
        <v>88.75</v>
      </c>
      <c r="G76" s="222">
        <v>15</v>
      </c>
      <c r="H76" s="186"/>
      <c r="I76" s="186"/>
      <c r="J76" s="308"/>
      <c r="K76" s="227"/>
      <c r="L76" s="82">
        <f t="shared" si="2"/>
        <v>15</v>
      </c>
      <c r="M76" s="332">
        <v>15</v>
      </c>
      <c r="N76" s="161">
        <f t="shared" si="67"/>
        <v>1331.25</v>
      </c>
      <c r="O76" s="161">
        <f t="shared" si="68"/>
        <v>1331.25</v>
      </c>
      <c r="P76" s="187">
        <f t="shared" si="69"/>
        <v>0</v>
      </c>
      <c r="Q76" s="161">
        <f t="shared" si="70"/>
        <v>0</v>
      </c>
      <c r="R76" s="232"/>
      <c r="S76" s="86">
        <f t="shared" si="71"/>
        <v>16</v>
      </c>
      <c r="T76" s="87">
        <f t="shared" si="66"/>
        <v>-1</v>
      </c>
      <c r="U76">
        <v>16</v>
      </c>
    </row>
    <row r="77" spans="2:31" ht="20.100000000000001" customHeight="1">
      <c r="B77" s="77">
        <v>1</v>
      </c>
      <c r="C77" s="78" t="s">
        <v>49</v>
      </c>
      <c r="D77" s="79" t="s">
        <v>180</v>
      </c>
      <c r="E77" s="80" t="s">
        <v>181</v>
      </c>
      <c r="F77" s="81">
        <v>16.579999999999998</v>
      </c>
      <c r="G77" s="222">
        <v>94</v>
      </c>
      <c r="H77" s="186"/>
      <c r="I77" s="186"/>
      <c r="J77" s="308"/>
      <c r="K77" s="227">
        <v>16</v>
      </c>
      <c r="L77" s="82">
        <f t="shared" si="2"/>
        <v>78</v>
      </c>
      <c r="M77" s="331">
        <v>77</v>
      </c>
      <c r="N77" s="161">
        <f>F77*L77</f>
        <v>1293.2399999999998</v>
      </c>
      <c r="O77" s="161">
        <f t="shared" si="68"/>
        <v>1276.6599999999999</v>
      </c>
      <c r="P77" s="187">
        <f t="shared" si="69"/>
        <v>1</v>
      </c>
      <c r="Q77" s="161">
        <f t="shared" si="70"/>
        <v>16.579999999999927</v>
      </c>
      <c r="R77" s="85"/>
      <c r="S77" s="86">
        <f t="shared" si="71"/>
        <v>26</v>
      </c>
      <c r="T77" s="87">
        <f t="shared" si="66"/>
        <v>51</v>
      </c>
      <c r="U77">
        <v>26</v>
      </c>
    </row>
    <row r="78" spans="2:31" ht="20.100000000000001" customHeight="1">
      <c r="B78" s="77">
        <v>1</v>
      </c>
      <c r="C78" s="78" t="s">
        <v>49</v>
      </c>
      <c r="D78" s="79" t="s">
        <v>182</v>
      </c>
      <c r="E78" s="80" t="s">
        <v>183</v>
      </c>
      <c r="F78" s="81">
        <v>39.479999999999997</v>
      </c>
      <c r="G78" s="222">
        <v>15</v>
      </c>
      <c r="H78" s="186"/>
      <c r="I78" s="186"/>
      <c r="J78" s="308"/>
      <c r="K78" s="227"/>
      <c r="L78" s="82">
        <f t="shared" si="2"/>
        <v>15</v>
      </c>
      <c r="M78" s="331">
        <v>14</v>
      </c>
      <c r="N78" s="161">
        <f t="shared" si="67"/>
        <v>592.19999999999993</v>
      </c>
      <c r="O78" s="161">
        <f t="shared" si="68"/>
        <v>552.71999999999991</v>
      </c>
      <c r="P78" s="187">
        <f t="shared" si="69"/>
        <v>1</v>
      </c>
      <c r="Q78" s="161">
        <f t="shared" si="70"/>
        <v>39.480000000000018</v>
      </c>
      <c r="R78" s="85"/>
      <c r="S78" s="86">
        <f t="shared" si="71"/>
        <v>0</v>
      </c>
      <c r="T78" s="87">
        <f t="shared" si="66"/>
        <v>14</v>
      </c>
    </row>
    <row r="79" spans="2:31" ht="20.100000000000001" hidden="1" customHeight="1">
      <c r="B79" s="77">
        <v>1</v>
      </c>
      <c r="C79" s="78" t="s">
        <v>49</v>
      </c>
      <c r="D79" s="79" t="s">
        <v>184</v>
      </c>
      <c r="E79" s="80" t="s">
        <v>185</v>
      </c>
      <c r="F79" s="81">
        <v>6.18</v>
      </c>
      <c r="G79" s="222">
        <v>87</v>
      </c>
      <c r="H79" s="186"/>
      <c r="I79" s="186"/>
      <c r="J79" s="308"/>
      <c r="K79" s="227"/>
      <c r="L79" s="82">
        <f t="shared" si="2"/>
        <v>87</v>
      </c>
      <c r="M79" s="331">
        <v>87</v>
      </c>
      <c r="N79" s="161">
        <f t="shared" si="67"/>
        <v>537.66</v>
      </c>
      <c r="O79" s="161">
        <f t="shared" si="68"/>
        <v>537.66</v>
      </c>
      <c r="P79" s="187">
        <f t="shared" si="69"/>
        <v>0</v>
      </c>
      <c r="Q79" s="161">
        <f t="shared" si="70"/>
        <v>0</v>
      </c>
      <c r="R79" s="85" t="s">
        <v>186</v>
      </c>
      <c r="S79" s="86">
        <f t="shared" si="71"/>
        <v>90</v>
      </c>
      <c r="T79" s="87">
        <f t="shared" si="66"/>
        <v>-3</v>
      </c>
      <c r="U79">
        <v>15</v>
      </c>
      <c r="W79">
        <f>25+50</f>
        <v>75</v>
      </c>
      <c r="X79" t="s">
        <v>187</v>
      </c>
      <c r="AD79">
        <v>25</v>
      </c>
      <c r="AE79" s="89">
        <f>AD79*F79</f>
        <v>154.5</v>
      </c>
    </row>
    <row r="80" spans="2:31" ht="20.100000000000001" hidden="1" customHeight="1">
      <c r="B80" s="77">
        <v>1</v>
      </c>
      <c r="C80" s="78" t="s">
        <v>49</v>
      </c>
      <c r="D80" s="79" t="s">
        <v>188</v>
      </c>
      <c r="E80" s="80" t="s">
        <v>189</v>
      </c>
      <c r="F80" s="81">
        <v>19.75</v>
      </c>
      <c r="G80" s="222"/>
      <c r="H80" s="186"/>
      <c r="I80" s="186"/>
      <c r="J80" s="308"/>
      <c r="K80" s="227"/>
      <c r="L80" s="82">
        <f t="shared" ref="L80:L144" si="72">G80+I80-J80-K80+H80</f>
        <v>0</v>
      </c>
      <c r="M80" s="331"/>
      <c r="N80" s="161">
        <f t="shared" si="67"/>
        <v>0</v>
      </c>
      <c r="O80" s="161">
        <f t="shared" si="68"/>
        <v>0</v>
      </c>
      <c r="P80" s="187">
        <f t="shared" si="69"/>
        <v>0</v>
      </c>
      <c r="Q80" s="161">
        <f t="shared" si="70"/>
        <v>0</v>
      </c>
      <c r="R80" s="85"/>
      <c r="S80" s="86">
        <f t="shared" si="71"/>
        <v>0</v>
      </c>
      <c r="T80" s="87">
        <f t="shared" si="66"/>
        <v>0</v>
      </c>
    </row>
    <row r="81" spans="2:31" ht="20.100000000000001" hidden="1" customHeight="1">
      <c r="B81" s="77">
        <v>1</v>
      </c>
      <c r="C81" s="78" t="s">
        <v>49</v>
      </c>
      <c r="D81" s="79" t="s">
        <v>190</v>
      </c>
      <c r="E81" s="80" t="s">
        <v>191</v>
      </c>
      <c r="F81" s="81">
        <v>19.75</v>
      </c>
      <c r="G81" s="222"/>
      <c r="H81" s="186"/>
      <c r="I81" s="186"/>
      <c r="J81" s="308"/>
      <c r="K81" s="227"/>
      <c r="L81" s="82">
        <f t="shared" si="72"/>
        <v>0</v>
      </c>
      <c r="M81" s="331"/>
      <c r="N81" s="161">
        <f t="shared" si="67"/>
        <v>0</v>
      </c>
      <c r="O81" s="161">
        <f t="shared" si="68"/>
        <v>0</v>
      </c>
      <c r="P81" s="187">
        <f t="shared" si="69"/>
        <v>0</v>
      </c>
      <c r="Q81" s="161">
        <f t="shared" si="70"/>
        <v>0</v>
      </c>
      <c r="R81" s="85"/>
      <c r="S81" s="86">
        <f t="shared" si="71"/>
        <v>0</v>
      </c>
      <c r="T81" s="87">
        <f t="shared" si="66"/>
        <v>0</v>
      </c>
    </row>
    <row r="82" spans="2:31" ht="20.100000000000001" hidden="1" customHeight="1">
      <c r="B82" s="77">
        <v>1</v>
      </c>
      <c r="C82" s="78" t="s">
        <v>49</v>
      </c>
      <c r="D82" s="79" t="s">
        <v>192</v>
      </c>
      <c r="E82" s="80" t="s">
        <v>193</v>
      </c>
      <c r="F82" s="81">
        <v>6.18</v>
      </c>
      <c r="G82" s="222">
        <v>100</v>
      </c>
      <c r="H82" s="186"/>
      <c r="I82" s="186"/>
      <c r="J82" s="308"/>
      <c r="K82" s="227"/>
      <c r="L82" s="82">
        <f t="shared" si="72"/>
        <v>100</v>
      </c>
      <c r="M82" s="331">
        <v>100</v>
      </c>
      <c r="N82" s="161">
        <f t="shared" si="67"/>
        <v>618</v>
      </c>
      <c r="O82" s="161">
        <f t="shared" si="68"/>
        <v>618</v>
      </c>
      <c r="P82" s="187">
        <f t="shared" si="69"/>
        <v>0</v>
      </c>
      <c r="Q82" s="161">
        <f t="shared" si="70"/>
        <v>0</v>
      </c>
      <c r="R82" s="85"/>
      <c r="S82" s="86">
        <f t="shared" si="71"/>
        <v>100</v>
      </c>
      <c r="T82" s="87">
        <f t="shared" si="66"/>
        <v>0</v>
      </c>
      <c r="U82">
        <v>1</v>
      </c>
      <c r="W82">
        <v>99</v>
      </c>
    </row>
    <row r="83" spans="2:31" ht="20.100000000000001" hidden="1" customHeight="1">
      <c r="B83" s="77">
        <v>1</v>
      </c>
      <c r="C83" s="78" t="s">
        <v>49</v>
      </c>
      <c r="D83" s="79" t="s">
        <v>194</v>
      </c>
      <c r="E83" s="80" t="s">
        <v>195</v>
      </c>
      <c r="F83" s="81">
        <v>5.47</v>
      </c>
      <c r="G83" s="222"/>
      <c r="H83" s="186"/>
      <c r="I83" s="186"/>
      <c r="J83" s="308"/>
      <c r="K83" s="227"/>
      <c r="L83" s="82">
        <f t="shared" si="72"/>
        <v>0</v>
      </c>
      <c r="M83" s="331"/>
      <c r="N83" s="161">
        <f t="shared" si="67"/>
        <v>0</v>
      </c>
      <c r="O83" s="161">
        <f t="shared" si="68"/>
        <v>0</v>
      </c>
      <c r="P83" s="187">
        <f t="shared" si="69"/>
        <v>0</v>
      </c>
      <c r="Q83" s="161">
        <f t="shared" si="70"/>
        <v>0</v>
      </c>
      <c r="R83" s="232"/>
      <c r="S83" s="86">
        <f t="shared" si="71"/>
        <v>0</v>
      </c>
      <c r="T83" s="87">
        <f t="shared" si="66"/>
        <v>0</v>
      </c>
    </row>
    <row r="84" spans="2:31" ht="20.100000000000001" hidden="1" customHeight="1">
      <c r="B84" s="77">
        <v>1</v>
      </c>
      <c r="C84" s="78" t="s">
        <v>49</v>
      </c>
      <c r="D84" s="79" t="s">
        <v>196</v>
      </c>
      <c r="E84" s="80" t="s">
        <v>197</v>
      </c>
      <c r="F84" s="81">
        <v>7.62</v>
      </c>
      <c r="G84" s="222">
        <v>8</v>
      </c>
      <c r="H84" s="186"/>
      <c r="I84" s="186"/>
      <c r="J84" s="308"/>
      <c r="K84" s="227">
        <v>8</v>
      </c>
      <c r="L84" s="82">
        <f t="shared" si="72"/>
        <v>0</v>
      </c>
      <c r="M84" s="331"/>
      <c r="N84" s="161">
        <f t="shared" si="67"/>
        <v>0</v>
      </c>
      <c r="O84" s="161">
        <f t="shared" si="68"/>
        <v>0</v>
      </c>
      <c r="P84" s="187">
        <f t="shared" si="69"/>
        <v>0</v>
      </c>
      <c r="Q84" s="161">
        <f t="shared" si="70"/>
        <v>0</v>
      </c>
      <c r="R84" s="232"/>
      <c r="S84" s="86">
        <f t="shared" si="71"/>
        <v>36</v>
      </c>
      <c r="T84" s="87">
        <f t="shared" si="66"/>
        <v>-36</v>
      </c>
      <c r="U84">
        <v>36</v>
      </c>
    </row>
    <row r="85" spans="2:31" ht="20.100000000000001" hidden="1" customHeight="1">
      <c r="B85" s="77">
        <v>1</v>
      </c>
      <c r="C85" s="78" t="s">
        <v>49</v>
      </c>
      <c r="D85" s="79" t="s">
        <v>198</v>
      </c>
      <c r="E85" s="80" t="s">
        <v>199</v>
      </c>
      <c r="F85" s="81">
        <v>20.81</v>
      </c>
      <c r="G85" s="222"/>
      <c r="H85" s="186"/>
      <c r="I85" s="186"/>
      <c r="J85" s="308"/>
      <c r="K85" s="227"/>
      <c r="L85" s="82">
        <f t="shared" si="72"/>
        <v>0</v>
      </c>
      <c r="M85" s="331"/>
      <c r="N85" s="161">
        <f t="shared" si="67"/>
        <v>0</v>
      </c>
      <c r="O85" s="161">
        <f t="shared" si="68"/>
        <v>0</v>
      </c>
      <c r="P85" s="187">
        <f t="shared" si="69"/>
        <v>0</v>
      </c>
      <c r="Q85" s="161">
        <f t="shared" si="70"/>
        <v>0</v>
      </c>
      <c r="R85" s="85"/>
      <c r="S85" s="86">
        <f t="shared" si="71"/>
        <v>0</v>
      </c>
      <c r="T85" s="87">
        <f t="shared" si="66"/>
        <v>0</v>
      </c>
    </row>
    <row r="86" spans="2:31" ht="20.100000000000001" hidden="1" customHeight="1">
      <c r="B86" s="77">
        <v>1</v>
      </c>
      <c r="C86" s="78" t="s">
        <v>49</v>
      </c>
      <c r="D86" s="79" t="s">
        <v>200</v>
      </c>
      <c r="E86" s="80" t="s">
        <v>201</v>
      </c>
      <c r="F86" s="81">
        <v>11.78</v>
      </c>
      <c r="G86" s="222"/>
      <c r="H86" s="186"/>
      <c r="I86" s="186"/>
      <c r="J86" s="308"/>
      <c r="K86" s="227"/>
      <c r="L86" s="82">
        <f t="shared" si="72"/>
        <v>0</v>
      </c>
      <c r="M86" s="331">
        <v>1</v>
      </c>
      <c r="N86" s="161">
        <f t="shared" si="67"/>
        <v>0</v>
      </c>
      <c r="O86" s="161">
        <f t="shared" si="68"/>
        <v>11.78</v>
      </c>
      <c r="P86" s="187">
        <f t="shared" si="69"/>
        <v>-1</v>
      </c>
      <c r="Q86" s="161">
        <f t="shared" si="70"/>
        <v>-11.78</v>
      </c>
      <c r="R86" s="85"/>
      <c r="S86" s="86">
        <f t="shared" si="71"/>
        <v>1</v>
      </c>
      <c r="T86" s="87">
        <f t="shared" si="66"/>
        <v>0</v>
      </c>
      <c r="AA86">
        <v>1</v>
      </c>
      <c r="AB86" t="s">
        <v>202</v>
      </c>
      <c r="AD86">
        <f>AA86</f>
        <v>1</v>
      </c>
      <c r="AE86" s="89">
        <f>AD86*F86</f>
        <v>11.78</v>
      </c>
    </row>
    <row r="87" spans="2:31" ht="20.100000000000001" hidden="1" customHeight="1">
      <c r="B87" s="77">
        <v>1</v>
      </c>
      <c r="C87" s="78" t="s">
        <v>49</v>
      </c>
      <c r="D87" s="79" t="s">
        <v>203</v>
      </c>
      <c r="E87" s="80" t="s">
        <v>204</v>
      </c>
      <c r="F87" s="81">
        <v>15.35</v>
      </c>
      <c r="G87" s="222"/>
      <c r="H87" s="186"/>
      <c r="I87" s="186"/>
      <c r="J87" s="308"/>
      <c r="K87" s="227"/>
      <c r="L87" s="82">
        <f t="shared" si="72"/>
        <v>0</v>
      </c>
      <c r="M87" s="331"/>
      <c r="N87" s="161">
        <f t="shared" si="67"/>
        <v>0</v>
      </c>
      <c r="O87" s="161">
        <f t="shared" si="68"/>
        <v>0</v>
      </c>
      <c r="P87" s="187">
        <f t="shared" si="69"/>
        <v>0</v>
      </c>
      <c r="Q87" s="161">
        <f t="shared" si="70"/>
        <v>0</v>
      </c>
      <c r="R87" s="232"/>
      <c r="S87" s="86">
        <f t="shared" si="71"/>
        <v>0</v>
      </c>
      <c r="T87" s="87">
        <f t="shared" si="66"/>
        <v>0</v>
      </c>
    </row>
    <row r="88" spans="2:31" ht="20.100000000000001" hidden="1" customHeight="1">
      <c r="B88" s="77">
        <v>1</v>
      </c>
      <c r="C88" s="78" t="s">
        <v>49</v>
      </c>
      <c r="D88" s="79" t="s">
        <v>205</v>
      </c>
      <c r="E88" s="80" t="s">
        <v>206</v>
      </c>
      <c r="F88" s="315">
        <v>33.1</v>
      </c>
      <c r="G88" s="222">
        <v>39</v>
      </c>
      <c r="H88" s="186"/>
      <c r="I88" s="186"/>
      <c r="J88" s="308"/>
      <c r="K88" s="227">
        <v>8</v>
      </c>
      <c r="L88" s="82">
        <f t="shared" si="72"/>
        <v>31</v>
      </c>
      <c r="M88" s="331">
        <v>31</v>
      </c>
      <c r="N88" s="161">
        <f t="shared" si="67"/>
        <v>1026.1000000000001</v>
      </c>
      <c r="O88" s="161">
        <f t="shared" si="68"/>
        <v>1026.1000000000001</v>
      </c>
      <c r="P88" s="187">
        <f t="shared" si="69"/>
        <v>0</v>
      </c>
      <c r="Q88" s="161">
        <f t="shared" si="70"/>
        <v>0</v>
      </c>
      <c r="R88" s="232"/>
      <c r="S88" s="86">
        <f t="shared" si="71"/>
        <v>12</v>
      </c>
      <c r="T88" s="87">
        <f t="shared" si="66"/>
        <v>19</v>
      </c>
      <c r="U88">
        <v>12</v>
      </c>
    </row>
    <row r="89" spans="2:31" ht="20.100000000000001" customHeight="1">
      <c r="B89" s="77">
        <v>1</v>
      </c>
      <c r="C89" s="78" t="s">
        <v>49</v>
      </c>
      <c r="D89" s="79" t="s">
        <v>207</v>
      </c>
      <c r="E89" s="80" t="s">
        <v>208</v>
      </c>
      <c r="F89" s="81">
        <v>6.18</v>
      </c>
      <c r="G89" s="222">
        <v>87</v>
      </c>
      <c r="H89" s="186"/>
      <c r="I89" s="186"/>
      <c r="J89" s="308"/>
      <c r="K89" s="227"/>
      <c r="L89" s="82">
        <f t="shared" si="72"/>
        <v>87</v>
      </c>
      <c r="M89" s="333">
        <v>86</v>
      </c>
      <c r="N89" s="161">
        <f t="shared" si="67"/>
        <v>537.66</v>
      </c>
      <c r="O89" s="161">
        <f t="shared" si="68"/>
        <v>531.48</v>
      </c>
      <c r="P89" s="187">
        <f t="shared" si="69"/>
        <v>1</v>
      </c>
      <c r="Q89" s="161">
        <f t="shared" si="70"/>
        <v>6.17999999999995</v>
      </c>
      <c r="R89" s="85" t="s">
        <v>209</v>
      </c>
      <c r="S89" s="86">
        <f t="shared" si="71"/>
        <v>87</v>
      </c>
      <c r="T89" s="87">
        <f t="shared" si="66"/>
        <v>-1</v>
      </c>
      <c r="U89">
        <v>1</v>
      </c>
      <c r="W89">
        <f>18+18+50</f>
        <v>86</v>
      </c>
      <c r="X89" t="s">
        <v>210</v>
      </c>
      <c r="AD89">
        <f>W89</f>
        <v>86</v>
      </c>
      <c r="AE89" s="89">
        <f>AD89*F89</f>
        <v>531.48</v>
      </c>
    </row>
    <row r="90" spans="2:31" ht="20.100000000000001" hidden="1" customHeight="1">
      <c r="B90" s="77">
        <v>1</v>
      </c>
      <c r="C90" s="78" t="s">
        <v>49</v>
      </c>
      <c r="D90" s="79" t="s">
        <v>211</v>
      </c>
      <c r="E90" s="80" t="s">
        <v>212</v>
      </c>
      <c r="F90" s="81">
        <v>37.950000000000003</v>
      </c>
      <c r="G90" s="222"/>
      <c r="H90" s="186"/>
      <c r="I90" s="186"/>
      <c r="J90" s="308"/>
      <c r="K90" s="227"/>
      <c r="L90" s="82">
        <f t="shared" si="72"/>
        <v>0</v>
      </c>
      <c r="M90" s="331"/>
      <c r="N90" s="161">
        <f t="shared" si="67"/>
        <v>0</v>
      </c>
      <c r="O90" s="161">
        <f t="shared" si="68"/>
        <v>0</v>
      </c>
      <c r="P90" s="187">
        <f t="shared" si="69"/>
        <v>0</v>
      </c>
      <c r="Q90" s="161">
        <f t="shared" si="70"/>
        <v>0</v>
      </c>
      <c r="R90" s="232"/>
      <c r="S90" s="86">
        <f t="shared" si="71"/>
        <v>0</v>
      </c>
      <c r="T90" s="87">
        <f t="shared" si="66"/>
        <v>0</v>
      </c>
    </row>
    <row r="91" spans="2:31" ht="20.100000000000001" hidden="1" customHeight="1">
      <c r="B91" s="77">
        <v>1</v>
      </c>
      <c r="C91" s="78" t="s">
        <v>49</v>
      </c>
      <c r="D91" s="79" t="s">
        <v>213</v>
      </c>
      <c r="E91" s="80" t="s">
        <v>214</v>
      </c>
      <c r="F91" s="81">
        <v>6.18</v>
      </c>
      <c r="G91" s="222">
        <v>132</v>
      </c>
      <c r="H91" s="186"/>
      <c r="I91" s="186"/>
      <c r="J91" s="308"/>
      <c r="K91" s="227"/>
      <c r="L91" s="82">
        <f t="shared" si="72"/>
        <v>132</v>
      </c>
      <c r="M91" s="331">
        <v>132</v>
      </c>
      <c r="N91" s="161">
        <f t="shared" si="67"/>
        <v>815.76</v>
      </c>
      <c r="O91" s="161">
        <f t="shared" si="68"/>
        <v>815.76</v>
      </c>
      <c r="P91" s="187">
        <f t="shared" si="69"/>
        <v>0</v>
      </c>
      <c r="Q91" s="161">
        <f t="shared" si="70"/>
        <v>0</v>
      </c>
      <c r="R91" s="85" t="s">
        <v>215</v>
      </c>
      <c r="S91" s="86">
        <f t="shared" si="71"/>
        <v>135</v>
      </c>
      <c r="T91" s="87">
        <f t="shared" si="66"/>
        <v>-3</v>
      </c>
      <c r="U91">
        <v>29</v>
      </c>
      <c r="W91">
        <f>56+50</f>
        <v>106</v>
      </c>
      <c r="X91" t="s">
        <v>216</v>
      </c>
      <c r="AD91">
        <v>56</v>
      </c>
      <c r="AE91" s="89">
        <f>AD91*F91</f>
        <v>346.08</v>
      </c>
    </row>
    <row r="92" spans="2:31" ht="20.100000000000001" hidden="1" customHeight="1">
      <c r="B92" s="77">
        <v>1</v>
      </c>
      <c r="C92" s="78" t="s">
        <v>49</v>
      </c>
      <c r="D92" s="79" t="s">
        <v>217</v>
      </c>
      <c r="E92" s="80" t="s">
        <v>218</v>
      </c>
      <c r="F92" s="81">
        <v>21.97</v>
      </c>
      <c r="G92" s="222">
        <v>17</v>
      </c>
      <c r="H92" s="186"/>
      <c r="I92" s="186"/>
      <c r="J92" s="308"/>
      <c r="K92" s="227"/>
      <c r="L92" s="82">
        <f t="shared" si="72"/>
        <v>17</v>
      </c>
      <c r="M92" s="331">
        <v>17</v>
      </c>
      <c r="N92" s="161">
        <f t="shared" si="67"/>
        <v>373.49</v>
      </c>
      <c r="O92" s="161">
        <f t="shared" si="68"/>
        <v>373.49</v>
      </c>
      <c r="P92" s="187">
        <f t="shared" si="69"/>
        <v>0</v>
      </c>
      <c r="Q92" s="161">
        <f t="shared" si="70"/>
        <v>0</v>
      </c>
      <c r="R92" s="85"/>
      <c r="S92" s="86">
        <f t="shared" si="71"/>
        <v>21</v>
      </c>
      <c r="T92" s="87">
        <f t="shared" si="66"/>
        <v>-4</v>
      </c>
      <c r="U92">
        <v>6</v>
      </c>
      <c r="W92">
        <v>15</v>
      </c>
    </row>
    <row r="93" spans="2:31" ht="20.100000000000001" hidden="1" customHeight="1">
      <c r="B93" s="77">
        <v>1</v>
      </c>
      <c r="C93" s="78" t="s">
        <v>49</v>
      </c>
      <c r="D93" s="79" t="s">
        <v>219</v>
      </c>
      <c r="E93" s="80" t="s">
        <v>220</v>
      </c>
      <c r="F93" s="81">
        <v>6.18</v>
      </c>
      <c r="G93" s="222">
        <v>49</v>
      </c>
      <c r="H93" s="186"/>
      <c r="I93" s="186"/>
      <c r="J93" s="308"/>
      <c r="K93" s="227"/>
      <c r="L93" s="82">
        <f t="shared" si="72"/>
        <v>49</v>
      </c>
      <c r="M93" s="331">
        <v>49</v>
      </c>
      <c r="N93" s="161">
        <f t="shared" si="67"/>
        <v>302.82</v>
      </c>
      <c r="O93" s="161">
        <f t="shared" si="68"/>
        <v>302.82</v>
      </c>
      <c r="P93" s="187">
        <f t="shared" si="69"/>
        <v>0</v>
      </c>
      <c r="Q93" s="161">
        <f t="shared" si="70"/>
        <v>0</v>
      </c>
      <c r="R93" s="232"/>
      <c r="S93" s="86">
        <f t="shared" si="71"/>
        <v>53</v>
      </c>
      <c r="T93" s="87">
        <f t="shared" si="66"/>
        <v>-4</v>
      </c>
      <c r="U93">
        <v>4</v>
      </c>
      <c r="W93">
        <v>49</v>
      </c>
      <c r="X93" t="s">
        <v>221</v>
      </c>
      <c r="AD93">
        <f>W93</f>
        <v>49</v>
      </c>
      <c r="AE93" s="89">
        <f>AD93*F93</f>
        <v>302.82</v>
      </c>
    </row>
    <row r="94" spans="2:31" ht="20.100000000000001" hidden="1" customHeight="1">
      <c r="B94" s="77">
        <v>1</v>
      </c>
      <c r="C94" s="78" t="s">
        <v>49</v>
      </c>
      <c r="D94" s="79" t="s">
        <v>222</v>
      </c>
      <c r="E94" s="80" t="s">
        <v>223</v>
      </c>
      <c r="F94" s="81">
        <v>21.97</v>
      </c>
      <c r="G94" s="222">
        <v>32</v>
      </c>
      <c r="H94" s="186"/>
      <c r="I94" s="186"/>
      <c r="J94" s="308"/>
      <c r="K94" s="227"/>
      <c r="L94" s="82">
        <f t="shared" si="72"/>
        <v>32</v>
      </c>
      <c r="M94" s="331">
        <v>32</v>
      </c>
      <c r="N94" s="161">
        <f t="shared" si="67"/>
        <v>703.04</v>
      </c>
      <c r="O94" s="161">
        <f t="shared" si="68"/>
        <v>703.04</v>
      </c>
      <c r="P94" s="187">
        <f t="shared" si="69"/>
        <v>0</v>
      </c>
      <c r="Q94" s="161">
        <f t="shared" si="70"/>
        <v>0</v>
      </c>
      <c r="R94" s="85" t="s">
        <v>224</v>
      </c>
      <c r="S94" s="86">
        <f t="shared" si="71"/>
        <v>36</v>
      </c>
      <c r="T94" s="87">
        <f t="shared" si="66"/>
        <v>-4</v>
      </c>
      <c r="U94">
        <v>4</v>
      </c>
      <c r="W94">
        <f>17+15</f>
        <v>32</v>
      </c>
      <c r="X94" t="s">
        <v>225</v>
      </c>
      <c r="AD94">
        <v>15</v>
      </c>
      <c r="AE94" s="89">
        <f>AD94*F94</f>
        <v>329.54999999999995</v>
      </c>
    </row>
    <row r="95" spans="2:31" ht="20.100000000000001" hidden="1" customHeight="1">
      <c r="B95" s="77">
        <v>1</v>
      </c>
      <c r="C95" s="78" t="s">
        <v>49</v>
      </c>
      <c r="D95" s="79" t="s">
        <v>226</v>
      </c>
      <c r="E95" s="80" t="s">
        <v>227</v>
      </c>
      <c r="F95" s="81">
        <v>6.43</v>
      </c>
      <c r="G95" s="222"/>
      <c r="H95" s="186"/>
      <c r="I95" s="186"/>
      <c r="J95" s="308"/>
      <c r="K95" s="227"/>
      <c r="L95" s="82">
        <f t="shared" si="72"/>
        <v>0</v>
      </c>
      <c r="M95" s="331"/>
      <c r="N95" s="161">
        <f t="shared" si="67"/>
        <v>0</v>
      </c>
      <c r="O95" s="161">
        <f t="shared" si="68"/>
        <v>0</v>
      </c>
      <c r="P95" s="187">
        <f t="shared" si="69"/>
        <v>0</v>
      </c>
      <c r="Q95" s="161">
        <f t="shared" si="70"/>
        <v>0</v>
      </c>
      <c r="R95" s="85"/>
      <c r="S95" s="86">
        <f t="shared" si="71"/>
        <v>0</v>
      </c>
      <c r="T95" s="87">
        <f t="shared" si="66"/>
        <v>0</v>
      </c>
    </row>
    <row r="96" spans="2:31" ht="20.100000000000001" hidden="1" customHeight="1">
      <c r="B96" s="77">
        <v>1</v>
      </c>
      <c r="C96" s="78" t="s">
        <v>49</v>
      </c>
      <c r="D96" s="79" t="s">
        <v>228</v>
      </c>
      <c r="E96" s="80" t="s">
        <v>229</v>
      </c>
      <c r="F96" s="81">
        <v>6.18</v>
      </c>
      <c r="G96" s="222">
        <v>90</v>
      </c>
      <c r="H96" s="186"/>
      <c r="I96" s="186"/>
      <c r="J96" s="308"/>
      <c r="K96" s="227"/>
      <c r="L96" s="82">
        <f t="shared" si="72"/>
        <v>90</v>
      </c>
      <c r="M96" s="331">
        <f>7+34+49</f>
        <v>90</v>
      </c>
      <c r="N96" s="161">
        <f t="shared" si="67"/>
        <v>556.19999999999993</v>
      </c>
      <c r="O96" s="161">
        <f t="shared" si="68"/>
        <v>556.19999999999993</v>
      </c>
      <c r="P96" s="187">
        <f t="shared" si="69"/>
        <v>0</v>
      </c>
      <c r="Q96" s="161">
        <f t="shared" si="70"/>
        <v>0</v>
      </c>
      <c r="R96" s="85" t="s">
        <v>230</v>
      </c>
      <c r="S96" s="86">
        <f t="shared" si="71"/>
        <v>94</v>
      </c>
      <c r="T96" s="87">
        <f t="shared" si="66"/>
        <v>-4</v>
      </c>
      <c r="U96">
        <v>38</v>
      </c>
      <c r="W96">
        <f>7+49</f>
        <v>56</v>
      </c>
      <c r="X96" t="s">
        <v>231</v>
      </c>
      <c r="AD96">
        <v>49</v>
      </c>
      <c r="AE96" s="89">
        <f>AD96*F96</f>
        <v>302.82</v>
      </c>
    </row>
    <row r="97" spans="2:31" ht="20.100000000000001" hidden="1" customHeight="1">
      <c r="B97" s="77">
        <v>1</v>
      </c>
      <c r="C97" s="78" t="s">
        <v>49</v>
      </c>
      <c r="D97" s="79" t="s">
        <v>232</v>
      </c>
      <c r="E97" s="80" t="s">
        <v>233</v>
      </c>
      <c r="F97" s="81">
        <v>19.75</v>
      </c>
      <c r="G97" s="222"/>
      <c r="H97" s="186"/>
      <c r="I97" s="186"/>
      <c r="J97" s="308"/>
      <c r="K97" s="227"/>
      <c r="L97" s="82">
        <f t="shared" si="72"/>
        <v>0</v>
      </c>
      <c r="M97" s="331"/>
      <c r="N97" s="161">
        <f t="shared" si="67"/>
        <v>0</v>
      </c>
      <c r="O97" s="161">
        <f t="shared" si="68"/>
        <v>0</v>
      </c>
      <c r="P97" s="187">
        <f t="shared" si="69"/>
        <v>0</v>
      </c>
      <c r="Q97" s="161">
        <f t="shared" si="70"/>
        <v>0</v>
      </c>
      <c r="R97" s="85"/>
      <c r="S97" s="86">
        <f t="shared" si="71"/>
        <v>0</v>
      </c>
      <c r="T97" s="87">
        <f t="shared" si="66"/>
        <v>0</v>
      </c>
    </row>
    <row r="98" spans="2:31" ht="20.100000000000001" hidden="1" customHeight="1">
      <c r="B98" s="77">
        <v>1</v>
      </c>
      <c r="C98" s="78" t="s">
        <v>49</v>
      </c>
      <c r="D98" s="79" t="s">
        <v>234</v>
      </c>
      <c r="E98" s="80" t="s">
        <v>235</v>
      </c>
      <c r="F98" s="81">
        <v>15.75</v>
      </c>
      <c r="G98" s="222">
        <v>54</v>
      </c>
      <c r="H98" s="186"/>
      <c r="I98" s="186"/>
      <c r="J98" s="308"/>
      <c r="K98" s="227"/>
      <c r="L98" s="82">
        <f t="shared" si="72"/>
        <v>54</v>
      </c>
      <c r="M98" s="331">
        <v>54</v>
      </c>
      <c r="N98" s="161">
        <f t="shared" si="67"/>
        <v>850.5</v>
      </c>
      <c r="O98" s="161">
        <f t="shared" si="68"/>
        <v>850.5</v>
      </c>
      <c r="P98" s="187">
        <f t="shared" si="69"/>
        <v>0</v>
      </c>
      <c r="Q98" s="161">
        <f t="shared" si="70"/>
        <v>0</v>
      </c>
      <c r="R98" s="91">
        <v>45620</v>
      </c>
      <c r="S98" s="86">
        <f t="shared" si="71"/>
        <v>54</v>
      </c>
      <c r="T98" s="87">
        <f t="shared" si="66"/>
        <v>0</v>
      </c>
      <c r="W98">
        <v>54</v>
      </c>
      <c r="X98" t="s">
        <v>115</v>
      </c>
      <c r="AD98">
        <f>W98</f>
        <v>54</v>
      </c>
      <c r="AE98" s="89">
        <f>AD98*F98</f>
        <v>850.5</v>
      </c>
    </row>
    <row r="99" spans="2:31" ht="20.100000000000001" hidden="1" customHeight="1">
      <c r="B99" s="77">
        <v>1</v>
      </c>
      <c r="C99" s="78" t="s">
        <v>49</v>
      </c>
      <c r="D99" s="79" t="s">
        <v>236</v>
      </c>
      <c r="E99" s="80" t="s">
        <v>237</v>
      </c>
      <c r="F99" s="81">
        <v>6.43</v>
      </c>
      <c r="G99" s="222">
        <v>50</v>
      </c>
      <c r="H99" s="186"/>
      <c r="I99" s="186"/>
      <c r="J99" s="308"/>
      <c r="K99" s="227"/>
      <c r="L99" s="82">
        <f t="shared" si="72"/>
        <v>50</v>
      </c>
      <c r="M99" s="331">
        <v>50</v>
      </c>
      <c r="N99" s="161">
        <f t="shared" si="67"/>
        <v>321.5</v>
      </c>
      <c r="O99" s="161">
        <f t="shared" si="68"/>
        <v>321.5</v>
      </c>
      <c r="P99" s="187">
        <f t="shared" si="69"/>
        <v>0</v>
      </c>
      <c r="Q99" s="161">
        <f t="shared" si="70"/>
        <v>0</v>
      </c>
      <c r="R99" s="85"/>
      <c r="S99" s="86">
        <f t="shared" si="71"/>
        <v>50</v>
      </c>
      <c r="T99" s="87">
        <f t="shared" si="66"/>
        <v>0</v>
      </c>
      <c r="W99">
        <v>50</v>
      </c>
      <c r="X99" t="s">
        <v>115</v>
      </c>
      <c r="AD99">
        <f t="shared" ref="AD99:AD100" si="73">W99</f>
        <v>50</v>
      </c>
      <c r="AE99" s="89">
        <f>AD99*F99</f>
        <v>321.5</v>
      </c>
    </row>
    <row r="100" spans="2:31" ht="20.100000000000001" hidden="1" customHeight="1">
      <c r="B100" s="77">
        <v>1</v>
      </c>
      <c r="C100" s="78" t="s">
        <v>49</v>
      </c>
      <c r="D100" s="79" t="s">
        <v>238</v>
      </c>
      <c r="E100" s="80" t="s">
        <v>239</v>
      </c>
      <c r="F100" s="81">
        <v>8.61</v>
      </c>
      <c r="G100" s="222">
        <v>101</v>
      </c>
      <c r="H100" s="186"/>
      <c r="I100" s="186"/>
      <c r="J100" s="308"/>
      <c r="K100" s="227"/>
      <c r="L100" s="82">
        <f t="shared" si="72"/>
        <v>101</v>
      </c>
      <c r="M100" s="331">
        <v>101</v>
      </c>
      <c r="N100" s="161">
        <f t="shared" si="67"/>
        <v>869.6099999999999</v>
      </c>
      <c r="O100" s="161">
        <f t="shared" si="68"/>
        <v>869.6099999999999</v>
      </c>
      <c r="P100" s="187">
        <f t="shared" si="69"/>
        <v>0</v>
      </c>
      <c r="Q100" s="161">
        <f t="shared" si="70"/>
        <v>0</v>
      </c>
      <c r="R100" s="91">
        <v>45489</v>
      </c>
      <c r="S100" s="86">
        <f t="shared" si="71"/>
        <v>101</v>
      </c>
      <c r="T100" s="87">
        <f t="shared" si="66"/>
        <v>0</v>
      </c>
      <c r="W100">
        <f>51+50</f>
        <v>101</v>
      </c>
      <c r="X100" t="s">
        <v>115</v>
      </c>
      <c r="AD100">
        <f t="shared" si="73"/>
        <v>101</v>
      </c>
      <c r="AE100" s="89">
        <f>AD100*F100</f>
        <v>869.6099999999999</v>
      </c>
    </row>
    <row r="101" spans="2:31" ht="20.100000000000001" hidden="1" customHeight="1">
      <c r="B101" s="77">
        <v>1</v>
      </c>
      <c r="C101" s="78" t="s">
        <v>49</v>
      </c>
      <c r="D101" s="79" t="s">
        <v>240</v>
      </c>
      <c r="E101" s="80" t="s">
        <v>241</v>
      </c>
      <c r="F101" s="81">
        <v>37.950000000000003</v>
      </c>
      <c r="G101" s="222"/>
      <c r="H101" s="186"/>
      <c r="I101" s="186"/>
      <c r="J101" s="308"/>
      <c r="K101" s="227"/>
      <c r="L101" s="82">
        <f t="shared" si="72"/>
        <v>0</v>
      </c>
      <c r="M101" s="331"/>
      <c r="N101" s="161">
        <f t="shared" si="67"/>
        <v>0</v>
      </c>
      <c r="O101" s="161">
        <f t="shared" si="68"/>
        <v>0</v>
      </c>
      <c r="P101" s="187">
        <f t="shared" si="69"/>
        <v>0</v>
      </c>
      <c r="Q101" s="161">
        <f t="shared" si="70"/>
        <v>0</v>
      </c>
      <c r="R101" s="232"/>
      <c r="S101" s="86">
        <f t="shared" si="71"/>
        <v>0</v>
      </c>
      <c r="T101" s="87">
        <f t="shared" si="66"/>
        <v>0</v>
      </c>
    </row>
    <row r="102" spans="2:31" ht="20.100000000000001" hidden="1" customHeight="1">
      <c r="B102" s="77">
        <v>1</v>
      </c>
      <c r="C102" s="78" t="s">
        <v>49</v>
      </c>
      <c r="D102" s="79" t="s">
        <v>242</v>
      </c>
      <c r="E102" s="80" t="s">
        <v>243</v>
      </c>
      <c r="F102" s="81">
        <v>8.61</v>
      </c>
      <c r="G102" s="222"/>
      <c r="H102" s="186"/>
      <c r="I102" s="186"/>
      <c r="J102" s="308"/>
      <c r="K102" s="227"/>
      <c r="L102" s="82">
        <f t="shared" si="72"/>
        <v>0</v>
      </c>
      <c r="M102" s="331"/>
      <c r="N102" s="161">
        <f t="shared" si="67"/>
        <v>0</v>
      </c>
      <c r="O102" s="161">
        <f t="shared" si="68"/>
        <v>0</v>
      </c>
      <c r="P102" s="187">
        <f t="shared" si="69"/>
        <v>0</v>
      </c>
      <c r="Q102" s="161">
        <f t="shared" si="70"/>
        <v>0</v>
      </c>
      <c r="R102" s="85"/>
      <c r="S102" s="86">
        <f t="shared" si="71"/>
        <v>0</v>
      </c>
      <c r="T102" s="87">
        <f t="shared" si="66"/>
        <v>0</v>
      </c>
    </row>
    <row r="103" spans="2:31" ht="20.100000000000001" hidden="1" customHeight="1">
      <c r="B103" s="77">
        <v>1</v>
      </c>
      <c r="C103" s="78" t="s">
        <v>49</v>
      </c>
      <c r="D103" s="79" t="s">
        <v>244</v>
      </c>
      <c r="E103" s="80" t="s">
        <v>245</v>
      </c>
      <c r="F103" s="81">
        <v>6.43</v>
      </c>
      <c r="G103" s="222"/>
      <c r="H103" s="186"/>
      <c r="I103" s="186"/>
      <c r="J103" s="308"/>
      <c r="K103" s="227"/>
      <c r="L103" s="82">
        <f t="shared" si="72"/>
        <v>0</v>
      </c>
      <c r="M103" s="331"/>
      <c r="N103" s="161">
        <f t="shared" si="67"/>
        <v>0</v>
      </c>
      <c r="O103" s="161">
        <f t="shared" si="68"/>
        <v>0</v>
      </c>
      <c r="P103" s="187">
        <f t="shared" si="69"/>
        <v>0</v>
      </c>
      <c r="Q103" s="161">
        <f t="shared" si="70"/>
        <v>0</v>
      </c>
      <c r="R103" s="85"/>
      <c r="S103" s="86">
        <f t="shared" si="71"/>
        <v>0</v>
      </c>
      <c r="T103" s="87">
        <f t="shared" si="66"/>
        <v>0</v>
      </c>
    </row>
    <row r="104" spans="2:31" ht="20.100000000000001" hidden="1" customHeight="1">
      <c r="B104" s="77">
        <v>1</v>
      </c>
      <c r="C104" s="78" t="s">
        <v>49</v>
      </c>
      <c r="D104" s="79" t="s">
        <v>246</v>
      </c>
      <c r="E104" s="80" t="s">
        <v>247</v>
      </c>
      <c r="F104" s="81">
        <v>30.75</v>
      </c>
      <c r="G104" s="222"/>
      <c r="H104" s="186"/>
      <c r="I104" s="186"/>
      <c r="J104" s="308"/>
      <c r="K104" s="227"/>
      <c r="L104" s="82">
        <f t="shared" si="72"/>
        <v>0</v>
      </c>
      <c r="M104" s="331"/>
      <c r="N104" s="161">
        <f t="shared" si="67"/>
        <v>0</v>
      </c>
      <c r="O104" s="161">
        <f t="shared" si="68"/>
        <v>0</v>
      </c>
      <c r="P104" s="187">
        <f t="shared" si="69"/>
        <v>0</v>
      </c>
      <c r="Q104" s="161">
        <f t="shared" si="70"/>
        <v>0</v>
      </c>
      <c r="R104" s="85"/>
      <c r="S104" s="86">
        <f t="shared" si="71"/>
        <v>0</v>
      </c>
      <c r="T104" s="87">
        <f t="shared" si="66"/>
        <v>0</v>
      </c>
    </row>
    <row r="105" spans="2:31" ht="20.100000000000001" hidden="1" customHeight="1">
      <c r="B105" s="77">
        <v>1</v>
      </c>
      <c r="C105" s="78" t="s">
        <v>49</v>
      </c>
      <c r="D105" s="79" t="s">
        <v>248</v>
      </c>
      <c r="E105" s="80" t="s">
        <v>249</v>
      </c>
      <c r="F105" s="81">
        <v>6.43</v>
      </c>
      <c r="G105" s="222">
        <v>5</v>
      </c>
      <c r="H105" s="186"/>
      <c r="I105" s="186"/>
      <c r="J105" s="308"/>
      <c r="K105" s="227"/>
      <c r="L105" s="82">
        <f t="shared" si="72"/>
        <v>5</v>
      </c>
      <c r="M105" s="331">
        <v>5</v>
      </c>
      <c r="N105" s="161">
        <f t="shared" si="67"/>
        <v>32.15</v>
      </c>
      <c r="O105" s="161">
        <f t="shared" si="68"/>
        <v>32.15</v>
      </c>
      <c r="P105" s="187">
        <f t="shared" si="69"/>
        <v>0</v>
      </c>
      <c r="Q105" s="161">
        <f t="shared" si="70"/>
        <v>0</v>
      </c>
      <c r="R105" s="91">
        <v>45613</v>
      </c>
      <c r="S105" s="86">
        <f t="shared" si="71"/>
        <v>5</v>
      </c>
      <c r="T105" s="87">
        <f t="shared" si="66"/>
        <v>0</v>
      </c>
      <c r="W105">
        <v>5</v>
      </c>
      <c r="X105" t="s">
        <v>115</v>
      </c>
      <c r="AD105">
        <f>W105</f>
        <v>5</v>
      </c>
      <c r="AE105" s="89">
        <f>AD105*F105</f>
        <v>32.15</v>
      </c>
    </row>
    <row r="106" spans="2:31" ht="20.100000000000001" hidden="1" customHeight="1">
      <c r="B106" s="77">
        <v>1</v>
      </c>
      <c r="C106" s="78" t="s">
        <v>49</v>
      </c>
      <c r="D106" s="79" t="s">
        <v>250</v>
      </c>
      <c r="E106" s="80" t="s">
        <v>251</v>
      </c>
      <c r="F106" s="81">
        <v>22.86</v>
      </c>
      <c r="G106" s="222"/>
      <c r="H106" s="186"/>
      <c r="I106" s="186"/>
      <c r="J106" s="308"/>
      <c r="K106" s="227"/>
      <c r="L106" s="82">
        <f t="shared" si="72"/>
        <v>0</v>
      </c>
      <c r="M106" s="331"/>
      <c r="N106" s="161">
        <f t="shared" si="67"/>
        <v>0</v>
      </c>
      <c r="O106" s="161">
        <f t="shared" si="68"/>
        <v>0</v>
      </c>
      <c r="P106" s="187">
        <f t="shared" si="69"/>
        <v>0</v>
      </c>
      <c r="Q106" s="161">
        <f t="shared" si="70"/>
        <v>0</v>
      </c>
      <c r="R106" s="85"/>
      <c r="S106" s="86">
        <f t="shared" si="71"/>
        <v>0</v>
      </c>
      <c r="T106" s="87">
        <f t="shared" si="66"/>
        <v>0</v>
      </c>
    </row>
    <row r="107" spans="2:31" ht="20.100000000000001" hidden="1" customHeight="1">
      <c r="B107" s="77">
        <v>1</v>
      </c>
      <c r="C107" s="78" t="s">
        <v>49</v>
      </c>
      <c r="D107" s="79" t="s">
        <v>252</v>
      </c>
      <c r="E107" s="80" t="s">
        <v>253</v>
      </c>
      <c r="F107" s="81">
        <v>22.86</v>
      </c>
      <c r="G107" s="222"/>
      <c r="H107" s="186"/>
      <c r="I107" s="186"/>
      <c r="J107" s="308"/>
      <c r="K107" s="227"/>
      <c r="L107" s="82">
        <f t="shared" si="72"/>
        <v>0</v>
      </c>
      <c r="M107" s="331"/>
      <c r="N107" s="161">
        <f t="shared" si="67"/>
        <v>0</v>
      </c>
      <c r="O107" s="161">
        <f t="shared" si="68"/>
        <v>0</v>
      </c>
      <c r="P107" s="187">
        <f t="shared" si="69"/>
        <v>0</v>
      </c>
      <c r="Q107" s="161">
        <f t="shared" si="70"/>
        <v>0</v>
      </c>
      <c r="R107" s="85"/>
      <c r="S107" s="86">
        <f t="shared" si="71"/>
        <v>0</v>
      </c>
      <c r="T107" s="87">
        <f t="shared" si="66"/>
        <v>0</v>
      </c>
    </row>
    <row r="108" spans="2:31" ht="20.100000000000001" customHeight="1">
      <c r="B108" s="77">
        <v>1</v>
      </c>
      <c r="C108" s="78" t="s">
        <v>49</v>
      </c>
      <c r="D108" s="79" t="s">
        <v>254</v>
      </c>
      <c r="E108" s="80" t="s">
        <v>255</v>
      </c>
      <c r="F108" s="81">
        <v>6.18</v>
      </c>
      <c r="G108" s="222">
        <v>129</v>
      </c>
      <c r="H108" s="186"/>
      <c r="I108" s="186"/>
      <c r="J108" s="308"/>
      <c r="K108" s="227"/>
      <c r="L108" s="82">
        <f t="shared" si="72"/>
        <v>129</v>
      </c>
      <c r="M108" s="331">
        <f>50+55+23</f>
        <v>128</v>
      </c>
      <c r="N108" s="161">
        <f t="shared" si="67"/>
        <v>797.21999999999991</v>
      </c>
      <c r="O108" s="161">
        <f t="shared" si="68"/>
        <v>791.04</v>
      </c>
      <c r="P108" s="187">
        <f t="shared" si="69"/>
        <v>1</v>
      </c>
      <c r="Q108" s="161">
        <f t="shared" si="70"/>
        <v>6.17999999999995</v>
      </c>
      <c r="R108" s="232"/>
      <c r="S108" s="86">
        <f t="shared" si="71"/>
        <v>138</v>
      </c>
      <c r="T108" s="87">
        <f t="shared" si="66"/>
        <v>-10</v>
      </c>
      <c r="U108">
        <v>32</v>
      </c>
      <c r="W108">
        <f>55+51</f>
        <v>106</v>
      </c>
      <c r="X108" t="s">
        <v>256</v>
      </c>
      <c r="AD108">
        <v>51</v>
      </c>
      <c r="AE108" s="89">
        <f>AD108*F108</f>
        <v>315.18</v>
      </c>
    </row>
    <row r="109" spans="2:31" ht="20.100000000000001" hidden="1" customHeight="1">
      <c r="B109" s="77">
        <v>1</v>
      </c>
      <c r="C109" s="78" t="s">
        <v>49</v>
      </c>
      <c r="D109" s="79" t="s">
        <v>257</v>
      </c>
      <c r="E109" s="80" t="s">
        <v>258</v>
      </c>
      <c r="F109" s="81">
        <v>21.97</v>
      </c>
      <c r="G109" s="222">
        <v>16</v>
      </c>
      <c r="H109" s="186"/>
      <c r="I109" s="186"/>
      <c r="J109" s="308"/>
      <c r="K109" s="227"/>
      <c r="L109" s="82">
        <f t="shared" si="72"/>
        <v>16</v>
      </c>
      <c r="M109" s="331">
        <v>16</v>
      </c>
      <c r="N109" s="161">
        <f t="shared" si="67"/>
        <v>351.52</v>
      </c>
      <c r="O109" s="161">
        <f t="shared" si="68"/>
        <v>351.52</v>
      </c>
      <c r="P109" s="187">
        <f t="shared" si="69"/>
        <v>0</v>
      </c>
      <c r="Q109" s="161">
        <f t="shared" si="70"/>
        <v>0</v>
      </c>
      <c r="R109" s="85" t="s">
        <v>259</v>
      </c>
      <c r="S109" s="86">
        <f t="shared" si="71"/>
        <v>20</v>
      </c>
      <c r="T109" s="87">
        <f t="shared" si="66"/>
        <v>-4</v>
      </c>
      <c r="U109">
        <v>5</v>
      </c>
      <c r="W109">
        <v>15</v>
      </c>
      <c r="X109" t="s">
        <v>260</v>
      </c>
      <c r="AD109">
        <f>W109</f>
        <v>15</v>
      </c>
      <c r="AE109" s="89">
        <f>AD109*F109</f>
        <v>329.54999999999995</v>
      </c>
    </row>
    <row r="110" spans="2:31" ht="20.100000000000001" hidden="1" customHeight="1">
      <c r="B110" s="77">
        <v>1</v>
      </c>
      <c r="C110" s="78" t="s">
        <v>49</v>
      </c>
      <c r="D110" s="79" t="s">
        <v>261</v>
      </c>
      <c r="E110" s="80" t="s">
        <v>262</v>
      </c>
      <c r="F110" s="81">
        <v>6.43</v>
      </c>
      <c r="G110" s="222">
        <v>32</v>
      </c>
      <c r="H110" s="186"/>
      <c r="I110" s="186"/>
      <c r="J110" s="308"/>
      <c r="K110" s="227"/>
      <c r="L110" s="82">
        <f t="shared" si="72"/>
        <v>32</v>
      </c>
      <c r="M110" s="331">
        <v>32</v>
      </c>
      <c r="N110" s="161">
        <f t="shared" si="67"/>
        <v>205.76</v>
      </c>
      <c r="O110" s="161">
        <f t="shared" si="68"/>
        <v>205.76</v>
      </c>
      <c r="P110" s="187">
        <f t="shared" si="69"/>
        <v>0</v>
      </c>
      <c r="Q110" s="161">
        <f t="shared" si="70"/>
        <v>0</v>
      </c>
      <c r="R110" s="91">
        <v>45584</v>
      </c>
      <c r="S110" s="86">
        <f t="shared" si="71"/>
        <v>32</v>
      </c>
      <c r="T110" s="87">
        <f t="shared" si="66"/>
        <v>0</v>
      </c>
      <c r="W110">
        <v>32</v>
      </c>
      <c r="X110" t="s">
        <v>115</v>
      </c>
      <c r="AD110">
        <f>W110</f>
        <v>32</v>
      </c>
      <c r="AE110" s="89">
        <f>AD110*F110</f>
        <v>205.76</v>
      </c>
    </row>
    <row r="111" spans="2:31" ht="20.100000000000001" hidden="1" customHeight="1">
      <c r="B111" s="77">
        <v>1</v>
      </c>
      <c r="C111" s="78" t="s">
        <v>49</v>
      </c>
      <c r="D111" s="79" t="s">
        <v>263</v>
      </c>
      <c r="E111" s="80" t="s">
        <v>264</v>
      </c>
      <c r="F111" s="81">
        <v>22.86</v>
      </c>
      <c r="G111" s="222"/>
      <c r="H111" s="186"/>
      <c r="I111" s="186"/>
      <c r="J111" s="308"/>
      <c r="K111" s="227"/>
      <c r="L111" s="82">
        <f t="shared" si="72"/>
        <v>0</v>
      </c>
      <c r="M111" s="331"/>
      <c r="N111" s="161">
        <f t="shared" si="67"/>
        <v>0</v>
      </c>
      <c r="O111" s="161">
        <f t="shared" si="68"/>
        <v>0</v>
      </c>
      <c r="P111" s="187">
        <f t="shared" si="69"/>
        <v>0</v>
      </c>
      <c r="Q111" s="161">
        <f t="shared" si="70"/>
        <v>0</v>
      </c>
      <c r="R111" s="85"/>
      <c r="S111" s="86">
        <f t="shared" si="71"/>
        <v>0</v>
      </c>
      <c r="T111" s="87">
        <f t="shared" si="66"/>
        <v>0</v>
      </c>
    </row>
    <row r="112" spans="2:31" ht="20.100000000000001" hidden="1" customHeight="1">
      <c r="B112" s="77">
        <v>1</v>
      </c>
      <c r="C112" s="78" t="s">
        <v>49</v>
      </c>
      <c r="D112" s="79" t="s">
        <v>265</v>
      </c>
      <c r="E112" s="80" t="s">
        <v>266</v>
      </c>
      <c r="F112" s="81">
        <v>8.61</v>
      </c>
      <c r="G112" s="222"/>
      <c r="H112" s="186"/>
      <c r="I112" s="186"/>
      <c r="J112" s="308"/>
      <c r="K112" s="227"/>
      <c r="L112" s="82">
        <f t="shared" si="72"/>
        <v>0</v>
      </c>
      <c r="M112" s="331"/>
      <c r="N112" s="161">
        <f t="shared" si="67"/>
        <v>0</v>
      </c>
      <c r="O112" s="161">
        <f t="shared" si="68"/>
        <v>0</v>
      </c>
      <c r="P112" s="187">
        <f t="shared" si="69"/>
        <v>0</v>
      </c>
      <c r="Q112" s="161">
        <f t="shared" si="70"/>
        <v>0</v>
      </c>
      <c r="R112" s="85"/>
      <c r="S112" s="86">
        <f t="shared" si="71"/>
        <v>0</v>
      </c>
      <c r="T112" s="87">
        <f t="shared" si="66"/>
        <v>0</v>
      </c>
    </row>
    <row r="113" spans="2:31" ht="20.100000000000001" hidden="1" customHeight="1">
      <c r="B113" s="77">
        <v>1</v>
      </c>
      <c r="C113" s="78" t="s">
        <v>49</v>
      </c>
      <c r="D113" s="79" t="s">
        <v>267</v>
      </c>
      <c r="E113" s="80" t="s">
        <v>268</v>
      </c>
      <c r="F113" s="81">
        <v>60</v>
      </c>
      <c r="G113" s="222">
        <v>5</v>
      </c>
      <c r="H113" s="186"/>
      <c r="I113" s="186">
        <v>22</v>
      </c>
      <c r="J113" s="308"/>
      <c r="K113" s="227">
        <v>20</v>
      </c>
      <c r="L113" s="82">
        <f t="shared" ref="L113" si="74">G113+I113-J113-K113+H113</f>
        <v>7</v>
      </c>
      <c r="M113" s="331">
        <v>7</v>
      </c>
      <c r="N113" s="161">
        <f t="shared" ref="N113" si="75">F113*L113</f>
        <v>420</v>
      </c>
      <c r="O113" s="161">
        <f t="shared" ref="O113" si="76">M113*F113</f>
        <v>420</v>
      </c>
      <c r="P113" s="187">
        <f t="shared" ref="P113" si="77">L113-M113</f>
        <v>0</v>
      </c>
      <c r="Q113" s="161">
        <f t="shared" ref="Q113" si="78">N113-O113</f>
        <v>0</v>
      </c>
      <c r="R113" s="85"/>
      <c r="S113" s="86">
        <f t="shared" ref="S113" si="79">U113+Y113+W113+AA113</f>
        <v>1</v>
      </c>
      <c r="T113" s="87">
        <f t="shared" ref="T113" si="80">M113-S113</f>
        <v>6</v>
      </c>
      <c r="U113">
        <v>1</v>
      </c>
    </row>
    <row r="114" spans="2:31" ht="20.100000000000001" hidden="1" customHeight="1">
      <c r="B114" s="77">
        <v>1</v>
      </c>
      <c r="C114" s="78" t="s">
        <v>49</v>
      </c>
      <c r="D114" s="219" t="s">
        <v>3871</v>
      </c>
      <c r="E114" s="266" t="s">
        <v>4149</v>
      </c>
      <c r="F114" s="269">
        <v>30</v>
      </c>
      <c r="G114" s="222"/>
      <c r="H114" s="186"/>
      <c r="I114" s="186">
        <v>20</v>
      </c>
      <c r="J114" s="308"/>
      <c r="K114" s="227">
        <v>10</v>
      </c>
      <c r="L114" s="82">
        <f t="shared" si="72"/>
        <v>10</v>
      </c>
      <c r="M114" s="331">
        <v>10</v>
      </c>
      <c r="N114" s="161">
        <f t="shared" si="67"/>
        <v>300</v>
      </c>
      <c r="O114" s="161">
        <f t="shared" si="68"/>
        <v>300</v>
      </c>
      <c r="P114" s="187">
        <f t="shared" si="69"/>
        <v>0</v>
      </c>
      <c r="Q114" s="161">
        <f t="shared" si="70"/>
        <v>0</v>
      </c>
      <c r="R114" s="85"/>
      <c r="S114" s="86">
        <f t="shared" si="71"/>
        <v>1</v>
      </c>
      <c r="T114" s="87">
        <f t="shared" si="66"/>
        <v>9</v>
      </c>
      <c r="U114">
        <v>1</v>
      </c>
    </row>
    <row r="115" spans="2:31" ht="20.100000000000001" hidden="1" customHeight="1">
      <c r="B115" s="77">
        <v>1</v>
      </c>
      <c r="C115" s="78" t="s">
        <v>49</v>
      </c>
      <c r="D115" s="79" t="s">
        <v>269</v>
      </c>
      <c r="E115" s="80" t="s">
        <v>270</v>
      </c>
      <c r="F115" s="81">
        <v>15.12</v>
      </c>
      <c r="G115" s="222">
        <v>62</v>
      </c>
      <c r="H115" s="186"/>
      <c r="I115" s="186"/>
      <c r="J115" s="308"/>
      <c r="K115" s="227">
        <v>5</v>
      </c>
      <c r="L115" s="82">
        <f t="shared" ref="L115" si="81">G115+I115-J115-K115+H115</f>
        <v>57</v>
      </c>
      <c r="M115" s="331">
        <v>57</v>
      </c>
      <c r="N115" s="161">
        <f t="shared" ref="N115" si="82">F115*L115</f>
        <v>861.83999999999992</v>
      </c>
      <c r="O115" s="161">
        <f t="shared" ref="O115" si="83">M115*F115</f>
        <v>861.83999999999992</v>
      </c>
      <c r="P115" s="187">
        <f t="shared" ref="P115" si="84">L115-M115</f>
        <v>0</v>
      </c>
      <c r="Q115" s="161">
        <f t="shared" ref="Q115" si="85">N115-O115</f>
        <v>0</v>
      </c>
      <c r="R115" s="232"/>
      <c r="S115" s="86">
        <f t="shared" ref="S115" si="86">U115+Y115+W115+AA115</f>
        <v>77</v>
      </c>
      <c r="T115" s="87">
        <f t="shared" ref="T115" si="87">M115-S115</f>
        <v>-20</v>
      </c>
      <c r="U115">
        <f>37+40</f>
        <v>77</v>
      </c>
    </row>
    <row r="116" spans="2:31" ht="20.100000000000001" hidden="1" customHeight="1">
      <c r="B116" s="77">
        <v>1</v>
      </c>
      <c r="C116" s="78" t="s">
        <v>49</v>
      </c>
      <c r="D116" s="79" t="s">
        <v>269</v>
      </c>
      <c r="E116" s="80" t="s">
        <v>270</v>
      </c>
      <c r="F116" s="81">
        <v>15.512</v>
      </c>
      <c r="G116" s="222"/>
      <c r="H116" s="186"/>
      <c r="I116" s="186">
        <v>24</v>
      </c>
      <c r="J116" s="308"/>
      <c r="K116" s="227">
        <v>4</v>
      </c>
      <c r="L116" s="82">
        <f t="shared" si="72"/>
        <v>20</v>
      </c>
      <c r="M116" s="331">
        <v>20</v>
      </c>
      <c r="N116" s="161">
        <f t="shared" si="67"/>
        <v>310.24</v>
      </c>
      <c r="O116" s="161">
        <f t="shared" si="68"/>
        <v>310.24</v>
      </c>
      <c r="P116" s="187">
        <f t="shared" si="69"/>
        <v>0</v>
      </c>
      <c r="Q116" s="161">
        <f t="shared" si="70"/>
        <v>0</v>
      </c>
      <c r="R116" s="232"/>
      <c r="S116" s="86">
        <f t="shared" si="71"/>
        <v>77</v>
      </c>
      <c r="T116" s="87">
        <f t="shared" si="66"/>
        <v>-57</v>
      </c>
      <c r="U116">
        <f>37+40</f>
        <v>77</v>
      </c>
    </row>
    <row r="117" spans="2:31" ht="20.100000000000001" hidden="1" customHeight="1">
      <c r="B117" s="77">
        <v>1</v>
      </c>
      <c r="C117" s="78" t="s">
        <v>49</v>
      </c>
      <c r="D117" s="79" t="s">
        <v>271</v>
      </c>
      <c r="E117" s="80" t="s">
        <v>272</v>
      </c>
      <c r="F117" s="81">
        <v>31.6</v>
      </c>
      <c r="G117" s="222">
        <v>37</v>
      </c>
      <c r="H117" s="186"/>
      <c r="I117" s="186"/>
      <c r="J117" s="308"/>
      <c r="K117" s="227">
        <v>7</v>
      </c>
      <c r="L117" s="82">
        <f t="shared" si="72"/>
        <v>30</v>
      </c>
      <c r="M117" s="331">
        <v>30</v>
      </c>
      <c r="N117" s="161">
        <f t="shared" si="67"/>
        <v>948</v>
      </c>
      <c r="O117" s="161">
        <f t="shared" si="68"/>
        <v>948</v>
      </c>
      <c r="P117" s="187">
        <f t="shared" si="69"/>
        <v>0</v>
      </c>
      <c r="Q117" s="161">
        <f t="shared" si="70"/>
        <v>0</v>
      </c>
      <c r="R117" s="85"/>
      <c r="S117" s="86">
        <f t="shared" si="71"/>
        <v>48</v>
      </c>
      <c r="T117" s="87">
        <f t="shared" si="66"/>
        <v>-18</v>
      </c>
      <c r="U117">
        <v>48</v>
      </c>
    </row>
    <row r="118" spans="2:31" ht="20.100000000000001" hidden="1" customHeight="1">
      <c r="B118" s="77">
        <v>1</v>
      </c>
      <c r="C118" s="78" t="s">
        <v>49</v>
      </c>
      <c r="D118" s="79" t="s">
        <v>273</v>
      </c>
      <c r="E118" s="80" t="s">
        <v>274</v>
      </c>
      <c r="F118" s="81">
        <v>15.12</v>
      </c>
      <c r="G118" s="222">
        <v>11</v>
      </c>
      <c r="H118" s="186"/>
      <c r="I118" s="186"/>
      <c r="J118" s="308"/>
      <c r="K118" s="227">
        <v>6</v>
      </c>
      <c r="L118" s="82">
        <f t="shared" si="72"/>
        <v>5</v>
      </c>
      <c r="M118" s="331">
        <v>5</v>
      </c>
      <c r="N118" s="161">
        <f t="shared" si="67"/>
        <v>75.599999999999994</v>
      </c>
      <c r="O118" s="161">
        <f t="shared" si="68"/>
        <v>75.599999999999994</v>
      </c>
      <c r="P118" s="187">
        <f t="shared" si="69"/>
        <v>0</v>
      </c>
      <c r="Q118" s="161">
        <f t="shared" si="70"/>
        <v>0</v>
      </c>
      <c r="R118" s="85"/>
      <c r="S118" s="86">
        <f t="shared" si="71"/>
        <v>18</v>
      </c>
      <c r="T118" s="87">
        <f t="shared" si="66"/>
        <v>-13</v>
      </c>
      <c r="U118">
        <v>18</v>
      </c>
    </row>
    <row r="119" spans="2:31" ht="20.100000000000001" hidden="1" customHeight="1">
      <c r="B119" s="77">
        <v>1</v>
      </c>
      <c r="C119" s="78" t="s">
        <v>49</v>
      </c>
      <c r="D119" s="79" t="s">
        <v>275</v>
      </c>
      <c r="E119" s="80" t="s">
        <v>276</v>
      </c>
      <c r="F119" s="81">
        <v>31.6</v>
      </c>
      <c r="G119" s="222">
        <v>38</v>
      </c>
      <c r="H119" s="186"/>
      <c r="I119" s="186"/>
      <c r="J119" s="308"/>
      <c r="K119" s="227">
        <v>5</v>
      </c>
      <c r="L119" s="82">
        <f t="shared" si="72"/>
        <v>33</v>
      </c>
      <c r="M119" s="331">
        <v>33</v>
      </c>
      <c r="N119" s="161">
        <f t="shared" si="67"/>
        <v>1042.8</v>
      </c>
      <c r="O119" s="161">
        <f t="shared" si="68"/>
        <v>1042.8</v>
      </c>
      <c r="P119" s="187">
        <f t="shared" si="69"/>
        <v>0</v>
      </c>
      <c r="Q119" s="161">
        <f t="shared" si="70"/>
        <v>0</v>
      </c>
      <c r="R119" s="232"/>
      <c r="S119" s="86">
        <f t="shared" si="71"/>
        <v>44</v>
      </c>
      <c r="T119" s="87">
        <f t="shared" si="66"/>
        <v>-11</v>
      </c>
      <c r="U119">
        <v>44</v>
      </c>
    </row>
    <row r="120" spans="2:31" ht="20.100000000000001" hidden="1" customHeight="1">
      <c r="B120" s="77">
        <v>1</v>
      </c>
      <c r="C120" s="78" t="s">
        <v>49</v>
      </c>
      <c r="D120" s="79" t="s">
        <v>277</v>
      </c>
      <c r="E120" s="80" t="s">
        <v>278</v>
      </c>
      <c r="F120" s="81">
        <v>13.5</v>
      </c>
      <c r="G120" s="222"/>
      <c r="H120" s="186"/>
      <c r="I120" s="186"/>
      <c r="J120" s="308"/>
      <c r="K120" s="227"/>
      <c r="L120" s="82">
        <f t="shared" si="72"/>
        <v>0</v>
      </c>
      <c r="M120" s="331"/>
      <c r="N120" s="161">
        <f t="shared" si="67"/>
        <v>0</v>
      </c>
      <c r="O120" s="161">
        <f t="shared" si="68"/>
        <v>0</v>
      </c>
      <c r="P120" s="187">
        <f t="shared" si="69"/>
        <v>0</v>
      </c>
      <c r="Q120" s="161">
        <f t="shared" si="70"/>
        <v>0</v>
      </c>
      <c r="R120" s="85"/>
      <c r="S120" s="86">
        <f t="shared" si="71"/>
        <v>0</v>
      </c>
      <c r="T120" s="87">
        <f t="shared" si="66"/>
        <v>0</v>
      </c>
    </row>
    <row r="121" spans="2:31" ht="20.100000000000001" hidden="1" customHeight="1">
      <c r="B121" s="77">
        <v>1</v>
      </c>
      <c r="C121" s="78" t="s">
        <v>49</v>
      </c>
      <c r="D121" s="79" t="s">
        <v>279</v>
      </c>
      <c r="E121" s="80" t="s">
        <v>280</v>
      </c>
      <c r="F121" s="81">
        <v>31.6</v>
      </c>
      <c r="G121" s="222">
        <v>23</v>
      </c>
      <c r="H121" s="186"/>
      <c r="I121" s="186"/>
      <c r="J121" s="308"/>
      <c r="K121" s="227">
        <v>1</v>
      </c>
      <c r="L121" s="82">
        <f t="shared" ref="L121" si="88">G121+I121-J121-K121+H121</f>
        <v>22</v>
      </c>
      <c r="M121" s="331">
        <v>22</v>
      </c>
      <c r="N121" s="161">
        <f t="shared" ref="N121" si="89">F121*L121</f>
        <v>695.2</v>
      </c>
      <c r="O121" s="161">
        <f t="shared" ref="O121" si="90">M121*F121</f>
        <v>695.2</v>
      </c>
      <c r="P121" s="187">
        <f t="shared" ref="P121" si="91">L121-M121</f>
        <v>0</v>
      </c>
      <c r="Q121" s="161">
        <f t="shared" ref="Q121" si="92">N121-O121</f>
        <v>0</v>
      </c>
      <c r="R121" s="232"/>
      <c r="S121" s="86">
        <f t="shared" ref="S121" si="93">U121+Y121+W121+AA121</f>
        <v>26</v>
      </c>
      <c r="T121" s="87">
        <f t="shared" ref="T121" si="94">M121-S121</f>
        <v>-4</v>
      </c>
      <c r="U121">
        <v>26</v>
      </c>
    </row>
    <row r="122" spans="2:31" ht="20.100000000000001" hidden="1" customHeight="1">
      <c r="B122" s="77">
        <v>1</v>
      </c>
      <c r="C122" s="78" t="s">
        <v>49</v>
      </c>
      <c r="D122" s="79" t="s">
        <v>279</v>
      </c>
      <c r="E122" s="80" t="s">
        <v>280</v>
      </c>
      <c r="F122" s="81">
        <v>32.256</v>
      </c>
      <c r="G122" s="222"/>
      <c r="H122" s="186"/>
      <c r="I122" s="186">
        <v>25</v>
      </c>
      <c r="J122" s="308"/>
      <c r="K122" s="227"/>
      <c r="L122" s="82">
        <f t="shared" si="72"/>
        <v>25</v>
      </c>
      <c r="M122" s="331">
        <v>25</v>
      </c>
      <c r="N122" s="161">
        <f t="shared" si="67"/>
        <v>806.4</v>
      </c>
      <c r="O122" s="161">
        <f t="shared" si="68"/>
        <v>806.4</v>
      </c>
      <c r="P122" s="187">
        <f t="shared" si="69"/>
        <v>0</v>
      </c>
      <c r="Q122" s="161">
        <f t="shared" si="70"/>
        <v>0</v>
      </c>
      <c r="R122" s="232"/>
      <c r="S122" s="86">
        <f t="shared" si="71"/>
        <v>26</v>
      </c>
      <c r="T122" s="87">
        <f t="shared" si="66"/>
        <v>-1</v>
      </c>
      <c r="U122">
        <v>26</v>
      </c>
    </row>
    <row r="123" spans="2:31" ht="20.100000000000001" hidden="1" customHeight="1">
      <c r="B123" s="77">
        <v>1</v>
      </c>
      <c r="C123" s="78" t="s">
        <v>49</v>
      </c>
      <c r="D123" s="79" t="s">
        <v>281</v>
      </c>
      <c r="E123" s="80" t="s">
        <v>282</v>
      </c>
      <c r="F123" s="81">
        <v>15.13</v>
      </c>
      <c r="G123" s="222">
        <v>59</v>
      </c>
      <c r="H123" s="186"/>
      <c r="I123" s="186"/>
      <c r="J123" s="308"/>
      <c r="K123" s="227">
        <v>3</v>
      </c>
      <c r="L123" s="82">
        <f t="shared" ref="L123" si="95">G123+I123-J123-K123+H123</f>
        <v>56</v>
      </c>
      <c r="M123" s="331">
        <v>56</v>
      </c>
      <c r="N123" s="161">
        <f t="shared" ref="N123" si="96">F123*L123</f>
        <v>847.28000000000009</v>
      </c>
      <c r="O123" s="161">
        <f t="shared" ref="O123" si="97">M123*F123</f>
        <v>847.28000000000009</v>
      </c>
      <c r="P123" s="187">
        <f t="shared" ref="P123" si="98">L123-M123</f>
        <v>0</v>
      </c>
      <c r="Q123" s="161">
        <f t="shared" ref="Q123" si="99">N123-O123</f>
        <v>0</v>
      </c>
      <c r="R123" s="232"/>
      <c r="S123" s="86">
        <f t="shared" ref="S123" si="100">U123+Y123+W123+AA123</f>
        <v>69</v>
      </c>
      <c r="T123" s="87">
        <f t="shared" ref="T123" si="101">M123-S123</f>
        <v>-13</v>
      </c>
      <c r="U123">
        <v>69</v>
      </c>
    </row>
    <row r="124" spans="2:31" ht="20.100000000000001" hidden="1" customHeight="1">
      <c r="B124" s="77">
        <v>1</v>
      </c>
      <c r="C124" s="78" t="s">
        <v>49</v>
      </c>
      <c r="D124" s="79" t="s">
        <v>281</v>
      </c>
      <c r="E124" s="80" t="s">
        <v>282</v>
      </c>
      <c r="F124" s="81">
        <v>15.512</v>
      </c>
      <c r="G124" s="222"/>
      <c r="H124" s="186"/>
      <c r="I124" s="186">
        <v>24</v>
      </c>
      <c r="J124" s="308"/>
      <c r="K124" s="227">
        <v>1</v>
      </c>
      <c r="L124" s="82">
        <f t="shared" si="72"/>
        <v>23</v>
      </c>
      <c r="M124" s="331">
        <v>23</v>
      </c>
      <c r="N124" s="161">
        <f t="shared" si="67"/>
        <v>356.77600000000001</v>
      </c>
      <c r="O124" s="161">
        <f t="shared" si="68"/>
        <v>356.77600000000001</v>
      </c>
      <c r="P124" s="187">
        <f t="shared" si="69"/>
        <v>0</v>
      </c>
      <c r="Q124" s="161">
        <f t="shared" si="70"/>
        <v>0</v>
      </c>
      <c r="R124" s="232"/>
      <c r="S124" s="86">
        <f t="shared" si="71"/>
        <v>69</v>
      </c>
      <c r="T124" s="87">
        <f t="shared" si="66"/>
        <v>-46</v>
      </c>
      <c r="U124">
        <v>69</v>
      </c>
    </row>
    <row r="125" spans="2:31" ht="20.100000000000001" hidden="1" customHeight="1">
      <c r="B125" s="77">
        <v>1</v>
      </c>
      <c r="C125" s="78" t="s">
        <v>49</v>
      </c>
      <c r="D125" s="79" t="s">
        <v>283</v>
      </c>
      <c r="E125" s="80" t="s">
        <v>284</v>
      </c>
      <c r="F125" s="81">
        <v>31.58</v>
      </c>
      <c r="G125" s="222"/>
      <c r="H125" s="186"/>
      <c r="I125" s="186"/>
      <c r="J125" s="308"/>
      <c r="K125" s="227"/>
      <c r="L125" s="82">
        <f t="shared" si="72"/>
        <v>0</v>
      </c>
      <c r="M125" s="331"/>
      <c r="N125" s="161">
        <f t="shared" si="67"/>
        <v>0</v>
      </c>
      <c r="O125" s="161">
        <f t="shared" si="68"/>
        <v>0</v>
      </c>
      <c r="P125" s="187">
        <f t="shared" si="69"/>
        <v>0</v>
      </c>
      <c r="Q125" s="161">
        <f t="shared" si="70"/>
        <v>0</v>
      </c>
      <c r="R125" s="85"/>
      <c r="S125" s="86">
        <f t="shared" si="71"/>
        <v>0</v>
      </c>
      <c r="T125" s="87">
        <f t="shared" si="66"/>
        <v>0</v>
      </c>
    </row>
    <row r="126" spans="2:31" ht="20.100000000000001" hidden="1" customHeight="1">
      <c r="B126" s="77">
        <v>1</v>
      </c>
      <c r="C126" s="78" t="s">
        <v>49</v>
      </c>
      <c r="D126" s="79" t="s">
        <v>285</v>
      </c>
      <c r="E126" s="80" t="s">
        <v>286</v>
      </c>
      <c r="F126" s="81">
        <v>15.65</v>
      </c>
      <c r="G126" s="222">
        <v>77</v>
      </c>
      <c r="H126" s="186"/>
      <c r="I126" s="186"/>
      <c r="J126" s="308"/>
      <c r="K126" s="227">
        <v>10</v>
      </c>
      <c r="L126" s="82">
        <f t="shared" si="72"/>
        <v>67</v>
      </c>
      <c r="M126" s="331">
        <v>68</v>
      </c>
      <c r="N126" s="161">
        <f t="shared" si="67"/>
        <v>1048.55</v>
      </c>
      <c r="O126" s="161">
        <f t="shared" si="68"/>
        <v>1064.2</v>
      </c>
      <c r="P126" s="187">
        <f t="shared" si="69"/>
        <v>-1</v>
      </c>
      <c r="Q126" s="161">
        <f t="shared" si="70"/>
        <v>-15.650000000000091</v>
      </c>
      <c r="R126" s="232"/>
      <c r="S126" s="86">
        <f t="shared" si="71"/>
        <v>126</v>
      </c>
      <c r="T126" s="87">
        <f t="shared" si="66"/>
        <v>-58</v>
      </c>
      <c r="U126">
        <f>47+1+43</f>
        <v>91</v>
      </c>
      <c r="W126">
        <v>35</v>
      </c>
      <c r="X126" t="s">
        <v>121</v>
      </c>
      <c r="AD126">
        <f>W126</f>
        <v>35</v>
      </c>
      <c r="AE126" s="89">
        <f>AD126*F126</f>
        <v>547.75</v>
      </c>
    </row>
    <row r="127" spans="2:31" ht="20.100000000000001" customHeight="1">
      <c r="B127" s="77">
        <v>1</v>
      </c>
      <c r="C127" s="78" t="s">
        <v>49</v>
      </c>
      <c r="D127" s="79" t="s">
        <v>287</v>
      </c>
      <c r="E127" s="80" t="s">
        <v>288</v>
      </c>
      <c r="F127" s="81">
        <v>34.47</v>
      </c>
      <c r="G127" s="222">
        <v>45</v>
      </c>
      <c r="H127" s="186"/>
      <c r="I127" s="186"/>
      <c r="J127" s="308"/>
      <c r="K127" s="227">
        <v>3</v>
      </c>
      <c r="L127" s="82">
        <f t="shared" si="72"/>
        <v>42</v>
      </c>
      <c r="M127" s="331">
        <v>41</v>
      </c>
      <c r="N127" s="161">
        <f t="shared" si="67"/>
        <v>1447.74</v>
      </c>
      <c r="O127" s="161">
        <f t="shared" si="68"/>
        <v>1413.27</v>
      </c>
      <c r="P127" s="187">
        <f t="shared" si="69"/>
        <v>1</v>
      </c>
      <c r="Q127" s="161">
        <f t="shared" si="70"/>
        <v>34.470000000000027</v>
      </c>
      <c r="R127" s="232"/>
      <c r="S127" s="86">
        <f t="shared" si="71"/>
        <v>46</v>
      </c>
      <c r="T127" s="87">
        <f t="shared" si="66"/>
        <v>-5</v>
      </c>
      <c r="U127">
        <f>18+28</f>
        <v>46</v>
      </c>
    </row>
    <row r="128" spans="2:31" ht="20.100000000000001" hidden="1" customHeight="1">
      <c r="B128" s="77">
        <v>1</v>
      </c>
      <c r="C128" s="78" t="s">
        <v>49</v>
      </c>
      <c r="D128" s="79" t="s">
        <v>289</v>
      </c>
      <c r="E128" s="80" t="s">
        <v>290</v>
      </c>
      <c r="F128" s="81">
        <v>6.18</v>
      </c>
      <c r="G128" s="222">
        <v>97</v>
      </c>
      <c r="H128" s="186"/>
      <c r="I128" s="186"/>
      <c r="J128" s="308"/>
      <c r="K128" s="227"/>
      <c r="L128" s="82">
        <f t="shared" si="72"/>
        <v>97</v>
      </c>
      <c r="M128" s="331">
        <v>97</v>
      </c>
      <c r="N128" s="161">
        <f t="shared" si="67"/>
        <v>599.45999999999992</v>
      </c>
      <c r="O128" s="161">
        <f t="shared" si="68"/>
        <v>599.45999999999992</v>
      </c>
      <c r="P128" s="187">
        <f t="shared" si="69"/>
        <v>0</v>
      </c>
      <c r="Q128" s="161">
        <f t="shared" si="70"/>
        <v>0</v>
      </c>
      <c r="R128" s="232"/>
      <c r="S128" s="86">
        <f t="shared" si="71"/>
        <v>105</v>
      </c>
      <c r="T128" s="87">
        <f t="shared" si="66"/>
        <v>-8</v>
      </c>
      <c r="U128">
        <v>6</v>
      </c>
      <c r="W128">
        <f>50+49</f>
        <v>99</v>
      </c>
      <c r="X128" t="s">
        <v>291</v>
      </c>
      <c r="AD128">
        <v>49</v>
      </c>
      <c r="AE128" s="89">
        <f>AD128*F128</f>
        <v>302.82</v>
      </c>
    </row>
    <row r="129" spans="2:31" ht="20.100000000000001" hidden="1" customHeight="1">
      <c r="B129" s="77">
        <v>1</v>
      </c>
      <c r="C129" s="78" t="s">
        <v>49</v>
      </c>
      <c r="D129" s="79" t="s">
        <v>292</v>
      </c>
      <c r="E129" s="80" t="s">
        <v>293</v>
      </c>
      <c r="F129" s="81">
        <v>6.43</v>
      </c>
      <c r="G129" s="222">
        <v>49</v>
      </c>
      <c r="H129" s="186"/>
      <c r="I129" s="186"/>
      <c r="J129" s="308"/>
      <c r="K129" s="227"/>
      <c r="L129" s="82">
        <f t="shared" si="72"/>
        <v>49</v>
      </c>
      <c r="M129" s="331">
        <v>49</v>
      </c>
      <c r="N129" s="161">
        <f t="shared" si="67"/>
        <v>315.07</v>
      </c>
      <c r="O129" s="161">
        <f t="shared" si="68"/>
        <v>315.07</v>
      </c>
      <c r="P129" s="187">
        <f t="shared" si="69"/>
        <v>0</v>
      </c>
      <c r="Q129" s="161">
        <f t="shared" si="70"/>
        <v>0</v>
      </c>
      <c r="R129" s="91">
        <v>45665</v>
      </c>
      <c r="S129" s="86">
        <f t="shared" si="71"/>
        <v>49</v>
      </c>
      <c r="T129" s="87">
        <f t="shared" si="66"/>
        <v>0</v>
      </c>
      <c r="W129">
        <v>49</v>
      </c>
      <c r="X129" t="s">
        <v>121</v>
      </c>
      <c r="AD129">
        <f>W129</f>
        <v>49</v>
      </c>
      <c r="AE129" s="89">
        <f>AD129*F129</f>
        <v>315.07</v>
      </c>
    </row>
    <row r="130" spans="2:31" ht="20.100000000000001" hidden="1" customHeight="1">
      <c r="B130" s="77">
        <v>1</v>
      </c>
      <c r="C130" s="78" t="s">
        <v>49</v>
      </c>
      <c r="D130" s="79" t="s">
        <v>294</v>
      </c>
      <c r="E130" s="80" t="s">
        <v>295</v>
      </c>
      <c r="F130" s="81">
        <v>22.68</v>
      </c>
      <c r="G130" s="222"/>
      <c r="H130" s="186"/>
      <c r="I130" s="186"/>
      <c r="J130" s="308"/>
      <c r="K130" s="227"/>
      <c r="L130" s="82">
        <f t="shared" si="72"/>
        <v>0</v>
      </c>
      <c r="M130" s="331"/>
      <c r="N130" s="161">
        <f t="shared" si="67"/>
        <v>0</v>
      </c>
      <c r="O130" s="161">
        <f t="shared" si="68"/>
        <v>0</v>
      </c>
      <c r="P130" s="187">
        <f t="shared" si="69"/>
        <v>0</v>
      </c>
      <c r="Q130" s="161">
        <f t="shared" si="70"/>
        <v>0</v>
      </c>
      <c r="R130" s="232"/>
      <c r="S130" s="86">
        <f t="shared" si="71"/>
        <v>0</v>
      </c>
      <c r="T130" s="87">
        <f t="shared" si="66"/>
        <v>0</v>
      </c>
    </row>
    <row r="131" spans="2:31" ht="20.100000000000001" hidden="1" customHeight="1">
      <c r="B131" s="77">
        <v>1</v>
      </c>
      <c r="C131" s="78" t="s">
        <v>49</v>
      </c>
      <c r="D131" s="79" t="s">
        <v>296</v>
      </c>
      <c r="E131" s="80" t="s">
        <v>297</v>
      </c>
      <c r="F131" s="315">
        <v>7.06</v>
      </c>
      <c r="G131" s="222">
        <v>98</v>
      </c>
      <c r="H131" s="186"/>
      <c r="I131" s="186"/>
      <c r="J131" s="308"/>
      <c r="K131" s="227">
        <v>20</v>
      </c>
      <c r="L131" s="82">
        <f t="shared" si="72"/>
        <v>78</v>
      </c>
      <c r="M131" s="331">
        <v>84</v>
      </c>
      <c r="N131" s="161">
        <f t="shared" si="67"/>
        <v>550.67999999999995</v>
      </c>
      <c r="O131" s="161">
        <f t="shared" si="68"/>
        <v>593.04</v>
      </c>
      <c r="P131" s="187">
        <f t="shared" si="69"/>
        <v>-6</v>
      </c>
      <c r="Q131" s="161">
        <f t="shared" si="70"/>
        <v>-42.360000000000014</v>
      </c>
      <c r="R131" s="232"/>
      <c r="S131" s="86">
        <f t="shared" si="71"/>
        <v>0</v>
      </c>
      <c r="T131" s="87">
        <f t="shared" ref="T131:T193" si="102">M131-S131</f>
        <v>84</v>
      </c>
    </row>
    <row r="132" spans="2:31" ht="20.100000000000001" hidden="1" customHeight="1">
      <c r="B132" s="77">
        <v>1</v>
      </c>
      <c r="C132" s="78" t="s">
        <v>49</v>
      </c>
      <c r="D132" s="79" t="s">
        <v>298</v>
      </c>
      <c r="E132" s="80" t="s">
        <v>299</v>
      </c>
      <c r="F132" s="81">
        <v>6.43</v>
      </c>
      <c r="G132" s="222">
        <v>1</v>
      </c>
      <c r="H132" s="186"/>
      <c r="I132" s="186"/>
      <c r="J132" s="308"/>
      <c r="K132" s="227"/>
      <c r="L132" s="82">
        <f t="shared" si="72"/>
        <v>1</v>
      </c>
      <c r="M132" s="331">
        <v>1</v>
      </c>
      <c r="N132" s="161">
        <f t="shared" ref="N132:N194" si="103">F132*L132</f>
        <v>6.43</v>
      </c>
      <c r="O132" s="161">
        <f t="shared" ref="O132:O194" si="104">M132*F132</f>
        <v>6.43</v>
      </c>
      <c r="P132" s="187">
        <f t="shared" ref="P132:P194" si="105">L132-M132</f>
        <v>0</v>
      </c>
      <c r="Q132" s="161">
        <f t="shared" ref="Q132:Q194" si="106">N132-O132</f>
        <v>0</v>
      </c>
      <c r="R132" s="233"/>
      <c r="S132" s="86">
        <f t="shared" ref="S132:S194" si="107">U132+Y132+W132+AA132</f>
        <v>1</v>
      </c>
      <c r="T132" s="87">
        <f t="shared" si="102"/>
        <v>0</v>
      </c>
      <c r="W132">
        <v>1</v>
      </c>
      <c r="X132" t="s">
        <v>115</v>
      </c>
      <c r="AD132">
        <f>W132</f>
        <v>1</v>
      </c>
      <c r="AE132" s="89">
        <f>AD132*F132</f>
        <v>6.43</v>
      </c>
    </row>
    <row r="133" spans="2:31" ht="20.100000000000001" hidden="1" customHeight="1">
      <c r="B133" s="77">
        <v>1</v>
      </c>
      <c r="C133" s="78" t="s">
        <v>49</v>
      </c>
      <c r="D133" s="79" t="s">
        <v>3813</v>
      </c>
      <c r="E133" s="80" t="s">
        <v>3709</v>
      </c>
      <c r="F133" s="81">
        <v>74</v>
      </c>
      <c r="G133" s="222">
        <v>4</v>
      </c>
      <c r="H133" s="186"/>
      <c r="I133" s="186"/>
      <c r="J133" s="308">
        <v>1</v>
      </c>
      <c r="K133" s="227">
        <v>1</v>
      </c>
      <c r="L133" s="82">
        <f t="shared" si="72"/>
        <v>2</v>
      </c>
      <c r="M133" s="331">
        <v>2</v>
      </c>
      <c r="N133" s="161">
        <f t="shared" ref="N133" si="108">F133*L133</f>
        <v>148</v>
      </c>
      <c r="O133" s="161">
        <f t="shared" ref="O133" si="109">M133*F133</f>
        <v>148</v>
      </c>
      <c r="P133" s="187">
        <f t="shared" ref="P133" si="110">L133-M133</f>
        <v>0</v>
      </c>
      <c r="Q133" s="161">
        <f t="shared" ref="Q133" si="111">N133-O133</f>
        <v>0</v>
      </c>
      <c r="R133" s="91">
        <v>45563</v>
      </c>
      <c r="S133" s="86">
        <f t="shared" ref="S133" si="112">U133+Y133+W133+AA133</f>
        <v>1</v>
      </c>
      <c r="T133" s="87">
        <f t="shared" ref="T133" si="113">M133-S133</f>
        <v>1</v>
      </c>
      <c r="W133">
        <v>1</v>
      </c>
      <c r="X133" t="s">
        <v>115</v>
      </c>
      <c r="AD133">
        <f>W133</f>
        <v>1</v>
      </c>
      <c r="AE133" s="89">
        <f>AD133*F133</f>
        <v>74</v>
      </c>
    </row>
    <row r="134" spans="2:31" ht="20.100000000000001" hidden="1" customHeight="1">
      <c r="B134" s="77">
        <v>1</v>
      </c>
      <c r="C134" s="78" t="s">
        <v>49</v>
      </c>
      <c r="D134" s="79" t="s">
        <v>300</v>
      </c>
      <c r="E134" s="80" t="s">
        <v>301</v>
      </c>
      <c r="F134" s="81">
        <v>23.48</v>
      </c>
      <c r="G134" s="222"/>
      <c r="H134" s="186"/>
      <c r="I134" s="186"/>
      <c r="J134" s="308"/>
      <c r="K134" s="227"/>
      <c r="L134" s="82">
        <f t="shared" si="72"/>
        <v>0</v>
      </c>
      <c r="M134" s="331"/>
      <c r="N134" s="161">
        <f t="shared" si="103"/>
        <v>0</v>
      </c>
      <c r="O134" s="161">
        <f t="shared" si="104"/>
        <v>0</v>
      </c>
      <c r="P134" s="187">
        <f t="shared" si="105"/>
        <v>0</v>
      </c>
      <c r="Q134" s="161">
        <f t="shared" si="106"/>
        <v>0</v>
      </c>
      <c r="R134" s="85"/>
      <c r="S134" s="86">
        <f t="shared" si="107"/>
        <v>0</v>
      </c>
      <c r="T134" s="87">
        <f t="shared" si="102"/>
        <v>0</v>
      </c>
    </row>
    <row r="135" spans="2:31" ht="20.100000000000001" hidden="1" customHeight="1">
      <c r="B135" s="77">
        <v>1</v>
      </c>
      <c r="C135" s="78" t="s">
        <v>49</v>
      </c>
      <c r="D135" s="79" t="s">
        <v>302</v>
      </c>
      <c r="E135" s="80" t="s">
        <v>303</v>
      </c>
      <c r="F135" s="81">
        <v>15.65</v>
      </c>
      <c r="G135" s="222">
        <v>128</v>
      </c>
      <c r="H135" s="186"/>
      <c r="I135" s="186"/>
      <c r="J135" s="308"/>
      <c r="K135" s="227">
        <v>3</v>
      </c>
      <c r="L135" s="82">
        <f t="shared" si="72"/>
        <v>125</v>
      </c>
      <c r="M135" s="331">
        <v>125</v>
      </c>
      <c r="N135" s="161">
        <f t="shared" si="103"/>
        <v>1956.25</v>
      </c>
      <c r="O135" s="161">
        <f t="shared" si="104"/>
        <v>1956.25</v>
      </c>
      <c r="P135" s="187">
        <f t="shared" si="105"/>
        <v>0</v>
      </c>
      <c r="Q135" s="161">
        <f t="shared" si="106"/>
        <v>0</v>
      </c>
      <c r="R135" s="85" t="s">
        <v>304</v>
      </c>
      <c r="S135" s="86">
        <f t="shared" si="107"/>
        <v>147</v>
      </c>
      <c r="T135" s="87">
        <f t="shared" si="102"/>
        <v>-22</v>
      </c>
      <c r="U135">
        <f>45+45+34</f>
        <v>124</v>
      </c>
      <c r="W135">
        <v>23</v>
      </c>
      <c r="X135" t="s">
        <v>121</v>
      </c>
      <c r="AD135">
        <f>W135</f>
        <v>23</v>
      </c>
      <c r="AE135" s="89">
        <f>AD135*F135</f>
        <v>359.95</v>
      </c>
    </row>
    <row r="136" spans="2:31" ht="20.100000000000001" hidden="1" customHeight="1">
      <c r="B136" s="77">
        <v>2</v>
      </c>
      <c r="C136" s="78" t="s">
        <v>305</v>
      </c>
      <c r="D136" s="79" t="s">
        <v>306</v>
      </c>
      <c r="E136" s="80" t="s">
        <v>307</v>
      </c>
      <c r="F136" s="81">
        <v>273</v>
      </c>
      <c r="G136" s="222">
        <v>11</v>
      </c>
      <c r="H136" s="186"/>
      <c r="I136" s="186"/>
      <c r="J136" s="308"/>
      <c r="K136" s="227"/>
      <c r="L136" s="82">
        <f t="shared" si="72"/>
        <v>11</v>
      </c>
      <c r="M136" s="331">
        <v>11</v>
      </c>
      <c r="N136" s="161">
        <f t="shared" si="103"/>
        <v>3003</v>
      </c>
      <c r="O136" s="161">
        <f t="shared" si="104"/>
        <v>3003</v>
      </c>
      <c r="P136" s="187">
        <f>L136-M136</f>
        <v>0</v>
      </c>
      <c r="Q136" s="161">
        <f t="shared" si="106"/>
        <v>0</v>
      </c>
      <c r="R136" s="85"/>
      <c r="S136" s="86">
        <f t="shared" si="107"/>
        <v>18</v>
      </c>
      <c r="T136" s="87">
        <f t="shared" si="102"/>
        <v>-7</v>
      </c>
      <c r="U136">
        <v>18</v>
      </c>
    </row>
    <row r="137" spans="2:31" ht="20.100000000000001" hidden="1" customHeight="1">
      <c r="B137" s="77">
        <v>2</v>
      </c>
      <c r="C137" s="78" t="s">
        <v>305</v>
      </c>
      <c r="D137" s="79" t="s">
        <v>308</v>
      </c>
      <c r="E137" s="80" t="s">
        <v>309</v>
      </c>
      <c r="F137" s="81">
        <v>137.75</v>
      </c>
      <c r="G137" s="222">
        <v>1</v>
      </c>
      <c r="H137" s="186"/>
      <c r="I137" s="186"/>
      <c r="J137" s="308"/>
      <c r="K137" s="227">
        <v>1</v>
      </c>
      <c r="L137" s="82">
        <f t="shared" si="72"/>
        <v>0</v>
      </c>
      <c r="M137" s="331"/>
      <c r="N137" s="161">
        <f t="shared" si="103"/>
        <v>0</v>
      </c>
      <c r="O137" s="161">
        <f t="shared" si="104"/>
        <v>0</v>
      </c>
      <c r="P137" s="187">
        <f t="shared" si="105"/>
        <v>0</v>
      </c>
      <c r="Q137" s="161">
        <f t="shared" si="106"/>
        <v>0</v>
      </c>
      <c r="R137" s="85"/>
      <c r="S137" s="86">
        <f t="shared" si="107"/>
        <v>7</v>
      </c>
      <c r="T137" s="87">
        <f t="shared" si="102"/>
        <v>-7</v>
      </c>
      <c r="U137">
        <v>7</v>
      </c>
    </row>
    <row r="138" spans="2:31" ht="20.100000000000001" hidden="1" customHeight="1">
      <c r="B138" s="77">
        <v>2</v>
      </c>
      <c r="C138" s="78" t="s">
        <v>305</v>
      </c>
      <c r="D138" s="79" t="s">
        <v>310</v>
      </c>
      <c r="E138" s="80" t="s">
        <v>311</v>
      </c>
      <c r="F138" s="81">
        <v>326.42</v>
      </c>
      <c r="G138" s="222"/>
      <c r="H138" s="186"/>
      <c r="I138" s="186"/>
      <c r="J138" s="308"/>
      <c r="K138" s="227"/>
      <c r="L138" s="82">
        <f t="shared" si="72"/>
        <v>0</v>
      </c>
      <c r="M138" s="331"/>
      <c r="N138" s="161">
        <f t="shared" si="103"/>
        <v>0</v>
      </c>
      <c r="O138" s="161">
        <f t="shared" si="104"/>
        <v>0</v>
      </c>
      <c r="P138" s="187">
        <f t="shared" si="105"/>
        <v>0</v>
      </c>
      <c r="Q138" s="161">
        <f t="shared" si="106"/>
        <v>0</v>
      </c>
      <c r="R138" s="85"/>
      <c r="S138" s="86">
        <f t="shared" si="107"/>
        <v>0</v>
      </c>
      <c r="T138" s="87">
        <f t="shared" si="102"/>
        <v>0</v>
      </c>
    </row>
    <row r="139" spans="2:31" ht="20.100000000000001" hidden="1" customHeight="1">
      <c r="B139" s="77">
        <v>2</v>
      </c>
      <c r="C139" s="78" t="s">
        <v>305</v>
      </c>
      <c r="D139" s="79" t="s">
        <v>312</v>
      </c>
      <c r="E139" s="80" t="s">
        <v>313</v>
      </c>
      <c r="F139" s="81">
        <v>802.62</v>
      </c>
      <c r="G139" s="222">
        <v>3</v>
      </c>
      <c r="H139" s="186"/>
      <c r="I139" s="186"/>
      <c r="J139" s="308"/>
      <c r="K139" s="227"/>
      <c r="L139" s="82">
        <f t="shared" si="72"/>
        <v>3</v>
      </c>
      <c r="M139" s="331">
        <v>3</v>
      </c>
      <c r="N139" s="161">
        <f t="shared" si="103"/>
        <v>2407.86</v>
      </c>
      <c r="O139" s="161">
        <f t="shared" si="104"/>
        <v>2407.86</v>
      </c>
      <c r="P139" s="187">
        <f t="shared" si="105"/>
        <v>0</v>
      </c>
      <c r="Q139" s="161">
        <f t="shared" si="106"/>
        <v>0</v>
      </c>
      <c r="R139" s="85"/>
      <c r="S139" s="86">
        <f t="shared" si="107"/>
        <v>3</v>
      </c>
      <c r="T139" s="87">
        <f t="shared" si="102"/>
        <v>0</v>
      </c>
      <c r="U139">
        <v>3</v>
      </c>
    </row>
    <row r="140" spans="2:31" ht="20.100000000000001" hidden="1" customHeight="1">
      <c r="B140" s="77">
        <v>2</v>
      </c>
      <c r="C140" s="78" t="s">
        <v>305</v>
      </c>
      <c r="D140" s="79" t="s">
        <v>314</v>
      </c>
      <c r="E140" s="80" t="s">
        <v>315</v>
      </c>
      <c r="F140" s="81">
        <v>85</v>
      </c>
      <c r="G140" s="222">
        <v>14</v>
      </c>
      <c r="H140" s="186"/>
      <c r="I140" s="186"/>
      <c r="J140" s="308"/>
      <c r="K140" s="227"/>
      <c r="L140" s="82">
        <f t="shared" si="72"/>
        <v>14</v>
      </c>
      <c r="M140" s="331">
        <v>14</v>
      </c>
      <c r="N140" s="161">
        <f t="shared" si="103"/>
        <v>1190</v>
      </c>
      <c r="O140" s="161">
        <f t="shared" si="104"/>
        <v>1190</v>
      </c>
      <c r="P140" s="187">
        <f t="shared" si="105"/>
        <v>0</v>
      </c>
      <c r="Q140" s="161">
        <f t="shared" si="106"/>
        <v>0</v>
      </c>
      <c r="R140" s="85"/>
      <c r="S140" s="86">
        <f t="shared" si="107"/>
        <v>14</v>
      </c>
      <c r="T140" s="87">
        <f t="shared" si="102"/>
        <v>0</v>
      </c>
      <c r="U140">
        <v>14</v>
      </c>
    </row>
    <row r="141" spans="2:31" ht="20.100000000000001" hidden="1" customHeight="1">
      <c r="B141" s="77">
        <v>2</v>
      </c>
      <c r="C141" s="78" t="s">
        <v>305</v>
      </c>
      <c r="D141" s="79" t="s">
        <v>316</v>
      </c>
      <c r="E141" s="80" t="s">
        <v>317</v>
      </c>
      <c r="F141" s="81">
        <v>85</v>
      </c>
      <c r="G141" s="222">
        <v>14</v>
      </c>
      <c r="H141" s="186"/>
      <c r="I141" s="186"/>
      <c r="J141" s="308"/>
      <c r="K141" s="227"/>
      <c r="L141" s="82">
        <f t="shared" si="72"/>
        <v>14</v>
      </c>
      <c r="M141" s="331">
        <v>14</v>
      </c>
      <c r="N141" s="161">
        <f t="shared" si="103"/>
        <v>1190</v>
      </c>
      <c r="O141" s="161">
        <f t="shared" si="104"/>
        <v>1190</v>
      </c>
      <c r="P141" s="187">
        <f t="shared" si="105"/>
        <v>0</v>
      </c>
      <c r="Q141" s="161">
        <f t="shared" si="106"/>
        <v>0</v>
      </c>
      <c r="R141" s="85"/>
      <c r="S141" s="86">
        <f t="shared" si="107"/>
        <v>16</v>
      </c>
      <c r="T141" s="87">
        <f t="shared" si="102"/>
        <v>-2</v>
      </c>
      <c r="U141">
        <v>16</v>
      </c>
    </row>
    <row r="142" spans="2:31" ht="20.100000000000001" hidden="1" customHeight="1">
      <c r="B142" s="77">
        <v>2</v>
      </c>
      <c r="C142" s="78" t="s">
        <v>305</v>
      </c>
      <c r="D142" s="79" t="s">
        <v>318</v>
      </c>
      <c r="E142" s="80" t="s">
        <v>319</v>
      </c>
      <c r="F142" s="81">
        <v>147.75</v>
      </c>
      <c r="G142" s="222">
        <v>3</v>
      </c>
      <c r="H142" s="186"/>
      <c r="I142" s="186"/>
      <c r="J142" s="308"/>
      <c r="K142" s="227"/>
      <c r="L142" s="82">
        <f t="shared" si="72"/>
        <v>3</v>
      </c>
      <c r="M142" s="331">
        <v>3</v>
      </c>
      <c r="N142" s="161">
        <f t="shared" si="103"/>
        <v>443.25</v>
      </c>
      <c r="O142" s="161">
        <f t="shared" si="104"/>
        <v>443.25</v>
      </c>
      <c r="P142" s="187">
        <f t="shared" si="105"/>
        <v>0</v>
      </c>
      <c r="Q142" s="161">
        <f t="shared" si="106"/>
        <v>0</v>
      </c>
      <c r="R142" s="85"/>
      <c r="S142" s="86">
        <f t="shared" si="107"/>
        <v>3</v>
      </c>
      <c r="T142" s="87">
        <f t="shared" si="102"/>
        <v>0</v>
      </c>
      <c r="U142">
        <v>3</v>
      </c>
    </row>
    <row r="143" spans="2:31" s="35" customFormat="1" ht="20.100000000000001" hidden="1" customHeight="1">
      <c r="B143" s="171">
        <v>2</v>
      </c>
      <c r="C143" s="184" t="s">
        <v>305</v>
      </c>
      <c r="D143" s="160" t="s">
        <v>320</v>
      </c>
      <c r="E143" s="178" t="s">
        <v>321</v>
      </c>
      <c r="F143" s="185">
        <v>158</v>
      </c>
      <c r="G143" s="222">
        <v>48</v>
      </c>
      <c r="H143" s="186"/>
      <c r="I143" s="186"/>
      <c r="J143" s="308"/>
      <c r="K143" s="227"/>
      <c r="L143" s="82">
        <f t="shared" si="72"/>
        <v>48</v>
      </c>
      <c r="M143" s="331">
        <v>48</v>
      </c>
      <c r="N143" s="161">
        <f t="shared" si="103"/>
        <v>7584</v>
      </c>
      <c r="O143" s="161">
        <f t="shared" si="104"/>
        <v>7584</v>
      </c>
      <c r="P143" s="187">
        <f t="shared" si="105"/>
        <v>0</v>
      </c>
      <c r="Q143" s="161">
        <f t="shared" si="106"/>
        <v>0</v>
      </c>
      <c r="R143" s="188"/>
      <c r="S143" s="189">
        <f t="shared" si="107"/>
        <v>2</v>
      </c>
      <c r="T143" s="190">
        <f t="shared" si="102"/>
        <v>46</v>
      </c>
      <c r="U143" s="35">
        <v>2</v>
      </c>
    </row>
    <row r="144" spans="2:31" ht="20.100000000000001" hidden="1" customHeight="1">
      <c r="B144" s="77">
        <v>2</v>
      </c>
      <c r="C144" s="78" t="s">
        <v>305</v>
      </c>
      <c r="D144" s="79" t="s">
        <v>322</v>
      </c>
      <c r="E144" s="80" t="s">
        <v>323</v>
      </c>
      <c r="F144" s="81">
        <v>121</v>
      </c>
      <c r="G144" s="222">
        <v>15</v>
      </c>
      <c r="H144" s="186"/>
      <c r="I144" s="186"/>
      <c r="J144" s="308"/>
      <c r="K144" s="227"/>
      <c r="L144" s="82">
        <f t="shared" si="72"/>
        <v>15</v>
      </c>
      <c r="M144" s="331">
        <v>15</v>
      </c>
      <c r="N144" s="161">
        <f t="shared" si="103"/>
        <v>1815</v>
      </c>
      <c r="O144" s="161">
        <f t="shared" si="104"/>
        <v>1815</v>
      </c>
      <c r="P144" s="187">
        <f t="shared" si="105"/>
        <v>0</v>
      </c>
      <c r="Q144" s="161">
        <f t="shared" si="106"/>
        <v>0</v>
      </c>
      <c r="R144" s="85"/>
      <c r="S144" s="86">
        <f t="shared" si="107"/>
        <v>4</v>
      </c>
      <c r="T144" s="87">
        <f t="shared" si="102"/>
        <v>11</v>
      </c>
      <c r="U144">
        <v>4</v>
      </c>
    </row>
    <row r="145" spans="2:21" ht="20.100000000000001" hidden="1" customHeight="1">
      <c r="B145" s="77">
        <v>2</v>
      </c>
      <c r="C145" s="78" t="s">
        <v>305</v>
      </c>
      <c r="D145" s="79" t="s">
        <v>324</v>
      </c>
      <c r="E145" s="80" t="s">
        <v>325</v>
      </c>
      <c r="F145" s="81">
        <v>153.5</v>
      </c>
      <c r="G145" s="222">
        <v>13</v>
      </c>
      <c r="H145" s="186"/>
      <c r="I145" s="186"/>
      <c r="J145" s="308"/>
      <c r="K145" s="227"/>
      <c r="L145" s="82">
        <f t="shared" ref="L145:L208" si="114">G145+I145-J145-K145+H145</f>
        <v>13</v>
      </c>
      <c r="M145" s="331">
        <v>13</v>
      </c>
      <c r="N145" s="161">
        <f t="shared" si="103"/>
        <v>1995.5</v>
      </c>
      <c r="O145" s="161">
        <f t="shared" si="104"/>
        <v>1995.5</v>
      </c>
      <c r="P145" s="187">
        <f t="shared" si="105"/>
        <v>0</v>
      </c>
      <c r="Q145" s="161">
        <f t="shared" si="106"/>
        <v>0</v>
      </c>
      <c r="R145" s="85"/>
      <c r="S145" s="86">
        <f t="shared" si="107"/>
        <v>0</v>
      </c>
      <c r="T145" s="87">
        <f t="shared" si="102"/>
        <v>13</v>
      </c>
    </row>
    <row r="146" spans="2:21" ht="20.100000000000001" hidden="1" customHeight="1">
      <c r="B146" s="77">
        <v>2</v>
      </c>
      <c r="C146" s="78" t="s">
        <v>305</v>
      </c>
      <c r="D146" s="79" t="s">
        <v>326</v>
      </c>
      <c r="E146" s="80" t="s">
        <v>327</v>
      </c>
      <c r="F146" s="81">
        <v>117.5</v>
      </c>
      <c r="G146" s="222">
        <v>72</v>
      </c>
      <c r="H146" s="186"/>
      <c r="I146" s="186"/>
      <c r="J146" s="308"/>
      <c r="K146" s="227"/>
      <c r="L146" s="82">
        <f t="shared" si="114"/>
        <v>72</v>
      </c>
      <c r="M146" s="331">
        <v>72</v>
      </c>
      <c r="N146" s="161">
        <f t="shared" si="103"/>
        <v>8460</v>
      </c>
      <c r="O146" s="161">
        <f t="shared" si="104"/>
        <v>8460</v>
      </c>
      <c r="P146" s="187">
        <f t="shared" si="105"/>
        <v>0</v>
      </c>
      <c r="Q146" s="161">
        <f t="shared" si="106"/>
        <v>0</v>
      </c>
      <c r="R146" s="85"/>
      <c r="S146" s="86">
        <f t="shared" si="107"/>
        <v>11</v>
      </c>
      <c r="T146" s="87">
        <f t="shared" si="102"/>
        <v>61</v>
      </c>
      <c r="U146">
        <v>11</v>
      </c>
    </row>
    <row r="147" spans="2:21" ht="20.100000000000001" hidden="1" customHeight="1">
      <c r="B147" s="77">
        <v>2</v>
      </c>
      <c r="C147" s="78" t="s">
        <v>305</v>
      </c>
      <c r="D147" s="79" t="s">
        <v>328</v>
      </c>
      <c r="E147" s="80" t="s">
        <v>329</v>
      </c>
      <c r="F147" s="81">
        <v>355</v>
      </c>
      <c r="G147" s="222"/>
      <c r="H147" s="186"/>
      <c r="I147" s="186"/>
      <c r="J147" s="308"/>
      <c r="K147" s="227"/>
      <c r="L147" s="82">
        <f t="shared" si="114"/>
        <v>0</v>
      </c>
      <c r="M147" s="331"/>
      <c r="N147" s="161">
        <f t="shared" si="103"/>
        <v>0</v>
      </c>
      <c r="O147" s="161">
        <f t="shared" si="104"/>
        <v>0</v>
      </c>
      <c r="P147" s="187">
        <f t="shared" si="105"/>
        <v>0</v>
      </c>
      <c r="Q147" s="161">
        <f t="shared" si="106"/>
        <v>0</v>
      </c>
      <c r="R147" s="85"/>
      <c r="S147" s="86">
        <f t="shared" si="107"/>
        <v>1</v>
      </c>
      <c r="T147" s="87">
        <f t="shared" si="102"/>
        <v>-1</v>
      </c>
      <c r="U147">
        <v>1</v>
      </c>
    </row>
    <row r="148" spans="2:21" ht="20.100000000000001" hidden="1" customHeight="1">
      <c r="B148" s="77">
        <v>2</v>
      </c>
      <c r="C148" s="78" t="s">
        <v>305</v>
      </c>
      <c r="D148" s="79" t="s">
        <v>330</v>
      </c>
      <c r="E148" s="80" t="s">
        <v>331</v>
      </c>
      <c r="F148" s="81">
        <v>160</v>
      </c>
      <c r="G148" s="222">
        <v>12</v>
      </c>
      <c r="H148" s="186"/>
      <c r="I148" s="186"/>
      <c r="J148" s="308"/>
      <c r="K148" s="227"/>
      <c r="L148" s="82">
        <f t="shared" si="114"/>
        <v>12</v>
      </c>
      <c r="M148" s="331">
        <v>12</v>
      </c>
      <c r="N148" s="161">
        <f t="shared" si="103"/>
        <v>1920</v>
      </c>
      <c r="O148" s="161">
        <f t="shared" si="104"/>
        <v>1920</v>
      </c>
      <c r="P148" s="187">
        <f t="shared" si="105"/>
        <v>0</v>
      </c>
      <c r="Q148" s="161">
        <f t="shared" si="106"/>
        <v>0</v>
      </c>
      <c r="R148" s="85"/>
      <c r="S148" s="86">
        <f t="shared" si="107"/>
        <v>0</v>
      </c>
      <c r="T148" s="87">
        <f t="shared" si="102"/>
        <v>12</v>
      </c>
    </row>
    <row r="149" spans="2:21" ht="20.100000000000001" hidden="1" customHeight="1">
      <c r="B149" s="77">
        <v>2</v>
      </c>
      <c r="C149" s="78" t="s">
        <v>305</v>
      </c>
      <c r="D149" s="79" t="s">
        <v>332</v>
      </c>
      <c r="E149" s="80" t="s">
        <v>333</v>
      </c>
      <c r="F149" s="81">
        <v>121.5</v>
      </c>
      <c r="G149" s="222">
        <v>27</v>
      </c>
      <c r="H149" s="186"/>
      <c r="I149" s="186"/>
      <c r="J149" s="308"/>
      <c r="K149" s="227"/>
      <c r="L149" s="82">
        <f t="shared" si="114"/>
        <v>27</v>
      </c>
      <c r="M149" s="331">
        <v>27</v>
      </c>
      <c r="N149" s="161">
        <f t="shared" si="103"/>
        <v>3280.5</v>
      </c>
      <c r="O149" s="161">
        <f t="shared" si="104"/>
        <v>3280.5</v>
      </c>
      <c r="P149" s="187">
        <f t="shared" si="105"/>
        <v>0</v>
      </c>
      <c r="Q149" s="161">
        <f t="shared" si="106"/>
        <v>0</v>
      </c>
      <c r="R149" s="85"/>
      <c r="S149" s="86">
        <f t="shared" si="107"/>
        <v>4</v>
      </c>
      <c r="T149" s="87">
        <f t="shared" si="102"/>
        <v>23</v>
      </c>
      <c r="U149">
        <v>4</v>
      </c>
    </row>
    <row r="150" spans="2:21" ht="20.100000000000001" hidden="1" customHeight="1">
      <c r="B150" s="77">
        <v>2</v>
      </c>
      <c r="C150" s="78" t="s">
        <v>305</v>
      </c>
      <c r="D150" s="79" t="s">
        <v>334</v>
      </c>
      <c r="E150" s="80" t="s">
        <v>335</v>
      </c>
      <c r="F150" s="81">
        <v>61</v>
      </c>
      <c r="G150" s="222"/>
      <c r="H150" s="186"/>
      <c r="I150" s="186"/>
      <c r="J150" s="308"/>
      <c r="K150" s="227"/>
      <c r="L150" s="82">
        <f t="shared" si="114"/>
        <v>0</v>
      </c>
      <c r="M150" s="331"/>
      <c r="N150" s="161">
        <f t="shared" si="103"/>
        <v>0</v>
      </c>
      <c r="O150" s="161">
        <f t="shared" si="104"/>
        <v>0</v>
      </c>
      <c r="P150" s="187">
        <f t="shared" si="105"/>
        <v>0</v>
      </c>
      <c r="Q150" s="161">
        <f t="shared" si="106"/>
        <v>0</v>
      </c>
      <c r="R150" s="85"/>
      <c r="S150" s="86">
        <f t="shared" si="107"/>
        <v>0</v>
      </c>
      <c r="T150" s="87">
        <f t="shared" si="102"/>
        <v>0</v>
      </c>
    </row>
    <row r="151" spans="2:21" ht="20.100000000000001" hidden="1" customHeight="1">
      <c r="B151" s="77">
        <v>2</v>
      </c>
      <c r="C151" s="78" t="s">
        <v>305</v>
      </c>
      <c r="D151" s="79" t="s">
        <v>336</v>
      </c>
      <c r="E151" s="80" t="s">
        <v>337</v>
      </c>
      <c r="F151" s="81">
        <v>164</v>
      </c>
      <c r="G151" s="222">
        <v>24</v>
      </c>
      <c r="H151" s="186"/>
      <c r="I151" s="186"/>
      <c r="J151" s="308"/>
      <c r="K151" s="227"/>
      <c r="L151" s="82">
        <f t="shared" si="114"/>
        <v>24</v>
      </c>
      <c r="M151" s="331">
        <v>24</v>
      </c>
      <c r="N151" s="161">
        <f t="shared" si="103"/>
        <v>3936</v>
      </c>
      <c r="O151" s="161">
        <f t="shared" si="104"/>
        <v>3936</v>
      </c>
      <c r="P151" s="187">
        <f t="shared" si="105"/>
        <v>0</v>
      </c>
      <c r="Q151" s="161">
        <f t="shared" si="106"/>
        <v>0</v>
      </c>
      <c r="R151" s="85"/>
      <c r="S151" s="86">
        <f t="shared" si="107"/>
        <v>0</v>
      </c>
      <c r="T151" s="87">
        <f t="shared" si="102"/>
        <v>24</v>
      </c>
    </row>
    <row r="152" spans="2:21" ht="20.100000000000001" hidden="1" customHeight="1">
      <c r="B152" s="77">
        <v>2</v>
      </c>
      <c r="C152" s="78" t="s">
        <v>305</v>
      </c>
      <c r="D152" s="79" t="s">
        <v>338</v>
      </c>
      <c r="E152" s="80" t="s">
        <v>339</v>
      </c>
      <c r="F152" s="81">
        <v>68</v>
      </c>
      <c r="G152" s="222"/>
      <c r="H152" s="186"/>
      <c r="I152" s="186"/>
      <c r="J152" s="308"/>
      <c r="K152" s="227"/>
      <c r="L152" s="82">
        <f t="shared" si="114"/>
        <v>0</v>
      </c>
      <c r="M152" s="331"/>
      <c r="N152" s="161">
        <f t="shared" si="103"/>
        <v>0</v>
      </c>
      <c r="O152" s="161">
        <f t="shared" si="104"/>
        <v>0</v>
      </c>
      <c r="P152" s="187">
        <f t="shared" si="105"/>
        <v>0</v>
      </c>
      <c r="Q152" s="161">
        <f t="shared" si="106"/>
        <v>0</v>
      </c>
      <c r="R152" s="85"/>
      <c r="S152" s="86">
        <f t="shared" si="107"/>
        <v>6</v>
      </c>
      <c r="T152" s="87">
        <f t="shared" si="102"/>
        <v>-6</v>
      </c>
      <c r="U152">
        <v>6</v>
      </c>
    </row>
    <row r="153" spans="2:21" ht="20.100000000000001" hidden="1" customHeight="1">
      <c r="B153" s="77">
        <v>2</v>
      </c>
      <c r="C153" s="78" t="s">
        <v>305</v>
      </c>
      <c r="D153" s="79" t="s">
        <v>340</v>
      </c>
      <c r="E153" s="80" t="s">
        <v>341</v>
      </c>
      <c r="F153" s="81">
        <v>129</v>
      </c>
      <c r="G153" s="222">
        <v>1</v>
      </c>
      <c r="H153" s="186"/>
      <c r="I153" s="186"/>
      <c r="J153" s="308"/>
      <c r="K153" s="227">
        <v>1</v>
      </c>
      <c r="L153" s="82">
        <f t="shared" si="114"/>
        <v>0</v>
      </c>
      <c r="M153" s="331"/>
      <c r="N153" s="161">
        <f t="shared" si="103"/>
        <v>0</v>
      </c>
      <c r="O153" s="161">
        <f t="shared" si="104"/>
        <v>0</v>
      </c>
      <c r="P153" s="187">
        <f t="shared" si="105"/>
        <v>0</v>
      </c>
      <c r="Q153" s="161">
        <f t="shared" si="106"/>
        <v>0</v>
      </c>
      <c r="R153" s="85"/>
      <c r="S153" s="86">
        <f t="shared" si="107"/>
        <v>9</v>
      </c>
      <c r="T153" s="87">
        <f t="shared" si="102"/>
        <v>-9</v>
      </c>
      <c r="U153">
        <v>9</v>
      </c>
    </row>
    <row r="154" spans="2:21" ht="20.100000000000001" hidden="1" customHeight="1">
      <c r="B154" s="77">
        <v>2</v>
      </c>
      <c r="C154" s="78" t="s">
        <v>305</v>
      </c>
      <c r="D154" s="79" t="s">
        <v>342</v>
      </c>
      <c r="E154" s="80" t="s">
        <v>343</v>
      </c>
      <c r="F154" s="81">
        <v>99.5</v>
      </c>
      <c r="G154" s="222">
        <v>4</v>
      </c>
      <c r="H154" s="186"/>
      <c r="I154" s="186"/>
      <c r="J154" s="308"/>
      <c r="K154" s="227"/>
      <c r="L154" s="82">
        <f t="shared" si="114"/>
        <v>4</v>
      </c>
      <c r="M154" s="331">
        <v>4</v>
      </c>
      <c r="N154" s="161">
        <f t="shared" si="103"/>
        <v>398</v>
      </c>
      <c r="O154" s="161">
        <f t="shared" si="104"/>
        <v>398</v>
      </c>
      <c r="P154" s="187">
        <f t="shared" si="105"/>
        <v>0</v>
      </c>
      <c r="Q154" s="161">
        <f t="shared" si="106"/>
        <v>0</v>
      </c>
      <c r="R154" s="85"/>
      <c r="S154" s="86">
        <f t="shared" si="107"/>
        <v>4</v>
      </c>
      <c r="T154" s="87">
        <f t="shared" si="102"/>
        <v>0</v>
      </c>
      <c r="U154">
        <v>4</v>
      </c>
    </row>
    <row r="155" spans="2:21" ht="20.100000000000001" hidden="1" customHeight="1">
      <c r="B155" s="77">
        <v>2</v>
      </c>
      <c r="C155" s="78" t="s">
        <v>305</v>
      </c>
      <c r="D155" s="79" t="s">
        <v>344</v>
      </c>
      <c r="E155" s="80" t="s">
        <v>345</v>
      </c>
      <c r="F155" s="81">
        <v>120.75</v>
      </c>
      <c r="G155" s="222">
        <v>1</v>
      </c>
      <c r="H155" s="186"/>
      <c r="I155" s="186"/>
      <c r="J155" s="308"/>
      <c r="K155" s="227"/>
      <c r="L155" s="82">
        <f t="shared" si="114"/>
        <v>1</v>
      </c>
      <c r="M155" s="331">
        <v>1</v>
      </c>
      <c r="N155" s="161">
        <f t="shared" si="103"/>
        <v>120.75</v>
      </c>
      <c r="O155" s="161">
        <f t="shared" si="104"/>
        <v>120.75</v>
      </c>
      <c r="P155" s="187">
        <f t="shared" si="105"/>
        <v>0</v>
      </c>
      <c r="Q155" s="161">
        <f t="shared" si="106"/>
        <v>0</v>
      </c>
      <c r="R155" s="85"/>
      <c r="S155" s="86">
        <f t="shared" si="107"/>
        <v>1</v>
      </c>
      <c r="T155" s="87">
        <f t="shared" si="102"/>
        <v>0</v>
      </c>
      <c r="U155">
        <v>1</v>
      </c>
    </row>
    <row r="156" spans="2:21" ht="20.100000000000001" hidden="1" customHeight="1">
      <c r="B156" s="77">
        <v>2</v>
      </c>
      <c r="C156" s="78" t="s">
        <v>305</v>
      </c>
      <c r="D156" s="79" t="s">
        <v>346</v>
      </c>
      <c r="E156" s="80" t="s">
        <v>347</v>
      </c>
      <c r="F156" s="81">
        <v>120.75</v>
      </c>
      <c r="G156" s="222">
        <v>3</v>
      </c>
      <c r="H156" s="186"/>
      <c r="I156" s="186"/>
      <c r="J156" s="308"/>
      <c r="K156" s="227"/>
      <c r="L156" s="82">
        <f t="shared" si="114"/>
        <v>3</v>
      </c>
      <c r="M156" s="331">
        <v>3</v>
      </c>
      <c r="N156" s="161">
        <f t="shared" si="103"/>
        <v>362.25</v>
      </c>
      <c r="O156" s="161">
        <f t="shared" si="104"/>
        <v>362.25</v>
      </c>
      <c r="P156" s="187">
        <f t="shared" si="105"/>
        <v>0</v>
      </c>
      <c r="Q156" s="161">
        <f t="shared" si="106"/>
        <v>0</v>
      </c>
      <c r="R156" s="85"/>
      <c r="S156" s="86">
        <f t="shared" si="107"/>
        <v>3</v>
      </c>
      <c r="T156" s="87">
        <f t="shared" si="102"/>
        <v>0</v>
      </c>
      <c r="U156">
        <v>3</v>
      </c>
    </row>
    <row r="157" spans="2:21" ht="20.100000000000001" hidden="1" customHeight="1">
      <c r="B157" s="77">
        <v>2</v>
      </c>
      <c r="C157" s="78" t="s">
        <v>305</v>
      </c>
      <c r="D157" s="79" t="s">
        <v>348</v>
      </c>
      <c r="E157" s="80" t="s">
        <v>349</v>
      </c>
      <c r="F157" s="81">
        <v>120.75</v>
      </c>
      <c r="G157" s="222">
        <v>2</v>
      </c>
      <c r="H157" s="186"/>
      <c r="I157" s="186"/>
      <c r="J157" s="308"/>
      <c r="K157" s="227"/>
      <c r="L157" s="82">
        <f t="shared" si="114"/>
        <v>2</v>
      </c>
      <c r="M157" s="331">
        <v>2</v>
      </c>
      <c r="N157" s="161">
        <f t="shared" si="103"/>
        <v>241.5</v>
      </c>
      <c r="O157" s="161">
        <f t="shared" si="104"/>
        <v>241.5</v>
      </c>
      <c r="P157" s="187">
        <f t="shared" si="105"/>
        <v>0</v>
      </c>
      <c r="Q157" s="161">
        <f t="shared" si="106"/>
        <v>0</v>
      </c>
      <c r="R157" s="85"/>
      <c r="S157" s="86">
        <f t="shared" si="107"/>
        <v>2</v>
      </c>
      <c r="T157" s="87">
        <f t="shared" si="102"/>
        <v>0</v>
      </c>
      <c r="U157">
        <v>2</v>
      </c>
    </row>
    <row r="158" spans="2:21" ht="20.100000000000001" hidden="1" customHeight="1">
      <c r="B158" s="77">
        <v>2</v>
      </c>
      <c r="C158" s="78" t="s">
        <v>305</v>
      </c>
      <c r="D158" s="79" t="s">
        <v>350</v>
      </c>
      <c r="E158" s="80" t="s">
        <v>351</v>
      </c>
      <c r="F158" s="81">
        <v>249.83</v>
      </c>
      <c r="G158" s="222"/>
      <c r="H158" s="186"/>
      <c r="I158" s="186"/>
      <c r="J158" s="308"/>
      <c r="K158" s="227"/>
      <c r="L158" s="82">
        <f t="shared" si="114"/>
        <v>0</v>
      </c>
      <c r="M158" s="331"/>
      <c r="N158" s="161">
        <f t="shared" si="103"/>
        <v>0</v>
      </c>
      <c r="O158" s="161">
        <f t="shared" si="104"/>
        <v>0</v>
      </c>
      <c r="P158" s="187">
        <f t="shared" si="105"/>
        <v>0</v>
      </c>
      <c r="Q158" s="161">
        <f t="shared" si="106"/>
        <v>0</v>
      </c>
      <c r="R158" s="85"/>
      <c r="S158" s="86">
        <f t="shared" si="107"/>
        <v>1</v>
      </c>
      <c r="T158" s="87">
        <f t="shared" si="102"/>
        <v>-1</v>
      </c>
      <c r="U158">
        <v>1</v>
      </c>
    </row>
    <row r="159" spans="2:21" ht="20.100000000000001" hidden="1" customHeight="1">
      <c r="B159" s="77">
        <v>2</v>
      </c>
      <c r="C159" s="78" t="s">
        <v>305</v>
      </c>
      <c r="D159" s="79" t="s">
        <v>352</v>
      </c>
      <c r="E159" s="80" t="s">
        <v>353</v>
      </c>
      <c r="F159" s="81">
        <v>239.94</v>
      </c>
      <c r="G159" s="222">
        <v>7</v>
      </c>
      <c r="H159" s="186"/>
      <c r="I159" s="186"/>
      <c r="J159" s="308"/>
      <c r="K159" s="227"/>
      <c r="L159" s="82">
        <f t="shared" si="114"/>
        <v>7</v>
      </c>
      <c r="M159" s="331">
        <v>7</v>
      </c>
      <c r="N159" s="161">
        <f t="shared" si="103"/>
        <v>1679.58</v>
      </c>
      <c r="O159" s="161">
        <f t="shared" si="104"/>
        <v>1679.58</v>
      </c>
      <c r="P159" s="187">
        <f t="shared" si="105"/>
        <v>0</v>
      </c>
      <c r="Q159" s="161">
        <f t="shared" si="106"/>
        <v>0</v>
      </c>
      <c r="R159" s="85"/>
      <c r="S159" s="86">
        <f t="shared" si="107"/>
        <v>8</v>
      </c>
      <c r="T159" s="87">
        <f t="shared" si="102"/>
        <v>-1</v>
      </c>
      <c r="U159">
        <v>8</v>
      </c>
    </row>
    <row r="160" spans="2:21" ht="20.100000000000001" hidden="1" customHeight="1">
      <c r="B160" s="77">
        <v>3</v>
      </c>
      <c r="C160" s="78" t="s">
        <v>354</v>
      </c>
      <c r="D160" s="79" t="s">
        <v>355</v>
      </c>
      <c r="E160" s="80" t="s">
        <v>356</v>
      </c>
      <c r="F160" s="81">
        <v>7.48</v>
      </c>
      <c r="G160" s="222">
        <v>37</v>
      </c>
      <c r="H160" s="186"/>
      <c r="I160" s="186"/>
      <c r="J160" s="308"/>
      <c r="K160" s="227">
        <v>11</v>
      </c>
      <c r="L160" s="82">
        <f t="shared" si="114"/>
        <v>26</v>
      </c>
      <c r="M160" s="331">
        <v>26</v>
      </c>
      <c r="N160" s="161">
        <f t="shared" si="103"/>
        <v>194.48000000000002</v>
      </c>
      <c r="O160" s="161">
        <f t="shared" si="104"/>
        <v>194.48000000000002</v>
      </c>
      <c r="P160" s="187">
        <f t="shared" si="105"/>
        <v>0</v>
      </c>
      <c r="Q160" s="161">
        <f t="shared" si="106"/>
        <v>0</v>
      </c>
      <c r="R160" s="85"/>
      <c r="S160" s="86">
        <f t="shared" si="107"/>
        <v>19</v>
      </c>
      <c r="T160" s="87">
        <f t="shared" si="102"/>
        <v>7</v>
      </c>
      <c r="U160">
        <v>19</v>
      </c>
    </row>
    <row r="161" spans="2:31" ht="20.100000000000001" hidden="1" customHeight="1">
      <c r="B161" s="77">
        <v>3</v>
      </c>
      <c r="C161" s="78" t="s">
        <v>354</v>
      </c>
      <c r="D161" s="79" t="s">
        <v>357</v>
      </c>
      <c r="E161" s="80" t="s">
        <v>358</v>
      </c>
      <c r="F161" s="81">
        <v>57.25</v>
      </c>
      <c r="G161" s="222">
        <v>5</v>
      </c>
      <c r="H161" s="186"/>
      <c r="I161" s="186"/>
      <c r="J161" s="308"/>
      <c r="K161" s="227"/>
      <c r="L161" s="82">
        <f t="shared" si="114"/>
        <v>5</v>
      </c>
      <c r="M161" s="331">
        <v>5</v>
      </c>
      <c r="N161" s="161">
        <f t="shared" si="103"/>
        <v>286.25</v>
      </c>
      <c r="O161" s="161">
        <f t="shared" si="104"/>
        <v>286.25</v>
      </c>
      <c r="P161" s="187">
        <f t="shared" si="105"/>
        <v>0</v>
      </c>
      <c r="Q161" s="161">
        <f t="shared" si="106"/>
        <v>0</v>
      </c>
      <c r="R161" s="85"/>
      <c r="S161" s="86">
        <f t="shared" si="107"/>
        <v>1</v>
      </c>
      <c r="T161" s="87">
        <f t="shared" si="102"/>
        <v>4</v>
      </c>
      <c r="U161">
        <v>1</v>
      </c>
    </row>
    <row r="162" spans="2:31" ht="20.100000000000001" customHeight="1">
      <c r="B162" s="77">
        <v>3</v>
      </c>
      <c r="C162" s="78" t="s">
        <v>354</v>
      </c>
      <c r="D162" s="79" t="s">
        <v>359</v>
      </c>
      <c r="E162" s="80" t="s">
        <v>360</v>
      </c>
      <c r="F162" s="81">
        <v>59.5</v>
      </c>
      <c r="G162" s="222">
        <v>10</v>
      </c>
      <c r="H162" s="186"/>
      <c r="I162" s="186"/>
      <c r="J162" s="308"/>
      <c r="K162" s="227">
        <v>1</v>
      </c>
      <c r="L162" s="82">
        <f t="shared" si="114"/>
        <v>9</v>
      </c>
      <c r="M162" s="331">
        <f>2+6</f>
        <v>8</v>
      </c>
      <c r="N162" s="161">
        <f t="shared" si="103"/>
        <v>535.5</v>
      </c>
      <c r="O162" s="161">
        <f t="shared" si="104"/>
        <v>476</v>
      </c>
      <c r="P162" s="187">
        <f t="shared" si="105"/>
        <v>1</v>
      </c>
      <c r="Q162" s="161">
        <f t="shared" si="106"/>
        <v>59.5</v>
      </c>
      <c r="R162" s="85"/>
      <c r="S162" s="86">
        <f t="shared" si="107"/>
        <v>0</v>
      </c>
      <c r="T162" s="87">
        <f t="shared" si="102"/>
        <v>8</v>
      </c>
    </row>
    <row r="163" spans="2:31" ht="20.100000000000001" hidden="1" customHeight="1">
      <c r="B163" s="77">
        <v>3</v>
      </c>
      <c r="C163" s="78" t="s">
        <v>354</v>
      </c>
      <c r="D163" s="79" t="s">
        <v>361</v>
      </c>
      <c r="E163" s="80" t="s">
        <v>362</v>
      </c>
      <c r="F163" s="81">
        <v>59.5</v>
      </c>
      <c r="G163" s="222">
        <v>4</v>
      </c>
      <c r="H163" s="186"/>
      <c r="I163" s="186"/>
      <c r="J163" s="308"/>
      <c r="K163" s="227">
        <v>1</v>
      </c>
      <c r="L163" s="82">
        <f t="shared" si="114"/>
        <v>3</v>
      </c>
      <c r="M163" s="331">
        <v>3</v>
      </c>
      <c r="N163" s="161">
        <f t="shared" si="103"/>
        <v>178.5</v>
      </c>
      <c r="O163" s="161">
        <f t="shared" si="104"/>
        <v>178.5</v>
      </c>
      <c r="P163" s="187">
        <f t="shared" si="105"/>
        <v>0</v>
      </c>
      <c r="Q163" s="161">
        <f t="shared" si="106"/>
        <v>0</v>
      </c>
      <c r="R163" s="85"/>
      <c r="S163" s="86">
        <f t="shared" si="107"/>
        <v>6</v>
      </c>
      <c r="T163" s="87">
        <f t="shared" si="102"/>
        <v>-3</v>
      </c>
      <c r="U163">
        <v>6</v>
      </c>
    </row>
    <row r="164" spans="2:31" ht="20.100000000000001" hidden="1" customHeight="1">
      <c r="B164" s="77">
        <v>3</v>
      </c>
      <c r="C164" s="78" t="s">
        <v>354</v>
      </c>
      <c r="D164" s="79" t="s">
        <v>363</v>
      </c>
      <c r="E164" s="80" t="s">
        <v>364</v>
      </c>
      <c r="F164" s="81">
        <v>6.31</v>
      </c>
      <c r="G164" s="222">
        <v>22</v>
      </c>
      <c r="H164" s="186"/>
      <c r="I164" s="186"/>
      <c r="J164" s="308"/>
      <c r="K164" s="227"/>
      <c r="L164" s="82">
        <f t="shared" si="114"/>
        <v>22</v>
      </c>
      <c r="M164" s="331">
        <v>22</v>
      </c>
      <c r="N164" s="161">
        <f t="shared" si="103"/>
        <v>138.82</v>
      </c>
      <c r="O164" s="161">
        <f t="shared" si="104"/>
        <v>138.82</v>
      </c>
      <c r="P164" s="187">
        <f t="shared" si="105"/>
        <v>0</v>
      </c>
      <c r="Q164" s="161">
        <f t="shared" si="106"/>
        <v>0</v>
      </c>
      <c r="R164" s="233"/>
      <c r="S164" s="86">
        <f t="shared" si="107"/>
        <v>22</v>
      </c>
      <c r="T164" s="87">
        <f t="shared" si="102"/>
        <v>0</v>
      </c>
      <c r="W164">
        <f>20+2</f>
        <v>22</v>
      </c>
      <c r="X164" t="s">
        <v>115</v>
      </c>
      <c r="AD164">
        <f t="shared" ref="AD164:AD166" si="115">W164</f>
        <v>22</v>
      </c>
      <c r="AE164" s="89">
        <f>AD164*F164</f>
        <v>138.82</v>
      </c>
    </row>
    <row r="165" spans="2:31" ht="20.100000000000001" hidden="1" customHeight="1">
      <c r="B165" s="77">
        <v>3</v>
      </c>
      <c r="C165" s="78" t="s">
        <v>354</v>
      </c>
      <c r="D165" s="79" t="s">
        <v>365</v>
      </c>
      <c r="E165" s="80" t="s">
        <v>366</v>
      </c>
      <c r="F165" s="81">
        <v>10.75</v>
      </c>
      <c r="G165" s="222">
        <v>50</v>
      </c>
      <c r="H165" s="186"/>
      <c r="I165" s="186"/>
      <c r="J165" s="308"/>
      <c r="K165" s="227"/>
      <c r="L165" s="82">
        <f t="shared" si="114"/>
        <v>50</v>
      </c>
      <c r="M165" s="331">
        <v>50</v>
      </c>
      <c r="N165" s="161">
        <f t="shared" si="103"/>
        <v>537.5</v>
      </c>
      <c r="O165" s="161">
        <f t="shared" si="104"/>
        <v>537.5</v>
      </c>
      <c r="P165" s="187">
        <f t="shared" si="105"/>
        <v>0</v>
      </c>
      <c r="Q165" s="161">
        <f t="shared" si="106"/>
        <v>0</v>
      </c>
      <c r="R165" s="85"/>
      <c r="S165" s="86">
        <f t="shared" si="107"/>
        <v>2</v>
      </c>
      <c r="T165" s="87">
        <f t="shared" si="102"/>
        <v>48</v>
      </c>
      <c r="W165">
        <v>2</v>
      </c>
      <c r="X165" t="s">
        <v>115</v>
      </c>
      <c r="AD165">
        <f t="shared" si="115"/>
        <v>2</v>
      </c>
      <c r="AE165" s="89">
        <f>AD165*F165</f>
        <v>21.5</v>
      </c>
    </row>
    <row r="166" spans="2:31" ht="20.100000000000001" hidden="1" customHeight="1">
      <c r="B166" s="77">
        <v>3</v>
      </c>
      <c r="C166" s="78" t="s">
        <v>354</v>
      </c>
      <c r="D166" s="79" t="s">
        <v>367</v>
      </c>
      <c r="E166" s="80" t="s">
        <v>368</v>
      </c>
      <c r="F166" s="81">
        <v>31.75</v>
      </c>
      <c r="G166" s="222">
        <v>9</v>
      </c>
      <c r="H166" s="186"/>
      <c r="I166" s="186"/>
      <c r="J166" s="308"/>
      <c r="K166" s="227"/>
      <c r="L166" s="82">
        <f t="shared" si="114"/>
        <v>9</v>
      </c>
      <c r="M166" s="331">
        <v>9</v>
      </c>
      <c r="N166" s="161">
        <f t="shared" si="103"/>
        <v>285.75</v>
      </c>
      <c r="O166" s="161">
        <f t="shared" si="104"/>
        <v>285.75</v>
      </c>
      <c r="P166" s="187">
        <f t="shared" si="105"/>
        <v>0</v>
      </c>
      <c r="Q166" s="161">
        <f t="shared" si="106"/>
        <v>0</v>
      </c>
      <c r="R166" s="91">
        <v>45857</v>
      </c>
      <c r="S166" s="86">
        <f t="shared" si="107"/>
        <v>2</v>
      </c>
      <c r="T166" s="87">
        <f t="shared" si="102"/>
        <v>7</v>
      </c>
      <c r="W166">
        <v>2</v>
      </c>
      <c r="X166" t="s">
        <v>121</v>
      </c>
      <c r="AD166">
        <f t="shared" si="115"/>
        <v>2</v>
      </c>
      <c r="AE166" s="89">
        <f>AD166*F166</f>
        <v>63.5</v>
      </c>
    </row>
    <row r="167" spans="2:31" ht="20.100000000000001" hidden="1" customHeight="1">
      <c r="B167" s="77">
        <v>3</v>
      </c>
      <c r="C167" s="78" t="s">
        <v>354</v>
      </c>
      <c r="D167" s="79" t="s">
        <v>369</v>
      </c>
      <c r="E167" s="80" t="s">
        <v>370</v>
      </c>
      <c r="F167" s="81">
        <v>37.799999999999997</v>
      </c>
      <c r="G167" s="222">
        <v>4</v>
      </c>
      <c r="H167" s="186"/>
      <c r="I167" s="186"/>
      <c r="J167" s="308"/>
      <c r="K167" s="227"/>
      <c r="L167" s="82">
        <f t="shared" si="114"/>
        <v>4</v>
      </c>
      <c r="M167" s="331">
        <v>4</v>
      </c>
      <c r="N167" s="161">
        <f t="shared" si="103"/>
        <v>151.19999999999999</v>
      </c>
      <c r="O167" s="161">
        <f t="shared" si="104"/>
        <v>151.19999999999999</v>
      </c>
      <c r="P167" s="187">
        <f t="shared" si="105"/>
        <v>0</v>
      </c>
      <c r="Q167" s="161">
        <f t="shared" si="106"/>
        <v>0</v>
      </c>
      <c r="R167" s="85"/>
      <c r="S167" s="86">
        <f t="shared" si="107"/>
        <v>7</v>
      </c>
      <c r="T167" s="87">
        <f t="shared" si="102"/>
        <v>-3</v>
      </c>
      <c r="U167">
        <v>7</v>
      </c>
    </row>
    <row r="168" spans="2:31" ht="20.100000000000001" hidden="1" customHeight="1">
      <c r="B168" s="77">
        <v>3</v>
      </c>
      <c r="C168" s="78" t="s">
        <v>354</v>
      </c>
      <c r="D168" s="79" t="s">
        <v>369</v>
      </c>
      <c r="E168" s="80" t="s">
        <v>370</v>
      </c>
      <c r="F168" s="273">
        <v>39.15</v>
      </c>
      <c r="G168" s="222"/>
      <c r="H168" s="186"/>
      <c r="I168" s="186">
        <v>6</v>
      </c>
      <c r="J168" s="308"/>
      <c r="K168" s="227"/>
      <c r="L168" s="82">
        <f t="shared" si="114"/>
        <v>6</v>
      </c>
      <c r="M168" s="331">
        <v>6</v>
      </c>
      <c r="N168" s="161">
        <f t="shared" si="103"/>
        <v>234.89999999999998</v>
      </c>
      <c r="O168" s="161">
        <f t="shared" si="104"/>
        <v>234.89999999999998</v>
      </c>
      <c r="P168" s="187">
        <f t="shared" si="105"/>
        <v>0</v>
      </c>
      <c r="Q168" s="161">
        <f t="shared" si="106"/>
        <v>0</v>
      </c>
      <c r="R168" s="85"/>
      <c r="S168" s="86">
        <f t="shared" si="107"/>
        <v>0</v>
      </c>
      <c r="T168" s="87">
        <f t="shared" si="102"/>
        <v>6</v>
      </c>
    </row>
    <row r="169" spans="2:31" ht="20.100000000000001" hidden="1" customHeight="1">
      <c r="B169" s="77">
        <v>3</v>
      </c>
      <c r="C169" s="78" t="s">
        <v>354</v>
      </c>
      <c r="D169" s="79" t="s">
        <v>371</v>
      </c>
      <c r="E169" s="80" t="s">
        <v>372</v>
      </c>
      <c r="F169" s="81">
        <v>57.25</v>
      </c>
      <c r="G169" s="222">
        <v>3</v>
      </c>
      <c r="H169" s="186"/>
      <c r="I169" s="186"/>
      <c r="J169" s="308"/>
      <c r="K169" s="227">
        <v>1</v>
      </c>
      <c r="L169" s="82">
        <f t="shared" ref="L169" si="116">G169+I169-J169-K169+H169</f>
        <v>2</v>
      </c>
      <c r="M169" s="331">
        <v>2</v>
      </c>
      <c r="N169" s="161">
        <f t="shared" ref="N169" si="117">F169*L169</f>
        <v>114.5</v>
      </c>
      <c r="O169" s="161">
        <f t="shared" ref="O169" si="118">M169*F169</f>
        <v>114.5</v>
      </c>
      <c r="P169" s="187">
        <f t="shared" ref="P169" si="119">L169-M169</f>
        <v>0</v>
      </c>
      <c r="Q169" s="161">
        <f t="shared" ref="Q169" si="120">N169-O169</f>
        <v>0</v>
      </c>
      <c r="R169" s="85"/>
      <c r="S169" s="86">
        <f t="shared" ref="S169" si="121">U169+Y169+W169+AA169</f>
        <v>3</v>
      </c>
      <c r="T169" s="87">
        <f t="shared" ref="T169" si="122">M169-S169</f>
        <v>-1</v>
      </c>
      <c r="U169">
        <v>3</v>
      </c>
    </row>
    <row r="170" spans="2:31" ht="20.100000000000001" hidden="1" customHeight="1">
      <c r="B170" s="77">
        <v>3</v>
      </c>
      <c r="C170" s="78" t="s">
        <v>354</v>
      </c>
      <c r="D170" s="79" t="s">
        <v>371</v>
      </c>
      <c r="E170" s="80" t="s">
        <v>372</v>
      </c>
      <c r="F170" s="273">
        <v>59.3</v>
      </c>
      <c r="G170" s="222"/>
      <c r="H170" s="186"/>
      <c r="I170" s="186">
        <v>6</v>
      </c>
      <c r="J170" s="308"/>
      <c r="K170" s="227"/>
      <c r="L170" s="82">
        <f t="shared" si="114"/>
        <v>6</v>
      </c>
      <c r="M170" s="331">
        <v>6</v>
      </c>
      <c r="N170" s="161">
        <f t="shared" si="103"/>
        <v>355.79999999999995</v>
      </c>
      <c r="O170" s="161">
        <f t="shared" si="104"/>
        <v>355.79999999999995</v>
      </c>
      <c r="P170" s="187">
        <f t="shared" si="105"/>
        <v>0</v>
      </c>
      <c r="Q170" s="161">
        <f t="shared" si="106"/>
        <v>0</v>
      </c>
      <c r="R170" s="85"/>
      <c r="S170" s="86">
        <f t="shared" si="107"/>
        <v>3</v>
      </c>
      <c r="T170" s="87">
        <f t="shared" si="102"/>
        <v>3</v>
      </c>
      <c r="U170">
        <v>3</v>
      </c>
    </row>
    <row r="171" spans="2:31" ht="20.100000000000001" hidden="1" customHeight="1">
      <c r="B171" s="77">
        <v>3</v>
      </c>
      <c r="C171" s="78" t="s">
        <v>354</v>
      </c>
      <c r="D171" s="79" t="s">
        <v>373</v>
      </c>
      <c r="E171" s="80" t="s">
        <v>374</v>
      </c>
      <c r="F171" s="81">
        <v>58.45</v>
      </c>
      <c r="G171" s="222">
        <v>9</v>
      </c>
      <c r="H171" s="186"/>
      <c r="I171" s="186"/>
      <c r="J171" s="308"/>
      <c r="K171" s="227"/>
      <c r="L171" s="82">
        <f t="shared" si="114"/>
        <v>9</v>
      </c>
      <c r="M171" s="331">
        <v>9</v>
      </c>
      <c r="N171" s="161">
        <f t="shared" si="103"/>
        <v>526.05000000000007</v>
      </c>
      <c r="O171" s="161">
        <f t="shared" si="104"/>
        <v>526.05000000000007</v>
      </c>
      <c r="P171" s="187">
        <f t="shared" si="105"/>
        <v>0</v>
      </c>
      <c r="Q171" s="161">
        <f t="shared" si="106"/>
        <v>0</v>
      </c>
      <c r="R171" s="85"/>
      <c r="S171" s="86">
        <f t="shared" si="107"/>
        <v>2</v>
      </c>
      <c r="T171" s="87">
        <f t="shared" si="102"/>
        <v>7</v>
      </c>
      <c r="U171">
        <v>2</v>
      </c>
    </row>
    <row r="172" spans="2:31" ht="20.100000000000001" hidden="1" customHeight="1">
      <c r="B172" s="77">
        <v>3</v>
      </c>
      <c r="C172" s="78" t="s">
        <v>354</v>
      </c>
      <c r="D172" s="79" t="s">
        <v>375</v>
      </c>
      <c r="E172" s="80" t="s">
        <v>376</v>
      </c>
      <c r="F172" s="81">
        <v>44.8</v>
      </c>
      <c r="G172" s="222">
        <v>16</v>
      </c>
      <c r="H172" s="186"/>
      <c r="I172" s="186">
        <v>15</v>
      </c>
      <c r="J172" s="308">
        <v>1</v>
      </c>
      <c r="K172" s="227">
        <v>8</v>
      </c>
      <c r="L172" s="82">
        <f t="shared" si="114"/>
        <v>22</v>
      </c>
      <c r="M172" s="331">
        <v>22</v>
      </c>
      <c r="N172" s="161">
        <f t="shared" si="103"/>
        <v>985.59999999999991</v>
      </c>
      <c r="O172" s="161">
        <f t="shared" si="104"/>
        <v>985.59999999999991</v>
      </c>
      <c r="P172" s="187">
        <f t="shared" si="105"/>
        <v>0</v>
      </c>
      <c r="Q172" s="161">
        <f t="shared" si="106"/>
        <v>0</v>
      </c>
      <c r="R172" s="232"/>
      <c r="S172" s="86">
        <f t="shared" si="107"/>
        <v>9</v>
      </c>
      <c r="T172" s="87">
        <f t="shared" si="102"/>
        <v>13</v>
      </c>
      <c r="U172">
        <v>9</v>
      </c>
    </row>
    <row r="173" spans="2:31" ht="20.100000000000001" hidden="1" customHeight="1">
      <c r="B173" s="77">
        <v>3</v>
      </c>
      <c r="C173" s="78" t="s">
        <v>354</v>
      </c>
      <c r="D173" s="79" t="s">
        <v>3809</v>
      </c>
      <c r="E173" s="80" t="s">
        <v>3796</v>
      </c>
      <c r="F173" s="81">
        <v>61.75</v>
      </c>
      <c r="G173" s="222">
        <v>6</v>
      </c>
      <c r="H173" s="186"/>
      <c r="I173" s="186"/>
      <c r="J173" s="308">
        <v>1</v>
      </c>
      <c r="K173" s="227"/>
      <c r="L173" s="82">
        <f t="shared" si="114"/>
        <v>5</v>
      </c>
      <c r="M173" s="331">
        <v>5</v>
      </c>
      <c r="N173" s="161">
        <f t="shared" ref="N173" si="123">F173*L173</f>
        <v>308.75</v>
      </c>
      <c r="O173" s="161">
        <f t="shared" ref="O173" si="124">M173*F173</f>
        <v>308.75</v>
      </c>
      <c r="P173" s="187">
        <f t="shared" ref="P173" si="125">L173-M173</f>
        <v>0</v>
      </c>
      <c r="Q173" s="161">
        <f t="shared" ref="Q173" si="126">N173-O173</f>
        <v>0</v>
      </c>
      <c r="R173" s="85"/>
      <c r="S173" s="86">
        <f t="shared" ref="S173" si="127">U173+Y173+W173+AA173</f>
        <v>0</v>
      </c>
      <c r="T173" s="87">
        <f t="shared" ref="T173" si="128">M173-S173</f>
        <v>5</v>
      </c>
    </row>
    <row r="174" spans="2:31" ht="20.100000000000001" hidden="1" customHeight="1">
      <c r="B174" s="77">
        <v>3</v>
      </c>
      <c r="C174" s="78" t="s">
        <v>354</v>
      </c>
      <c r="D174" s="219" t="s">
        <v>3898</v>
      </c>
      <c r="E174" s="276" t="s">
        <v>4448</v>
      </c>
      <c r="F174" s="81">
        <v>61.5</v>
      </c>
      <c r="G174" s="222"/>
      <c r="H174" s="186"/>
      <c r="I174" s="186">
        <v>5</v>
      </c>
      <c r="J174" s="308"/>
      <c r="K174" s="227">
        <v>1</v>
      </c>
      <c r="L174" s="82">
        <f t="shared" si="114"/>
        <v>4</v>
      </c>
      <c r="M174" s="331">
        <v>4</v>
      </c>
      <c r="N174" s="161">
        <f t="shared" si="103"/>
        <v>246</v>
      </c>
      <c r="O174" s="161">
        <f t="shared" si="104"/>
        <v>246</v>
      </c>
      <c r="P174" s="187">
        <f t="shared" si="105"/>
        <v>0</v>
      </c>
      <c r="Q174" s="161">
        <f t="shared" si="106"/>
        <v>0</v>
      </c>
      <c r="R174" s="85"/>
      <c r="S174" s="86">
        <f t="shared" si="107"/>
        <v>0</v>
      </c>
      <c r="T174" s="87">
        <f t="shared" si="102"/>
        <v>4</v>
      </c>
    </row>
    <row r="175" spans="2:31" ht="20.100000000000001" hidden="1" customHeight="1">
      <c r="B175" s="77">
        <v>3</v>
      </c>
      <c r="C175" s="78" t="s">
        <v>354</v>
      </c>
      <c r="D175" s="79" t="s">
        <v>3810</v>
      </c>
      <c r="E175" s="80" t="s">
        <v>3797</v>
      </c>
      <c r="F175" s="81">
        <v>61.5</v>
      </c>
      <c r="G175" s="222">
        <v>6</v>
      </c>
      <c r="H175" s="186"/>
      <c r="I175" s="186"/>
      <c r="J175" s="308"/>
      <c r="K175" s="227">
        <v>2</v>
      </c>
      <c r="L175" s="82">
        <f t="shared" si="114"/>
        <v>4</v>
      </c>
      <c r="M175" s="331">
        <v>4</v>
      </c>
      <c r="N175" s="161">
        <f t="shared" ref="N175" si="129">F175*L175</f>
        <v>246</v>
      </c>
      <c r="O175" s="161">
        <f t="shared" ref="O175" si="130">M175*F175</f>
        <v>246</v>
      </c>
      <c r="P175" s="187">
        <f t="shared" ref="P175" si="131">L175-M175</f>
        <v>0</v>
      </c>
      <c r="Q175" s="161">
        <f t="shared" ref="Q175" si="132">N175-O175</f>
        <v>0</v>
      </c>
      <c r="R175" s="85"/>
      <c r="S175" s="86">
        <f t="shared" ref="S175" si="133">U175+Y175+W175+AA175</f>
        <v>0</v>
      </c>
      <c r="T175" s="87">
        <f t="shared" ref="T175" si="134">M175-S175</f>
        <v>4</v>
      </c>
    </row>
    <row r="176" spans="2:31" ht="20.100000000000001" hidden="1" customHeight="1">
      <c r="B176" s="77">
        <v>3</v>
      </c>
      <c r="C176" s="78" t="s">
        <v>354</v>
      </c>
      <c r="D176" s="79" t="s">
        <v>377</v>
      </c>
      <c r="E176" s="80" t="s">
        <v>378</v>
      </c>
      <c r="F176" s="81">
        <v>41.2</v>
      </c>
      <c r="G176" s="222"/>
      <c r="H176" s="186"/>
      <c r="I176" s="186"/>
      <c r="J176" s="308"/>
      <c r="K176" s="227"/>
      <c r="L176" s="82">
        <f t="shared" si="114"/>
        <v>0</v>
      </c>
      <c r="M176" s="331"/>
      <c r="N176" s="161">
        <f t="shared" si="103"/>
        <v>0</v>
      </c>
      <c r="O176" s="161">
        <f t="shared" si="104"/>
        <v>0</v>
      </c>
      <c r="P176" s="187">
        <f t="shared" si="105"/>
        <v>0</v>
      </c>
      <c r="Q176" s="161">
        <f t="shared" si="106"/>
        <v>0</v>
      </c>
      <c r="R176" s="85"/>
      <c r="S176" s="86">
        <f t="shared" si="107"/>
        <v>0</v>
      </c>
      <c r="T176" s="87">
        <f t="shared" si="102"/>
        <v>0</v>
      </c>
    </row>
    <row r="177" spans="2:21" ht="20.100000000000001" customHeight="1">
      <c r="B177" s="77">
        <v>3</v>
      </c>
      <c r="C177" s="78" t="s">
        <v>354</v>
      </c>
      <c r="D177" s="79" t="s">
        <v>377</v>
      </c>
      <c r="E177" s="80" t="s">
        <v>378</v>
      </c>
      <c r="F177" s="81">
        <v>44.8</v>
      </c>
      <c r="G177" s="222">
        <v>8</v>
      </c>
      <c r="H177" s="186"/>
      <c r="I177" s="186">
        <v>10</v>
      </c>
      <c r="J177" s="308"/>
      <c r="K177" s="227">
        <v>8</v>
      </c>
      <c r="L177" s="82">
        <f t="shared" si="114"/>
        <v>10</v>
      </c>
      <c r="M177" s="331">
        <v>9</v>
      </c>
      <c r="N177" s="161">
        <f t="shared" si="103"/>
        <v>448</v>
      </c>
      <c r="O177" s="161">
        <f t="shared" si="104"/>
        <v>403.2</v>
      </c>
      <c r="P177" s="187">
        <f t="shared" si="105"/>
        <v>1</v>
      </c>
      <c r="Q177" s="161">
        <f t="shared" si="106"/>
        <v>44.800000000000011</v>
      </c>
      <c r="R177" s="85"/>
      <c r="S177" s="86">
        <f t="shared" si="107"/>
        <v>12</v>
      </c>
      <c r="T177" s="87">
        <f t="shared" si="102"/>
        <v>-3</v>
      </c>
      <c r="U177">
        <v>12</v>
      </c>
    </row>
    <row r="178" spans="2:21" ht="20.100000000000001" hidden="1" customHeight="1">
      <c r="B178" s="77">
        <v>3</v>
      </c>
      <c r="C178" s="78" t="s">
        <v>354</v>
      </c>
      <c r="D178" s="79" t="s">
        <v>379</v>
      </c>
      <c r="E178" s="80" t="s">
        <v>380</v>
      </c>
      <c r="F178" s="315">
        <v>61.5</v>
      </c>
      <c r="G178" s="222">
        <v>8</v>
      </c>
      <c r="H178" s="186"/>
      <c r="I178" s="186"/>
      <c r="J178" s="308">
        <v>1</v>
      </c>
      <c r="K178" s="227">
        <v>1</v>
      </c>
      <c r="L178" s="82">
        <f t="shared" si="114"/>
        <v>6</v>
      </c>
      <c r="M178" s="331">
        <v>6</v>
      </c>
      <c r="N178" s="161">
        <f t="shared" si="103"/>
        <v>369</v>
      </c>
      <c r="O178" s="161">
        <f t="shared" si="104"/>
        <v>369</v>
      </c>
      <c r="P178" s="187">
        <f t="shared" si="105"/>
        <v>0</v>
      </c>
      <c r="Q178" s="161">
        <f t="shared" si="106"/>
        <v>0</v>
      </c>
      <c r="R178" s="85"/>
      <c r="S178" s="86">
        <f t="shared" si="107"/>
        <v>4</v>
      </c>
      <c r="T178" s="87">
        <f t="shared" si="102"/>
        <v>2</v>
      </c>
      <c r="U178">
        <v>4</v>
      </c>
    </row>
    <row r="179" spans="2:21" ht="20.100000000000001" hidden="1" customHeight="1">
      <c r="B179" s="77">
        <v>3</v>
      </c>
      <c r="C179" s="78" t="s">
        <v>354</v>
      </c>
      <c r="D179" s="79" t="s">
        <v>381</v>
      </c>
      <c r="E179" s="80" t="s">
        <v>382</v>
      </c>
      <c r="F179" s="81">
        <v>61.5</v>
      </c>
      <c r="G179" s="222">
        <v>8</v>
      </c>
      <c r="H179" s="186"/>
      <c r="I179" s="186"/>
      <c r="J179" s="308">
        <v>1</v>
      </c>
      <c r="K179" s="227"/>
      <c r="L179" s="82">
        <f t="shared" si="114"/>
        <v>7</v>
      </c>
      <c r="M179" s="331">
        <v>7</v>
      </c>
      <c r="N179" s="161">
        <f t="shared" si="103"/>
        <v>430.5</v>
      </c>
      <c r="O179" s="161">
        <f t="shared" si="104"/>
        <v>430.5</v>
      </c>
      <c r="P179" s="187">
        <f t="shared" si="105"/>
        <v>0</v>
      </c>
      <c r="Q179" s="161">
        <f t="shared" si="106"/>
        <v>0</v>
      </c>
      <c r="R179" s="85"/>
      <c r="S179" s="86">
        <f t="shared" si="107"/>
        <v>2</v>
      </c>
      <c r="T179" s="87">
        <f t="shared" si="102"/>
        <v>5</v>
      </c>
      <c r="U179">
        <v>2</v>
      </c>
    </row>
    <row r="180" spans="2:21" ht="20.100000000000001" hidden="1" customHeight="1">
      <c r="B180" s="77">
        <v>3</v>
      </c>
      <c r="C180" s="78" t="s">
        <v>354</v>
      </c>
      <c r="D180" s="79" t="s">
        <v>383</v>
      </c>
      <c r="E180" s="80" t="s">
        <v>384</v>
      </c>
      <c r="F180" s="81">
        <v>61.5</v>
      </c>
      <c r="G180" s="222">
        <v>8</v>
      </c>
      <c r="H180" s="186"/>
      <c r="I180" s="186"/>
      <c r="J180" s="308"/>
      <c r="K180" s="227">
        <v>1</v>
      </c>
      <c r="L180" s="82">
        <f t="shared" si="114"/>
        <v>7</v>
      </c>
      <c r="M180" s="331">
        <v>7</v>
      </c>
      <c r="N180" s="161">
        <f t="shared" si="103"/>
        <v>430.5</v>
      </c>
      <c r="O180" s="161">
        <f t="shared" si="104"/>
        <v>430.5</v>
      </c>
      <c r="P180" s="187">
        <f t="shared" si="105"/>
        <v>0</v>
      </c>
      <c r="Q180" s="161">
        <f t="shared" si="106"/>
        <v>0</v>
      </c>
      <c r="R180" s="85"/>
      <c r="S180" s="86">
        <f t="shared" si="107"/>
        <v>6</v>
      </c>
      <c r="T180" s="87">
        <f t="shared" si="102"/>
        <v>1</v>
      </c>
      <c r="U180">
        <v>6</v>
      </c>
    </row>
    <row r="181" spans="2:21" ht="20.100000000000001" hidden="1" customHeight="1">
      <c r="B181" s="77">
        <v>3</v>
      </c>
      <c r="C181" s="78" t="s">
        <v>354</v>
      </c>
      <c r="D181" s="79" t="s">
        <v>385</v>
      </c>
      <c r="E181" s="80" t="s">
        <v>386</v>
      </c>
      <c r="F181" s="81">
        <v>35</v>
      </c>
      <c r="G181" s="222">
        <v>8</v>
      </c>
      <c r="H181" s="186"/>
      <c r="I181" s="186"/>
      <c r="J181" s="308"/>
      <c r="K181" s="227"/>
      <c r="L181" s="82">
        <f t="shared" si="114"/>
        <v>8</v>
      </c>
      <c r="M181" s="331">
        <v>8</v>
      </c>
      <c r="N181" s="161">
        <f t="shared" si="103"/>
        <v>280</v>
      </c>
      <c r="O181" s="161">
        <f t="shared" si="104"/>
        <v>280</v>
      </c>
      <c r="P181" s="187">
        <f t="shared" si="105"/>
        <v>0</v>
      </c>
      <c r="Q181" s="161">
        <f t="shared" si="106"/>
        <v>0</v>
      </c>
      <c r="R181" s="85" t="s">
        <v>387</v>
      </c>
      <c r="S181" s="86">
        <f t="shared" si="107"/>
        <v>0</v>
      </c>
      <c r="T181" s="87">
        <f t="shared" si="102"/>
        <v>8</v>
      </c>
    </row>
    <row r="182" spans="2:21" ht="20.100000000000001" hidden="1" customHeight="1">
      <c r="B182" s="77">
        <v>3</v>
      </c>
      <c r="C182" s="78" t="s">
        <v>354</v>
      </c>
      <c r="D182" s="79" t="s">
        <v>388</v>
      </c>
      <c r="E182" s="80" t="s">
        <v>389</v>
      </c>
      <c r="F182" s="81">
        <v>68.47</v>
      </c>
      <c r="G182" s="222">
        <v>5</v>
      </c>
      <c r="H182" s="186"/>
      <c r="I182" s="186"/>
      <c r="J182" s="308"/>
      <c r="K182" s="227">
        <v>1</v>
      </c>
      <c r="L182" s="82">
        <f t="shared" si="114"/>
        <v>4</v>
      </c>
      <c r="M182" s="331">
        <v>4</v>
      </c>
      <c r="N182" s="161">
        <f t="shared" si="103"/>
        <v>273.88</v>
      </c>
      <c r="O182" s="161">
        <f t="shared" si="104"/>
        <v>273.88</v>
      </c>
      <c r="P182" s="187">
        <f t="shared" si="105"/>
        <v>0</v>
      </c>
      <c r="Q182" s="161">
        <f t="shared" si="106"/>
        <v>0</v>
      </c>
      <c r="R182" s="85"/>
      <c r="S182" s="86">
        <f t="shared" si="107"/>
        <v>5</v>
      </c>
      <c r="T182" s="87">
        <f t="shared" si="102"/>
        <v>-1</v>
      </c>
      <c r="U182">
        <v>5</v>
      </c>
    </row>
    <row r="183" spans="2:21" ht="20.100000000000001" hidden="1" customHeight="1">
      <c r="B183" s="77">
        <v>3</v>
      </c>
      <c r="C183" s="78" t="s">
        <v>354</v>
      </c>
      <c r="D183" s="79" t="s">
        <v>390</v>
      </c>
      <c r="E183" s="80" t="s">
        <v>391</v>
      </c>
      <c r="F183" s="81">
        <v>30.04</v>
      </c>
      <c r="G183" s="222">
        <v>8</v>
      </c>
      <c r="H183" s="186"/>
      <c r="I183" s="186"/>
      <c r="J183" s="308"/>
      <c r="K183" s="227">
        <v>5</v>
      </c>
      <c r="L183" s="82">
        <f t="shared" si="114"/>
        <v>3</v>
      </c>
      <c r="M183" s="331">
        <v>3</v>
      </c>
      <c r="N183" s="161">
        <f t="shared" si="103"/>
        <v>90.12</v>
      </c>
      <c r="O183" s="161">
        <f t="shared" si="104"/>
        <v>90.12</v>
      </c>
      <c r="P183" s="187">
        <f t="shared" si="105"/>
        <v>0</v>
      </c>
      <c r="Q183" s="161">
        <f t="shared" si="106"/>
        <v>0</v>
      </c>
      <c r="R183" s="85"/>
      <c r="S183" s="86">
        <f t="shared" si="107"/>
        <v>12</v>
      </c>
      <c r="T183" s="87">
        <f t="shared" si="102"/>
        <v>-9</v>
      </c>
      <c r="U183">
        <v>12</v>
      </c>
    </row>
    <row r="184" spans="2:21" ht="20.100000000000001" hidden="1" customHeight="1">
      <c r="B184" s="77">
        <v>3</v>
      </c>
      <c r="C184" s="78" t="s">
        <v>354</v>
      </c>
      <c r="D184" s="79" t="s">
        <v>392</v>
      </c>
      <c r="E184" s="80" t="s">
        <v>393</v>
      </c>
      <c r="F184" s="81">
        <v>54.05</v>
      </c>
      <c r="G184" s="222">
        <v>5</v>
      </c>
      <c r="H184" s="186"/>
      <c r="I184" s="186"/>
      <c r="J184" s="308"/>
      <c r="K184" s="227">
        <v>1</v>
      </c>
      <c r="L184" s="82">
        <f t="shared" si="114"/>
        <v>4</v>
      </c>
      <c r="M184" s="331">
        <v>4</v>
      </c>
      <c r="N184" s="161">
        <f t="shared" si="103"/>
        <v>216.2</v>
      </c>
      <c r="O184" s="161">
        <f t="shared" si="104"/>
        <v>216.2</v>
      </c>
      <c r="P184" s="187">
        <f t="shared" si="105"/>
        <v>0</v>
      </c>
      <c r="Q184" s="161">
        <f t="shared" si="106"/>
        <v>0</v>
      </c>
      <c r="R184" s="85"/>
      <c r="S184" s="86">
        <f t="shared" si="107"/>
        <v>6</v>
      </c>
      <c r="T184" s="87">
        <f t="shared" si="102"/>
        <v>-2</v>
      </c>
      <c r="U184">
        <v>6</v>
      </c>
    </row>
    <row r="185" spans="2:21" ht="20.100000000000001" hidden="1" customHeight="1">
      <c r="B185" s="77">
        <v>3</v>
      </c>
      <c r="C185" s="78" t="s">
        <v>354</v>
      </c>
      <c r="D185" s="219" t="s">
        <v>3899</v>
      </c>
      <c r="E185" s="276" t="s">
        <v>4458</v>
      </c>
      <c r="F185" s="273">
        <v>35.975999999999999</v>
      </c>
      <c r="G185" s="222"/>
      <c r="H185" s="186"/>
      <c r="I185" s="186">
        <v>6</v>
      </c>
      <c r="J185" s="308"/>
      <c r="K185" s="227">
        <v>1</v>
      </c>
      <c r="L185" s="82">
        <f t="shared" ref="L185" si="135">G185+I185-J185-K185+H185</f>
        <v>5</v>
      </c>
      <c r="M185" s="331">
        <v>5</v>
      </c>
      <c r="N185" s="161">
        <f t="shared" ref="N185" si="136">F185*L185</f>
        <v>179.88</v>
      </c>
      <c r="O185" s="161">
        <f t="shared" ref="O185" si="137">M185*F185</f>
        <v>179.88</v>
      </c>
      <c r="P185" s="187">
        <f t="shared" ref="P185" si="138">L185-M185</f>
        <v>0</v>
      </c>
      <c r="Q185" s="161">
        <f t="shared" ref="Q185" si="139">N185-O185</f>
        <v>0</v>
      </c>
      <c r="R185" s="85"/>
      <c r="S185" s="86">
        <f t="shared" ref="S185" si="140">U185+Y185+W185+AA185</f>
        <v>6</v>
      </c>
      <c r="T185" s="87">
        <f t="shared" ref="T185" si="141">M185-S185</f>
        <v>-1</v>
      </c>
      <c r="U185">
        <v>6</v>
      </c>
    </row>
    <row r="186" spans="2:21" ht="20.100000000000001" customHeight="1">
      <c r="B186" s="77">
        <v>3</v>
      </c>
      <c r="C186" s="78" t="s">
        <v>354</v>
      </c>
      <c r="D186" s="79" t="s">
        <v>394</v>
      </c>
      <c r="E186" s="80" t="s">
        <v>395</v>
      </c>
      <c r="F186" s="81">
        <v>7.48</v>
      </c>
      <c r="G186" s="222">
        <v>22</v>
      </c>
      <c r="H186" s="186"/>
      <c r="I186" s="186"/>
      <c r="J186" s="308"/>
      <c r="K186" s="227">
        <v>4</v>
      </c>
      <c r="L186" s="82">
        <f t="shared" si="114"/>
        <v>18</v>
      </c>
      <c r="M186" s="331">
        <v>16</v>
      </c>
      <c r="N186" s="161">
        <f t="shared" si="103"/>
        <v>134.64000000000001</v>
      </c>
      <c r="O186" s="161">
        <f t="shared" si="104"/>
        <v>119.68</v>
      </c>
      <c r="P186" s="187">
        <f t="shared" si="105"/>
        <v>2</v>
      </c>
      <c r="Q186" s="161">
        <f t="shared" si="106"/>
        <v>14.960000000000008</v>
      </c>
      <c r="R186" s="85"/>
      <c r="S186" s="86">
        <f t="shared" si="107"/>
        <v>10</v>
      </c>
      <c r="T186" s="87">
        <f t="shared" si="102"/>
        <v>6</v>
      </c>
      <c r="U186">
        <v>10</v>
      </c>
    </row>
    <row r="187" spans="2:21" ht="20.100000000000001" hidden="1" customHeight="1">
      <c r="B187" s="77">
        <v>3</v>
      </c>
      <c r="C187" s="78" t="s">
        <v>354</v>
      </c>
      <c r="D187" s="79" t="s">
        <v>396</v>
      </c>
      <c r="E187" s="80" t="s">
        <v>397</v>
      </c>
      <c r="F187" s="81">
        <v>85.9</v>
      </c>
      <c r="G187" s="222"/>
      <c r="H187" s="186"/>
      <c r="I187" s="186"/>
      <c r="J187" s="308"/>
      <c r="K187" s="227"/>
      <c r="L187" s="82">
        <f t="shared" si="114"/>
        <v>0</v>
      </c>
      <c r="M187" s="331"/>
      <c r="N187" s="161">
        <f t="shared" si="103"/>
        <v>0</v>
      </c>
      <c r="O187" s="161">
        <f t="shared" si="104"/>
        <v>0</v>
      </c>
      <c r="P187" s="187">
        <f t="shared" si="105"/>
        <v>0</v>
      </c>
      <c r="Q187" s="161">
        <f t="shared" si="106"/>
        <v>0</v>
      </c>
      <c r="R187" s="232" t="s">
        <v>3821</v>
      </c>
      <c r="S187" s="86">
        <f t="shared" si="107"/>
        <v>0</v>
      </c>
      <c r="T187" s="87">
        <f t="shared" si="102"/>
        <v>0</v>
      </c>
    </row>
    <row r="188" spans="2:21" ht="20.100000000000001" hidden="1" customHeight="1">
      <c r="B188" s="77">
        <v>3</v>
      </c>
      <c r="C188" s="78" t="s">
        <v>354</v>
      </c>
      <c r="D188" s="79" t="s">
        <v>398</v>
      </c>
      <c r="E188" s="80" t="s">
        <v>399</v>
      </c>
      <c r="F188" s="81">
        <v>68.540000000000006</v>
      </c>
      <c r="G188" s="222">
        <v>6</v>
      </c>
      <c r="H188" s="186"/>
      <c r="I188" s="186"/>
      <c r="J188" s="308"/>
      <c r="K188" s="227">
        <v>1</v>
      </c>
      <c r="L188" s="82">
        <f t="shared" si="114"/>
        <v>5</v>
      </c>
      <c r="M188" s="331">
        <v>5</v>
      </c>
      <c r="N188" s="161">
        <f t="shared" si="103"/>
        <v>342.70000000000005</v>
      </c>
      <c r="O188" s="161">
        <f t="shared" si="104"/>
        <v>342.70000000000005</v>
      </c>
      <c r="P188" s="187">
        <f t="shared" si="105"/>
        <v>0</v>
      </c>
      <c r="Q188" s="161">
        <f t="shared" si="106"/>
        <v>0</v>
      </c>
      <c r="R188" s="85"/>
      <c r="S188" s="86">
        <f t="shared" si="107"/>
        <v>3</v>
      </c>
      <c r="T188" s="87">
        <f t="shared" si="102"/>
        <v>2</v>
      </c>
      <c r="U188">
        <v>3</v>
      </c>
    </row>
    <row r="189" spans="2:21" ht="20.100000000000001" hidden="1" customHeight="1">
      <c r="B189" s="77">
        <v>3</v>
      </c>
      <c r="C189" s="78" t="s">
        <v>354</v>
      </c>
      <c r="D189" s="79" t="s">
        <v>400</v>
      </c>
      <c r="E189" s="80" t="s">
        <v>401</v>
      </c>
      <c r="F189" s="81">
        <v>68.540000000000006</v>
      </c>
      <c r="G189" s="222"/>
      <c r="H189" s="186"/>
      <c r="I189" s="186"/>
      <c r="J189" s="308"/>
      <c r="K189" s="227"/>
      <c r="L189" s="82">
        <f t="shared" si="114"/>
        <v>0</v>
      </c>
      <c r="M189" s="331"/>
      <c r="N189" s="161">
        <f t="shared" si="103"/>
        <v>0</v>
      </c>
      <c r="O189" s="161">
        <f t="shared" si="104"/>
        <v>0</v>
      </c>
      <c r="P189" s="187">
        <f t="shared" si="105"/>
        <v>0</v>
      </c>
      <c r="Q189" s="161">
        <f t="shared" si="106"/>
        <v>0</v>
      </c>
      <c r="R189" s="85"/>
      <c r="S189" s="86">
        <f t="shared" si="107"/>
        <v>6</v>
      </c>
      <c r="T189" s="87">
        <f t="shared" si="102"/>
        <v>-6</v>
      </c>
      <c r="U189">
        <v>6</v>
      </c>
    </row>
    <row r="190" spans="2:21" ht="20.100000000000001" hidden="1" customHeight="1">
      <c r="B190" s="77">
        <v>3</v>
      </c>
      <c r="C190" s="78" t="s">
        <v>354</v>
      </c>
      <c r="D190" s="79" t="s">
        <v>402</v>
      </c>
      <c r="E190" s="80" t="s">
        <v>403</v>
      </c>
      <c r="F190" s="81">
        <v>85.9</v>
      </c>
      <c r="G190" s="222"/>
      <c r="H190" s="186"/>
      <c r="I190" s="186"/>
      <c r="J190" s="308"/>
      <c r="K190" s="227"/>
      <c r="L190" s="82">
        <f t="shared" si="114"/>
        <v>0</v>
      </c>
      <c r="M190" s="331"/>
      <c r="N190" s="161">
        <f t="shared" si="103"/>
        <v>0</v>
      </c>
      <c r="O190" s="161">
        <f t="shared" si="104"/>
        <v>0</v>
      </c>
      <c r="P190" s="187">
        <f t="shared" si="105"/>
        <v>0</v>
      </c>
      <c r="Q190" s="161">
        <f t="shared" si="106"/>
        <v>0</v>
      </c>
      <c r="R190" s="85"/>
      <c r="S190" s="86">
        <f t="shared" si="107"/>
        <v>0</v>
      </c>
      <c r="T190" s="87">
        <f t="shared" si="102"/>
        <v>0</v>
      </c>
    </row>
    <row r="191" spans="2:21" ht="20.100000000000001" hidden="1" customHeight="1">
      <c r="B191" s="77">
        <v>3</v>
      </c>
      <c r="C191" s="78" t="s">
        <v>354</v>
      </c>
      <c r="D191" s="79" t="s">
        <v>404</v>
      </c>
      <c r="E191" s="80" t="s">
        <v>405</v>
      </c>
      <c r="F191" s="81">
        <v>68.540000000000006</v>
      </c>
      <c r="G191" s="222">
        <v>6</v>
      </c>
      <c r="H191" s="186"/>
      <c r="I191" s="186"/>
      <c r="J191" s="308"/>
      <c r="K191" s="227">
        <v>4</v>
      </c>
      <c r="L191" s="82">
        <f t="shared" si="114"/>
        <v>2</v>
      </c>
      <c r="M191" s="331">
        <v>2</v>
      </c>
      <c r="N191" s="161">
        <f t="shared" si="103"/>
        <v>137.08000000000001</v>
      </c>
      <c r="O191" s="161">
        <f t="shared" si="104"/>
        <v>137.08000000000001</v>
      </c>
      <c r="P191" s="187">
        <f t="shared" si="105"/>
        <v>0</v>
      </c>
      <c r="Q191" s="161">
        <f t="shared" si="106"/>
        <v>0</v>
      </c>
      <c r="R191" s="85"/>
      <c r="S191" s="86">
        <f t="shared" si="107"/>
        <v>2</v>
      </c>
      <c r="T191" s="87">
        <f t="shared" si="102"/>
        <v>0</v>
      </c>
      <c r="U191">
        <v>2</v>
      </c>
    </row>
    <row r="192" spans="2:21" ht="20.100000000000001" hidden="1" customHeight="1">
      <c r="B192" s="77">
        <v>3</v>
      </c>
      <c r="C192" s="78" t="s">
        <v>354</v>
      </c>
      <c r="D192" s="79" t="s">
        <v>406</v>
      </c>
      <c r="E192" s="80" t="s">
        <v>407</v>
      </c>
      <c r="F192" s="81">
        <v>20.68</v>
      </c>
      <c r="G192" s="222"/>
      <c r="H192" s="186"/>
      <c r="I192" s="186">
        <v>48</v>
      </c>
      <c r="J192" s="308"/>
      <c r="K192" s="227"/>
      <c r="L192" s="82">
        <f t="shared" si="114"/>
        <v>48</v>
      </c>
      <c r="M192" s="331">
        <v>48</v>
      </c>
      <c r="N192" s="161">
        <f t="shared" si="103"/>
        <v>992.64</v>
      </c>
      <c r="O192" s="161">
        <f t="shared" si="104"/>
        <v>992.64</v>
      </c>
      <c r="P192" s="187">
        <f t="shared" si="105"/>
        <v>0</v>
      </c>
      <c r="Q192" s="161">
        <f t="shared" si="106"/>
        <v>0</v>
      </c>
      <c r="R192" s="232"/>
      <c r="S192" s="86">
        <f t="shared" si="107"/>
        <v>12</v>
      </c>
      <c r="T192" s="87">
        <f t="shared" si="102"/>
        <v>36</v>
      </c>
      <c r="U192">
        <f>11+1</f>
        <v>12</v>
      </c>
    </row>
    <row r="193" spans="2:31" ht="20.100000000000001" hidden="1" customHeight="1">
      <c r="B193" s="77">
        <v>3</v>
      </c>
      <c r="C193" s="78" t="s">
        <v>354</v>
      </c>
      <c r="D193" s="79" t="s">
        <v>408</v>
      </c>
      <c r="E193" s="80" t="s">
        <v>409</v>
      </c>
      <c r="F193" s="81">
        <v>20.68</v>
      </c>
      <c r="G193" s="222">
        <v>27</v>
      </c>
      <c r="H193" s="186"/>
      <c r="I193" s="186"/>
      <c r="J193" s="308"/>
      <c r="K193" s="227">
        <v>3</v>
      </c>
      <c r="L193" s="82">
        <f t="shared" si="114"/>
        <v>24</v>
      </c>
      <c r="M193" s="331">
        <v>24</v>
      </c>
      <c r="N193" s="161">
        <f t="shared" si="103"/>
        <v>496.32</v>
      </c>
      <c r="O193" s="161">
        <f t="shared" si="104"/>
        <v>496.32</v>
      </c>
      <c r="P193" s="187">
        <f t="shared" si="105"/>
        <v>0</v>
      </c>
      <c r="Q193" s="161">
        <f t="shared" si="106"/>
        <v>0</v>
      </c>
      <c r="R193" s="85"/>
      <c r="S193" s="86">
        <f t="shared" si="107"/>
        <v>41</v>
      </c>
      <c r="T193" s="87">
        <f t="shared" si="102"/>
        <v>-17</v>
      </c>
      <c r="U193">
        <v>41</v>
      </c>
    </row>
    <row r="194" spans="2:31" ht="20.100000000000001" hidden="1" customHeight="1">
      <c r="B194" s="77">
        <v>3</v>
      </c>
      <c r="C194" s="78" t="s">
        <v>354</v>
      </c>
      <c r="D194" s="79" t="s">
        <v>410</v>
      </c>
      <c r="E194" s="80" t="s">
        <v>411</v>
      </c>
      <c r="F194" s="81">
        <v>8.5299999999999994</v>
      </c>
      <c r="G194" s="222">
        <v>5</v>
      </c>
      <c r="H194" s="186"/>
      <c r="I194" s="186"/>
      <c r="J194" s="308"/>
      <c r="K194" s="227">
        <v>1</v>
      </c>
      <c r="L194" s="82">
        <f t="shared" si="114"/>
        <v>4</v>
      </c>
      <c r="M194" s="331">
        <v>4</v>
      </c>
      <c r="N194" s="161">
        <f t="shared" si="103"/>
        <v>34.119999999999997</v>
      </c>
      <c r="O194" s="161">
        <f t="shared" si="104"/>
        <v>34.119999999999997</v>
      </c>
      <c r="P194" s="187">
        <f t="shared" si="105"/>
        <v>0</v>
      </c>
      <c r="Q194" s="161">
        <f t="shared" si="106"/>
        <v>0</v>
      </c>
      <c r="R194" s="85"/>
      <c r="S194" s="86">
        <f t="shared" si="107"/>
        <v>22</v>
      </c>
      <c r="T194" s="87">
        <f t="shared" ref="T194:T226" si="142">M194-S194</f>
        <v>-18</v>
      </c>
      <c r="U194">
        <v>20</v>
      </c>
      <c r="W194">
        <v>2</v>
      </c>
      <c r="X194" t="s">
        <v>121</v>
      </c>
      <c r="AD194">
        <f>W194</f>
        <v>2</v>
      </c>
      <c r="AE194" s="89">
        <f>AD194*F194</f>
        <v>17.059999999999999</v>
      </c>
    </row>
    <row r="195" spans="2:31" ht="20.100000000000001" hidden="1" customHeight="1">
      <c r="B195" s="77">
        <v>3</v>
      </c>
      <c r="C195" s="78" t="s">
        <v>354</v>
      </c>
      <c r="D195" s="79" t="s">
        <v>412</v>
      </c>
      <c r="E195" s="80" t="s">
        <v>413</v>
      </c>
      <c r="F195" s="81">
        <v>13.02</v>
      </c>
      <c r="G195" s="222"/>
      <c r="H195" s="186"/>
      <c r="I195" s="186"/>
      <c r="J195" s="308"/>
      <c r="K195" s="227"/>
      <c r="L195" s="82">
        <f t="shared" si="114"/>
        <v>0</v>
      </c>
      <c r="M195" s="331"/>
      <c r="N195" s="161">
        <f t="shared" ref="N195:N227" si="143">F195*L195</f>
        <v>0</v>
      </c>
      <c r="O195" s="161">
        <f t="shared" ref="O195:O227" si="144">M195*F195</f>
        <v>0</v>
      </c>
      <c r="P195" s="187">
        <f t="shared" ref="P195:P227" si="145">L195-M195</f>
        <v>0</v>
      </c>
      <c r="Q195" s="161">
        <f t="shared" ref="Q195:Q227" si="146">N195-O195</f>
        <v>0</v>
      </c>
      <c r="R195" s="85"/>
      <c r="S195" s="86">
        <f t="shared" ref="S195:S227" si="147">U195+Y195+W195+AA195</f>
        <v>1</v>
      </c>
      <c r="T195" s="87">
        <f t="shared" si="142"/>
        <v>-1</v>
      </c>
      <c r="U195">
        <v>1</v>
      </c>
    </row>
    <row r="196" spans="2:31" ht="20.100000000000001" hidden="1" customHeight="1">
      <c r="B196" s="77">
        <v>3</v>
      </c>
      <c r="C196" s="78" t="s">
        <v>354</v>
      </c>
      <c r="D196" s="79" t="s">
        <v>414</v>
      </c>
      <c r="E196" s="80" t="s">
        <v>415</v>
      </c>
      <c r="F196" s="193">
        <v>8.1999999999999993</v>
      </c>
      <c r="G196" s="222">
        <v>16</v>
      </c>
      <c r="H196" s="186"/>
      <c r="I196" s="186"/>
      <c r="J196" s="308"/>
      <c r="K196" s="227">
        <v>5</v>
      </c>
      <c r="L196" s="82">
        <f t="shared" si="114"/>
        <v>11</v>
      </c>
      <c r="M196" s="331">
        <v>11</v>
      </c>
      <c r="N196" s="161">
        <f t="shared" si="143"/>
        <v>90.199999999999989</v>
      </c>
      <c r="O196" s="161">
        <f t="shared" si="144"/>
        <v>90.199999999999989</v>
      </c>
      <c r="P196" s="187">
        <f t="shared" si="145"/>
        <v>0</v>
      </c>
      <c r="Q196" s="161">
        <f t="shared" si="146"/>
        <v>0</v>
      </c>
      <c r="R196" s="91">
        <v>45702</v>
      </c>
      <c r="S196" s="86">
        <f t="shared" si="147"/>
        <v>6</v>
      </c>
      <c r="T196" s="87">
        <f t="shared" si="142"/>
        <v>5</v>
      </c>
      <c r="W196">
        <v>6</v>
      </c>
      <c r="X196" t="s">
        <v>121</v>
      </c>
      <c r="AD196">
        <f>W196</f>
        <v>6</v>
      </c>
      <c r="AE196" s="89">
        <f>AD196*F196</f>
        <v>49.199999999999996</v>
      </c>
    </row>
    <row r="197" spans="2:31" ht="20.100000000000001" hidden="1" customHeight="1">
      <c r="B197" s="77">
        <v>3</v>
      </c>
      <c r="C197" s="78" t="s">
        <v>354</v>
      </c>
      <c r="D197" s="79" t="s">
        <v>414</v>
      </c>
      <c r="E197" s="80" t="s">
        <v>415</v>
      </c>
      <c r="F197" s="81">
        <v>8.1999999999999993</v>
      </c>
      <c r="G197" s="222"/>
      <c r="H197" s="186"/>
      <c r="I197" s="186"/>
      <c r="J197" s="308"/>
      <c r="K197" s="227"/>
      <c r="L197" s="82">
        <f t="shared" si="114"/>
        <v>0</v>
      </c>
      <c r="M197" s="331"/>
      <c r="N197" s="161">
        <f t="shared" si="143"/>
        <v>0</v>
      </c>
      <c r="O197" s="161">
        <f t="shared" si="144"/>
        <v>0</v>
      </c>
      <c r="P197" s="187">
        <f t="shared" si="145"/>
        <v>0</v>
      </c>
      <c r="Q197" s="161">
        <f t="shared" si="146"/>
        <v>0</v>
      </c>
      <c r="R197" s="85"/>
      <c r="S197" s="86">
        <f t="shared" si="147"/>
        <v>0</v>
      </c>
      <c r="T197" s="87">
        <f t="shared" si="142"/>
        <v>0</v>
      </c>
    </row>
    <row r="198" spans="2:31" ht="20.100000000000001" hidden="1" customHeight="1">
      <c r="B198" s="77">
        <v>3</v>
      </c>
      <c r="C198" s="78" t="s">
        <v>354</v>
      </c>
      <c r="D198" s="79" t="s">
        <v>416</v>
      </c>
      <c r="E198" s="80" t="s">
        <v>417</v>
      </c>
      <c r="F198" s="81">
        <v>56.5</v>
      </c>
      <c r="G198" s="222">
        <v>2</v>
      </c>
      <c r="H198" s="186"/>
      <c r="I198" s="186"/>
      <c r="J198" s="308"/>
      <c r="K198" s="227"/>
      <c r="L198" s="82">
        <f t="shared" ref="L198" si="148">G198+I198-J198-K198+H198</f>
        <v>2</v>
      </c>
      <c r="M198" s="331">
        <v>2</v>
      </c>
      <c r="N198" s="161">
        <f t="shared" ref="N198" si="149">F198*L198</f>
        <v>113</v>
      </c>
      <c r="O198" s="161">
        <f t="shared" ref="O198" si="150">M198*F198</f>
        <v>113</v>
      </c>
      <c r="P198" s="187">
        <f t="shared" ref="P198" si="151">L198-M198</f>
        <v>0</v>
      </c>
      <c r="Q198" s="161">
        <f t="shared" ref="Q198" si="152">N198-O198</f>
        <v>0</v>
      </c>
      <c r="R198" s="85"/>
      <c r="S198" s="86">
        <f t="shared" ref="S198" si="153">U198+Y198+W198+AA198</f>
        <v>6</v>
      </c>
      <c r="T198" s="87">
        <f t="shared" ref="T198" si="154">M198-S198</f>
        <v>-4</v>
      </c>
      <c r="U198">
        <v>6</v>
      </c>
    </row>
    <row r="199" spans="2:31" ht="20.100000000000001" hidden="1" customHeight="1">
      <c r="B199" s="77">
        <v>3</v>
      </c>
      <c r="C199" s="78" t="s">
        <v>354</v>
      </c>
      <c r="D199" s="79" t="s">
        <v>416</v>
      </c>
      <c r="E199" s="80" t="s">
        <v>417</v>
      </c>
      <c r="F199" s="277">
        <v>58.2</v>
      </c>
      <c r="G199" s="222"/>
      <c r="H199" s="186"/>
      <c r="I199" s="186">
        <v>6</v>
      </c>
      <c r="J199" s="308"/>
      <c r="K199" s="227">
        <v>1</v>
      </c>
      <c r="L199" s="82">
        <f t="shared" si="114"/>
        <v>5</v>
      </c>
      <c r="M199" s="331">
        <v>5</v>
      </c>
      <c r="N199" s="161">
        <f t="shared" si="143"/>
        <v>291</v>
      </c>
      <c r="O199" s="161">
        <f t="shared" si="144"/>
        <v>291</v>
      </c>
      <c r="P199" s="187">
        <f t="shared" si="145"/>
        <v>0</v>
      </c>
      <c r="Q199" s="161">
        <f t="shared" si="146"/>
        <v>0</v>
      </c>
      <c r="R199" s="85"/>
      <c r="S199" s="86">
        <f t="shared" si="147"/>
        <v>6</v>
      </c>
      <c r="T199" s="87">
        <f t="shared" si="142"/>
        <v>-1</v>
      </c>
      <c r="U199">
        <v>6</v>
      </c>
    </row>
    <row r="200" spans="2:31" ht="20.100000000000001" hidden="1" customHeight="1">
      <c r="B200" s="77">
        <v>3</v>
      </c>
      <c r="C200" s="78" t="s">
        <v>354</v>
      </c>
      <c r="D200" s="79" t="s">
        <v>418</v>
      </c>
      <c r="E200" s="80" t="s">
        <v>419</v>
      </c>
      <c r="F200" s="81">
        <v>62.75</v>
      </c>
      <c r="G200" s="222"/>
      <c r="H200" s="186"/>
      <c r="I200" s="186">
        <v>6</v>
      </c>
      <c r="J200" s="308"/>
      <c r="K200" s="227"/>
      <c r="L200" s="82">
        <f t="shared" si="114"/>
        <v>6</v>
      </c>
      <c r="M200" s="331">
        <v>6</v>
      </c>
      <c r="N200" s="161">
        <f t="shared" si="143"/>
        <v>376.5</v>
      </c>
      <c r="O200" s="161">
        <f t="shared" si="144"/>
        <v>376.5</v>
      </c>
      <c r="P200" s="187">
        <f t="shared" si="145"/>
        <v>0</v>
      </c>
      <c r="Q200" s="161">
        <f t="shared" si="146"/>
        <v>0</v>
      </c>
      <c r="R200" s="85"/>
      <c r="S200" s="86">
        <f t="shared" si="147"/>
        <v>0</v>
      </c>
      <c r="T200" s="87">
        <f t="shared" si="142"/>
        <v>6</v>
      </c>
    </row>
    <row r="201" spans="2:31" ht="20.100000000000001" hidden="1" customHeight="1">
      <c r="B201" s="77">
        <v>3</v>
      </c>
      <c r="C201" s="78" t="s">
        <v>354</v>
      </c>
      <c r="D201" s="79" t="s">
        <v>420</v>
      </c>
      <c r="E201" s="80" t="s">
        <v>421</v>
      </c>
      <c r="F201" s="81">
        <v>62.75</v>
      </c>
      <c r="G201" s="222"/>
      <c r="H201" s="186"/>
      <c r="I201" s="186">
        <v>6</v>
      </c>
      <c r="J201" s="308"/>
      <c r="K201" s="227"/>
      <c r="L201" s="82">
        <f t="shared" si="114"/>
        <v>6</v>
      </c>
      <c r="M201" s="331">
        <v>6</v>
      </c>
      <c r="N201" s="161">
        <f t="shared" si="143"/>
        <v>376.5</v>
      </c>
      <c r="O201" s="161">
        <f t="shared" si="144"/>
        <v>376.5</v>
      </c>
      <c r="P201" s="187">
        <f t="shared" si="145"/>
        <v>0</v>
      </c>
      <c r="Q201" s="161">
        <f t="shared" si="146"/>
        <v>0</v>
      </c>
      <c r="R201" s="85"/>
      <c r="S201" s="86">
        <f t="shared" si="147"/>
        <v>0</v>
      </c>
      <c r="T201" s="87">
        <f t="shared" si="142"/>
        <v>6</v>
      </c>
    </row>
    <row r="202" spans="2:31" ht="20.100000000000001" hidden="1" customHeight="1">
      <c r="B202" s="77">
        <v>3</v>
      </c>
      <c r="C202" s="78" t="s">
        <v>354</v>
      </c>
      <c r="D202" s="79" t="s">
        <v>422</v>
      </c>
      <c r="E202" s="80" t="s">
        <v>423</v>
      </c>
      <c r="F202" s="81">
        <v>56.79</v>
      </c>
      <c r="G202" s="222">
        <v>2</v>
      </c>
      <c r="H202" s="186"/>
      <c r="I202" s="186"/>
      <c r="J202" s="308"/>
      <c r="K202" s="227"/>
      <c r="L202" s="82">
        <f t="shared" si="114"/>
        <v>2</v>
      </c>
      <c r="M202" s="331">
        <v>2</v>
      </c>
      <c r="N202" s="161">
        <f t="shared" si="143"/>
        <v>113.58</v>
      </c>
      <c r="O202" s="161">
        <f t="shared" si="144"/>
        <v>113.58</v>
      </c>
      <c r="P202" s="187">
        <f t="shared" si="145"/>
        <v>0</v>
      </c>
      <c r="Q202" s="161">
        <f t="shared" si="146"/>
        <v>0</v>
      </c>
      <c r="R202" s="91">
        <v>45438</v>
      </c>
      <c r="S202" s="86">
        <f t="shared" si="147"/>
        <v>2</v>
      </c>
      <c r="T202" s="87">
        <f t="shared" si="142"/>
        <v>0</v>
      </c>
      <c r="W202">
        <v>2</v>
      </c>
      <c r="X202" t="s">
        <v>115</v>
      </c>
      <c r="AD202">
        <f>W202</f>
        <v>2</v>
      </c>
      <c r="AE202" s="89">
        <f>AD202*F202</f>
        <v>113.58</v>
      </c>
    </row>
    <row r="203" spans="2:31" ht="20.100000000000001" hidden="1" customHeight="1">
      <c r="B203" s="77">
        <v>3</v>
      </c>
      <c r="C203" s="78" t="s">
        <v>354</v>
      </c>
      <c r="D203" s="79" t="s">
        <v>424</v>
      </c>
      <c r="E203" s="80" t="s">
        <v>425</v>
      </c>
      <c r="F203" s="81">
        <v>72.180000000000007</v>
      </c>
      <c r="G203" s="222"/>
      <c r="H203" s="186"/>
      <c r="I203" s="186"/>
      <c r="J203" s="308"/>
      <c r="K203" s="227"/>
      <c r="L203" s="82">
        <f t="shared" si="114"/>
        <v>0</v>
      </c>
      <c r="M203" s="331"/>
      <c r="N203" s="161">
        <f t="shared" si="143"/>
        <v>0</v>
      </c>
      <c r="O203" s="161">
        <f t="shared" si="144"/>
        <v>0</v>
      </c>
      <c r="P203" s="187">
        <f t="shared" si="145"/>
        <v>0</v>
      </c>
      <c r="Q203" s="161">
        <f t="shared" si="146"/>
        <v>0</v>
      </c>
      <c r="R203" s="85"/>
      <c r="S203" s="86">
        <f t="shared" si="147"/>
        <v>0</v>
      </c>
      <c r="T203" s="87">
        <f t="shared" si="142"/>
        <v>0</v>
      </c>
    </row>
    <row r="204" spans="2:31" ht="20.100000000000001" hidden="1" customHeight="1">
      <c r="B204" s="77">
        <v>3</v>
      </c>
      <c r="C204" s="78" t="s">
        <v>354</v>
      </c>
      <c r="D204" s="79" t="s">
        <v>426</v>
      </c>
      <c r="E204" s="80" t="s">
        <v>427</v>
      </c>
      <c r="F204" s="81">
        <v>72.180000000000007</v>
      </c>
      <c r="G204" s="222"/>
      <c r="H204" s="186"/>
      <c r="I204" s="186"/>
      <c r="J204" s="308"/>
      <c r="K204" s="227"/>
      <c r="L204" s="82">
        <f t="shared" si="114"/>
        <v>0</v>
      </c>
      <c r="M204" s="331"/>
      <c r="N204" s="161">
        <f t="shared" si="143"/>
        <v>0</v>
      </c>
      <c r="O204" s="161">
        <f t="shared" si="144"/>
        <v>0</v>
      </c>
      <c r="P204" s="187">
        <f t="shared" si="145"/>
        <v>0</v>
      </c>
      <c r="Q204" s="161">
        <f t="shared" si="146"/>
        <v>0</v>
      </c>
      <c r="R204" s="85"/>
      <c r="S204" s="86">
        <f t="shared" si="147"/>
        <v>0</v>
      </c>
      <c r="T204" s="87">
        <f t="shared" si="142"/>
        <v>0</v>
      </c>
    </row>
    <row r="205" spans="2:31" ht="20.100000000000001" hidden="1" customHeight="1">
      <c r="B205" s="77">
        <v>3</v>
      </c>
      <c r="C205" s="78" t="s">
        <v>354</v>
      </c>
      <c r="D205" s="79" t="s">
        <v>428</v>
      </c>
      <c r="E205" s="80" t="s">
        <v>429</v>
      </c>
      <c r="F205" s="81">
        <v>74.56</v>
      </c>
      <c r="G205" s="222"/>
      <c r="H205" s="186"/>
      <c r="I205" s="186"/>
      <c r="J205" s="308"/>
      <c r="K205" s="227"/>
      <c r="L205" s="82">
        <f t="shared" si="114"/>
        <v>0</v>
      </c>
      <c r="M205" s="331"/>
      <c r="N205" s="161">
        <f t="shared" si="143"/>
        <v>0</v>
      </c>
      <c r="O205" s="161">
        <f t="shared" si="144"/>
        <v>0</v>
      </c>
      <c r="P205" s="187">
        <f t="shared" si="145"/>
        <v>0</v>
      </c>
      <c r="Q205" s="161">
        <f t="shared" si="146"/>
        <v>0</v>
      </c>
      <c r="R205" s="85"/>
      <c r="S205" s="86">
        <f t="shared" si="147"/>
        <v>0</v>
      </c>
      <c r="T205" s="87">
        <f t="shared" si="142"/>
        <v>0</v>
      </c>
    </row>
    <row r="206" spans="2:31" ht="20.100000000000001" hidden="1" customHeight="1">
      <c r="B206" s="77">
        <v>3</v>
      </c>
      <c r="C206" s="78" t="s">
        <v>354</v>
      </c>
      <c r="D206" s="79" t="s">
        <v>430</v>
      </c>
      <c r="E206" s="80" t="s">
        <v>431</v>
      </c>
      <c r="F206" s="81">
        <v>72.180000000000007</v>
      </c>
      <c r="G206" s="222"/>
      <c r="H206" s="186"/>
      <c r="I206" s="186"/>
      <c r="J206" s="308"/>
      <c r="K206" s="227"/>
      <c r="L206" s="82">
        <f t="shared" si="114"/>
        <v>0</v>
      </c>
      <c r="M206" s="331"/>
      <c r="N206" s="161">
        <f t="shared" si="143"/>
        <v>0</v>
      </c>
      <c r="O206" s="161">
        <f t="shared" si="144"/>
        <v>0</v>
      </c>
      <c r="P206" s="187">
        <f t="shared" si="145"/>
        <v>0</v>
      </c>
      <c r="Q206" s="161">
        <f t="shared" si="146"/>
        <v>0</v>
      </c>
      <c r="R206" s="85"/>
      <c r="S206" s="86">
        <f t="shared" si="147"/>
        <v>0</v>
      </c>
      <c r="T206" s="87">
        <f t="shared" si="142"/>
        <v>0</v>
      </c>
    </row>
    <row r="207" spans="2:31" ht="20.100000000000001" hidden="1" customHeight="1">
      <c r="B207" s="77">
        <v>3</v>
      </c>
      <c r="C207" s="78" t="s">
        <v>354</v>
      </c>
      <c r="D207" s="79" t="s">
        <v>432</v>
      </c>
      <c r="E207" s="80" t="s">
        <v>433</v>
      </c>
      <c r="F207" s="81">
        <v>74.56</v>
      </c>
      <c r="G207" s="222"/>
      <c r="H207" s="186"/>
      <c r="I207" s="186"/>
      <c r="J207" s="308"/>
      <c r="K207" s="227"/>
      <c r="L207" s="82">
        <f t="shared" si="114"/>
        <v>0</v>
      </c>
      <c r="M207" s="331"/>
      <c r="N207" s="161">
        <f t="shared" si="143"/>
        <v>0</v>
      </c>
      <c r="O207" s="161">
        <f t="shared" si="144"/>
        <v>0</v>
      </c>
      <c r="P207" s="187">
        <f t="shared" si="145"/>
        <v>0</v>
      </c>
      <c r="Q207" s="161">
        <f t="shared" si="146"/>
        <v>0</v>
      </c>
      <c r="R207" s="85"/>
      <c r="S207" s="86">
        <f t="shared" si="147"/>
        <v>0</v>
      </c>
      <c r="T207" s="87">
        <f t="shared" si="142"/>
        <v>0</v>
      </c>
    </row>
    <row r="208" spans="2:31" ht="20.100000000000001" hidden="1" customHeight="1">
      <c r="B208" s="77">
        <v>3</v>
      </c>
      <c r="C208" s="78" t="s">
        <v>354</v>
      </c>
      <c r="D208" s="79" t="s">
        <v>434</v>
      </c>
      <c r="E208" s="80" t="s">
        <v>435</v>
      </c>
      <c r="F208" s="81">
        <v>72.180000000000007</v>
      </c>
      <c r="G208" s="222"/>
      <c r="H208" s="186"/>
      <c r="I208" s="186"/>
      <c r="J208" s="308"/>
      <c r="K208" s="227"/>
      <c r="L208" s="82">
        <f t="shared" si="114"/>
        <v>0</v>
      </c>
      <c r="M208" s="331"/>
      <c r="N208" s="161">
        <f t="shared" si="143"/>
        <v>0</v>
      </c>
      <c r="O208" s="161">
        <f t="shared" si="144"/>
        <v>0</v>
      </c>
      <c r="P208" s="187">
        <f t="shared" si="145"/>
        <v>0</v>
      </c>
      <c r="Q208" s="161">
        <f t="shared" si="146"/>
        <v>0</v>
      </c>
      <c r="R208" s="85"/>
      <c r="S208" s="86">
        <f t="shared" si="147"/>
        <v>0</v>
      </c>
      <c r="T208" s="87">
        <f t="shared" si="142"/>
        <v>0</v>
      </c>
    </row>
    <row r="209" spans="2:21" ht="20.100000000000001" hidden="1" customHeight="1">
      <c r="B209" s="77">
        <v>3</v>
      </c>
      <c r="C209" s="78" t="s">
        <v>354</v>
      </c>
      <c r="D209" s="79" t="s">
        <v>436</v>
      </c>
      <c r="E209" s="80" t="s">
        <v>437</v>
      </c>
      <c r="F209" s="81">
        <v>113.65</v>
      </c>
      <c r="G209" s="222"/>
      <c r="H209" s="186"/>
      <c r="I209" s="186"/>
      <c r="J209" s="308"/>
      <c r="K209" s="227"/>
      <c r="L209" s="82">
        <f t="shared" ref="L209:L272" si="155">G209+I209-J209-K209+H209</f>
        <v>0</v>
      </c>
      <c r="M209" s="331"/>
      <c r="N209" s="161">
        <f t="shared" si="143"/>
        <v>0</v>
      </c>
      <c r="O209" s="161">
        <f t="shared" si="144"/>
        <v>0</v>
      </c>
      <c r="P209" s="187">
        <f t="shared" si="145"/>
        <v>0</v>
      </c>
      <c r="Q209" s="161">
        <f t="shared" si="146"/>
        <v>0</v>
      </c>
      <c r="R209" s="85"/>
      <c r="S209" s="86">
        <f t="shared" si="147"/>
        <v>0</v>
      </c>
      <c r="T209" s="87">
        <f t="shared" si="142"/>
        <v>0</v>
      </c>
    </row>
    <row r="210" spans="2:21" ht="20.100000000000001" hidden="1" customHeight="1">
      <c r="B210" s="77">
        <v>3</v>
      </c>
      <c r="C210" s="78" t="s">
        <v>354</v>
      </c>
      <c r="D210" s="79" t="s">
        <v>436</v>
      </c>
      <c r="E210" s="80" t="s">
        <v>437</v>
      </c>
      <c r="F210" s="81">
        <v>113.65</v>
      </c>
      <c r="G210" s="222"/>
      <c r="H210" s="186"/>
      <c r="I210" s="186"/>
      <c r="J210" s="308"/>
      <c r="K210" s="227"/>
      <c r="L210" s="82">
        <f t="shared" si="155"/>
        <v>0</v>
      </c>
      <c r="M210" s="331"/>
      <c r="N210" s="161">
        <f t="shared" si="143"/>
        <v>0</v>
      </c>
      <c r="O210" s="161">
        <f t="shared" si="144"/>
        <v>0</v>
      </c>
      <c r="P210" s="187">
        <f t="shared" si="145"/>
        <v>0</v>
      </c>
      <c r="Q210" s="161">
        <f t="shared" si="146"/>
        <v>0</v>
      </c>
      <c r="R210" s="85"/>
      <c r="S210" s="86">
        <f t="shared" si="147"/>
        <v>0</v>
      </c>
      <c r="T210" s="87">
        <f t="shared" si="142"/>
        <v>0</v>
      </c>
    </row>
    <row r="211" spans="2:21" ht="20.100000000000001" hidden="1" customHeight="1">
      <c r="B211" s="77">
        <v>3</v>
      </c>
      <c r="C211" s="78" t="s">
        <v>354</v>
      </c>
      <c r="D211" s="79" t="s">
        <v>438</v>
      </c>
      <c r="E211" s="80" t="s">
        <v>439</v>
      </c>
      <c r="F211" s="81">
        <v>22.85</v>
      </c>
      <c r="G211" s="222">
        <v>5</v>
      </c>
      <c r="H211" s="186"/>
      <c r="I211" s="186"/>
      <c r="J211" s="308"/>
      <c r="K211" s="69"/>
      <c r="L211" s="82">
        <f t="shared" si="155"/>
        <v>5</v>
      </c>
      <c r="M211" s="331">
        <v>5</v>
      </c>
      <c r="N211" s="161">
        <f t="shared" si="143"/>
        <v>114.25</v>
      </c>
      <c r="O211" s="161">
        <f t="shared" si="144"/>
        <v>114.25</v>
      </c>
      <c r="P211" s="187">
        <f t="shared" si="145"/>
        <v>0</v>
      </c>
      <c r="Q211" s="161">
        <f t="shared" si="146"/>
        <v>0</v>
      </c>
      <c r="R211" s="85"/>
      <c r="S211" s="86">
        <f t="shared" si="147"/>
        <v>0</v>
      </c>
      <c r="T211" s="87">
        <f t="shared" si="142"/>
        <v>5</v>
      </c>
    </row>
    <row r="212" spans="2:21" ht="20.100000000000001" hidden="1" customHeight="1">
      <c r="B212" s="77">
        <v>3</v>
      </c>
      <c r="C212" s="78" t="s">
        <v>354</v>
      </c>
      <c r="D212" s="79" t="s">
        <v>440</v>
      </c>
      <c r="E212" s="80" t="s">
        <v>441</v>
      </c>
      <c r="F212" s="81">
        <v>17.7</v>
      </c>
      <c r="G212" s="222"/>
      <c r="H212" s="186"/>
      <c r="I212" s="186"/>
      <c r="J212" s="308"/>
      <c r="K212" s="227"/>
      <c r="L212" s="82">
        <f t="shared" si="155"/>
        <v>0</v>
      </c>
      <c r="M212" s="331"/>
      <c r="N212" s="161">
        <f t="shared" si="143"/>
        <v>0</v>
      </c>
      <c r="O212" s="161">
        <f t="shared" si="144"/>
        <v>0</v>
      </c>
      <c r="P212" s="187">
        <f t="shared" si="145"/>
        <v>0</v>
      </c>
      <c r="Q212" s="161">
        <f t="shared" si="146"/>
        <v>0</v>
      </c>
      <c r="R212" s="85"/>
      <c r="S212" s="86">
        <f t="shared" si="147"/>
        <v>0</v>
      </c>
      <c r="T212" s="87">
        <f t="shared" si="142"/>
        <v>0</v>
      </c>
    </row>
    <row r="213" spans="2:21" ht="20.100000000000001" hidden="1" customHeight="1">
      <c r="B213" s="77">
        <v>3</v>
      </c>
      <c r="C213" s="78" t="s">
        <v>354</v>
      </c>
      <c r="D213" s="79" t="s">
        <v>442</v>
      </c>
      <c r="E213" s="80" t="s">
        <v>443</v>
      </c>
      <c r="F213" s="81">
        <v>154.55000000000001</v>
      </c>
      <c r="G213" s="222">
        <v>2</v>
      </c>
      <c r="H213" s="186"/>
      <c r="I213" s="186"/>
      <c r="J213" s="308"/>
      <c r="K213" s="227"/>
      <c r="L213" s="82">
        <f t="shared" si="155"/>
        <v>2</v>
      </c>
      <c r="M213" s="331">
        <v>2</v>
      </c>
      <c r="N213" s="161">
        <f t="shared" si="143"/>
        <v>309.10000000000002</v>
      </c>
      <c r="O213" s="161">
        <f t="shared" si="144"/>
        <v>309.10000000000002</v>
      </c>
      <c r="P213" s="187">
        <f t="shared" si="145"/>
        <v>0</v>
      </c>
      <c r="Q213" s="161">
        <f t="shared" si="146"/>
        <v>0</v>
      </c>
      <c r="R213" s="85"/>
      <c r="S213" s="86">
        <f t="shared" si="147"/>
        <v>4</v>
      </c>
      <c r="T213" s="87">
        <f t="shared" si="142"/>
        <v>-2</v>
      </c>
      <c r="U213">
        <v>4</v>
      </c>
    </row>
    <row r="214" spans="2:21" ht="20.100000000000001" hidden="1" customHeight="1">
      <c r="B214" s="77">
        <v>3</v>
      </c>
      <c r="C214" s="78" t="s">
        <v>354</v>
      </c>
      <c r="D214" s="79" t="s">
        <v>444</v>
      </c>
      <c r="E214" s="80" t="s">
        <v>445</v>
      </c>
      <c r="F214" s="81">
        <v>40.950000000000003</v>
      </c>
      <c r="G214" s="222">
        <v>9</v>
      </c>
      <c r="H214" s="186"/>
      <c r="I214" s="186"/>
      <c r="J214" s="308"/>
      <c r="K214" s="227">
        <v>3</v>
      </c>
      <c r="L214" s="82">
        <f t="shared" si="155"/>
        <v>6</v>
      </c>
      <c r="M214" s="331">
        <v>6</v>
      </c>
      <c r="N214" s="161">
        <f t="shared" si="143"/>
        <v>245.70000000000002</v>
      </c>
      <c r="O214" s="161">
        <f t="shared" si="144"/>
        <v>245.70000000000002</v>
      </c>
      <c r="P214" s="187">
        <f t="shared" si="145"/>
        <v>0</v>
      </c>
      <c r="Q214" s="161">
        <f t="shared" si="146"/>
        <v>0</v>
      </c>
      <c r="R214" s="85"/>
      <c r="S214" s="86">
        <f t="shared" si="147"/>
        <v>8</v>
      </c>
      <c r="T214" s="87">
        <f t="shared" si="142"/>
        <v>-2</v>
      </c>
      <c r="U214">
        <v>8</v>
      </c>
    </row>
    <row r="215" spans="2:21" ht="20.100000000000001" hidden="1" customHeight="1">
      <c r="B215" s="77">
        <v>3</v>
      </c>
      <c r="C215" s="78" t="s">
        <v>354</v>
      </c>
      <c r="D215" s="79" t="s">
        <v>444</v>
      </c>
      <c r="E215" s="80" t="s">
        <v>445</v>
      </c>
      <c r="F215" s="81">
        <v>37.25</v>
      </c>
      <c r="G215" s="222"/>
      <c r="H215" s="186"/>
      <c r="I215" s="186"/>
      <c r="J215" s="308"/>
      <c r="K215" s="227"/>
      <c r="L215" s="82">
        <f t="shared" si="155"/>
        <v>0</v>
      </c>
      <c r="M215" s="331"/>
      <c r="N215" s="161">
        <f t="shared" si="143"/>
        <v>0</v>
      </c>
      <c r="O215" s="161">
        <f t="shared" si="144"/>
        <v>0</v>
      </c>
      <c r="P215" s="187">
        <f t="shared" si="145"/>
        <v>0</v>
      </c>
      <c r="Q215" s="161">
        <f t="shared" si="146"/>
        <v>0</v>
      </c>
      <c r="R215" s="85"/>
      <c r="S215" s="86">
        <f t="shared" si="147"/>
        <v>0</v>
      </c>
      <c r="T215" s="87">
        <f t="shared" si="142"/>
        <v>0</v>
      </c>
    </row>
    <row r="216" spans="2:21" ht="20.100000000000001" hidden="1" customHeight="1">
      <c r="B216" s="77">
        <v>3</v>
      </c>
      <c r="C216" s="78" t="s">
        <v>354</v>
      </c>
      <c r="D216" s="79" t="s">
        <v>444</v>
      </c>
      <c r="E216" s="80" t="s">
        <v>445</v>
      </c>
      <c r="F216" s="81">
        <v>40.950000000000003</v>
      </c>
      <c r="G216" s="222"/>
      <c r="H216" s="186"/>
      <c r="I216" s="186"/>
      <c r="J216" s="308"/>
      <c r="K216" s="227"/>
      <c r="L216" s="82">
        <f t="shared" si="155"/>
        <v>0</v>
      </c>
      <c r="M216" s="331"/>
      <c r="N216" s="161">
        <f t="shared" si="143"/>
        <v>0</v>
      </c>
      <c r="O216" s="161">
        <f t="shared" si="144"/>
        <v>0</v>
      </c>
      <c r="P216" s="187">
        <f t="shared" si="145"/>
        <v>0</v>
      </c>
      <c r="Q216" s="161">
        <f t="shared" si="146"/>
        <v>0</v>
      </c>
      <c r="R216" s="85"/>
      <c r="S216" s="86">
        <f t="shared" si="147"/>
        <v>0</v>
      </c>
      <c r="T216" s="87">
        <f t="shared" si="142"/>
        <v>0</v>
      </c>
    </row>
    <row r="217" spans="2:21" ht="20.100000000000001" hidden="1" customHeight="1">
      <c r="B217" s="77">
        <v>3</v>
      </c>
      <c r="C217" s="78" t="s">
        <v>354</v>
      </c>
      <c r="D217" s="79" t="s">
        <v>446</v>
      </c>
      <c r="E217" s="80" t="s">
        <v>447</v>
      </c>
      <c r="F217" s="81">
        <v>65</v>
      </c>
      <c r="G217" s="222">
        <v>3</v>
      </c>
      <c r="H217" s="186"/>
      <c r="I217" s="186">
        <v>4</v>
      </c>
      <c r="J217" s="308">
        <v>2</v>
      </c>
      <c r="K217" s="227">
        <v>3</v>
      </c>
      <c r="L217" s="82">
        <f t="shared" si="155"/>
        <v>2</v>
      </c>
      <c r="M217" s="331">
        <v>2</v>
      </c>
      <c r="N217" s="161">
        <f t="shared" si="143"/>
        <v>130</v>
      </c>
      <c r="O217" s="161">
        <f t="shared" si="144"/>
        <v>130</v>
      </c>
      <c r="P217" s="187">
        <f t="shared" si="145"/>
        <v>0</v>
      </c>
      <c r="Q217" s="161">
        <f t="shared" si="146"/>
        <v>0</v>
      </c>
      <c r="R217" s="85"/>
      <c r="S217" s="86">
        <f t="shared" si="147"/>
        <v>0</v>
      </c>
      <c r="T217" s="87">
        <f t="shared" si="142"/>
        <v>2</v>
      </c>
    </row>
    <row r="218" spans="2:21" ht="20.100000000000001" hidden="1" customHeight="1">
      <c r="B218" s="77">
        <v>3</v>
      </c>
      <c r="C218" s="78" t="s">
        <v>354</v>
      </c>
      <c r="D218" s="79" t="s">
        <v>448</v>
      </c>
      <c r="E218" s="80" t="s">
        <v>449</v>
      </c>
      <c r="F218" s="81">
        <v>83.65</v>
      </c>
      <c r="G218" s="222"/>
      <c r="H218" s="186"/>
      <c r="I218" s="186"/>
      <c r="J218" s="308"/>
      <c r="K218" s="227"/>
      <c r="L218" s="82">
        <f t="shared" si="155"/>
        <v>0</v>
      </c>
      <c r="M218" s="331"/>
      <c r="N218" s="161">
        <f t="shared" si="143"/>
        <v>0</v>
      </c>
      <c r="O218" s="161">
        <f t="shared" si="144"/>
        <v>0</v>
      </c>
      <c r="P218" s="187">
        <f t="shared" si="145"/>
        <v>0</v>
      </c>
      <c r="Q218" s="161">
        <f t="shared" si="146"/>
        <v>0</v>
      </c>
      <c r="R218" s="85"/>
      <c r="S218" s="86">
        <f t="shared" si="147"/>
        <v>0</v>
      </c>
      <c r="T218" s="87">
        <f t="shared" si="142"/>
        <v>0</v>
      </c>
    </row>
    <row r="219" spans="2:21" ht="20.100000000000001" hidden="1" customHeight="1">
      <c r="B219" s="77">
        <v>3</v>
      </c>
      <c r="C219" s="78" t="s">
        <v>354</v>
      </c>
      <c r="D219" s="79" t="s">
        <v>450</v>
      </c>
      <c r="E219" s="80" t="s">
        <v>451</v>
      </c>
      <c r="F219" s="81">
        <v>19.55</v>
      </c>
      <c r="G219" s="222"/>
      <c r="H219" s="186"/>
      <c r="I219" s="186"/>
      <c r="J219" s="308"/>
      <c r="K219" s="227"/>
      <c r="L219" s="82">
        <f t="shared" si="155"/>
        <v>0</v>
      </c>
      <c r="M219" s="331"/>
      <c r="N219" s="161">
        <f t="shared" si="143"/>
        <v>0</v>
      </c>
      <c r="O219" s="161">
        <f t="shared" si="144"/>
        <v>0</v>
      </c>
      <c r="P219" s="187">
        <f t="shared" si="145"/>
        <v>0</v>
      </c>
      <c r="Q219" s="161">
        <f t="shared" si="146"/>
        <v>0</v>
      </c>
      <c r="R219" s="85"/>
      <c r="S219" s="86">
        <f t="shared" si="147"/>
        <v>0</v>
      </c>
      <c r="T219" s="87">
        <f t="shared" si="142"/>
        <v>0</v>
      </c>
    </row>
    <row r="220" spans="2:21" ht="20.100000000000001" hidden="1" customHeight="1">
      <c r="B220" s="77">
        <v>3</v>
      </c>
      <c r="C220" s="78" t="s">
        <v>354</v>
      </c>
      <c r="D220" s="79" t="s">
        <v>452</v>
      </c>
      <c r="E220" s="80" t="s">
        <v>453</v>
      </c>
      <c r="F220" s="81">
        <v>58.45</v>
      </c>
      <c r="G220" s="222">
        <v>1</v>
      </c>
      <c r="H220" s="186"/>
      <c r="I220" s="186">
        <v>2</v>
      </c>
      <c r="J220" s="308"/>
      <c r="K220" s="227">
        <v>3</v>
      </c>
      <c r="L220" s="82">
        <f t="shared" si="155"/>
        <v>0</v>
      </c>
      <c r="M220" s="331"/>
      <c r="N220" s="161">
        <f t="shared" si="143"/>
        <v>0</v>
      </c>
      <c r="O220" s="161">
        <f t="shared" si="144"/>
        <v>0</v>
      </c>
      <c r="P220" s="187">
        <f t="shared" si="145"/>
        <v>0</v>
      </c>
      <c r="Q220" s="161">
        <f t="shared" si="146"/>
        <v>0</v>
      </c>
      <c r="R220" s="85"/>
      <c r="S220" s="86">
        <f t="shared" si="147"/>
        <v>0</v>
      </c>
      <c r="T220" s="87">
        <f t="shared" si="142"/>
        <v>0</v>
      </c>
    </row>
    <row r="221" spans="2:21" ht="20.100000000000001" hidden="1" customHeight="1">
      <c r="B221" s="77">
        <v>3</v>
      </c>
      <c r="C221" s="78" t="s">
        <v>354</v>
      </c>
      <c r="D221" s="79" t="s">
        <v>454</v>
      </c>
      <c r="E221" s="80" t="s">
        <v>455</v>
      </c>
      <c r="F221" s="81">
        <v>84.8</v>
      </c>
      <c r="G221" s="222">
        <v>4</v>
      </c>
      <c r="H221" s="186"/>
      <c r="I221" s="186">
        <v>7</v>
      </c>
      <c r="J221" s="308"/>
      <c r="K221" s="227">
        <v>7</v>
      </c>
      <c r="L221" s="82">
        <f t="shared" si="155"/>
        <v>4</v>
      </c>
      <c r="M221" s="331">
        <v>4</v>
      </c>
      <c r="N221" s="161">
        <f t="shared" si="143"/>
        <v>339.2</v>
      </c>
      <c r="O221" s="161">
        <f t="shared" si="144"/>
        <v>339.2</v>
      </c>
      <c r="P221" s="187">
        <f t="shared" si="145"/>
        <v>0</v>
      </c>
      <c r="Q221" s="161">
        <f t="shared" si="146"/>
        <v>0</v>
      </c>
      <c r="R221" s="85"/>
      <c r="S221" s="86">
        <f t="shared" si="147"/>
        <v>9</v>
      </c>
      <c r="T221" s="87">
        <f t="shared" si="142"/>
        <v>-5</v>
      </c>
      <c r="U221">
        <v>9</v>
      </c>
    </row>
    <row r="222" spans="2:21" ht="20.100000000000001" hidden="1" customHeight="1">
      <c r="B222" s="77">
        <v>3</v>
      </c>
      <c r="C222" s="78" t="s">
        <v>354</v>
      </c>
      <c r="D222" s="79" t="s">
        <v>456</v>
      </c>
      <c r="E222" s="80" t="s">
        <v>457</v>
      </c>
      <c r="F222" s="81">
        <v>81.8</v>
      </c>
      <c r="G222" s="222"/>
      <c r="H222" s="186"/>
      <c r="I222" s="186"/>
      <c r="J222" s="308"/>
      <c r="K222" s="227"/>
      <c r="L222" s="82">
        <f t="shared" si="155"/>
        <v>0</v>
      </c>
      <c r="M222" s="331"/>
      <c r="N222" s="161">
        <f t="shared" si="143"/>
        <v>0</v>
      </c>
      <c r="O222" s="161">
        <f t="shared" si="144"/>
        <v>0</v>
      </c>
      <c r="P222" s="187">
        <f t="shared" si="145"/>
        <v>0</v>
      </c>
      <c r="Q222" s="161">
        <f t="shared" si="146"/>
        <v>0</v>
      </c>
      <c r="R222" s="85"/>
      <c r="S222" s="86">
        <f t="shared" si="147"/>
        <v>0</v>
      </c>
      <c r="T222" s="87">
        <f t="shared" si="142"/>
        <v>0</v>
      </c>
    </row>
    <row r="223" spans="2:21" ht="20.100000000000001" hidden="1" customHeight="1">
      <c r="B223" s="77">
        <v>3</v>
      </c>
      <c r="C223" s="78" t="s">
        <v>354</v>
      </c>
      <c r="D223" s="79" t="s">
        <v>458</v>
      </c>
      <c r="E223" s="80" t="s">
        <v>459</v>
      </c>
      <c r="F223" s="81">
        <v>72.95</v>
      </c>
      <c r="G223" s="222"/>
      <c r="H223" s="186"/>
      <c r="I223" s="186">
        <v>2</v>
      </c>
      <c r="J223" s="308">
        <v>1</v>
      </c>
      <c r="K223" s="227"/>
      <c r="L223" s="82">
        <f t="shared" si="155"/>
        <v>1</v>
      </c>
      <c r="M223" s="331">
        <v>1</v>
      </c>
      <c r="N223" s="161">
        <f t="shared" si="143"/>
        <v>72.95</v>
      </c>
      <c r="O223" s="161">
        <f t="shared" si="144"/>
        <v>72.95</v>
      </c>
      <c r="P223" s="187">
        <f t="shared" si="145"/>
        <v>0</v>
      </c>
      <c r="Q223" s="161">
        <f t="shared" si="146"/>
        <v>0</v>
      </c>
      <c r="R223" s="85"/>
      <c r="S223" s="86">
        <f t="shared" si="147"/>
        <v>0</v>
      </c>
      <c r="T223" s="87">
        <f t="shared" si="142"/>
        <v>1</v>
      </c>
    </row>
    <row r="224" spans="2:21" ht="20.100000000000001" hidden="1" customHeight="1">
      <c r="B224" s="77">
        <v>3</v>
      </c>
      <c r="C224" s="78" t="s">
        <v>354</v>
      </c>
      <c r="D224" s="79" t="s">
        <v>460</v>
      </c>
      <c r="E224" s="80" t="s">
        <v>461</v>
      </c>
      <c r="F224" s="81">
        <v>100</v>
      </c>
      <c r="G224" s="222">
        <v>3</v>
      </c>
      <c r="H224" s="186"/>
      <c r="I224" s="186"/>
      <c r="J224" s="308"/>
      <c r="K224" s="227"/>
      <c r="L224" s="82">
        <f t="shared" si="155"/>
        <v>3</v>
      </c>
      <c r="M224" s="331">
        <v>3</v>
      </c>
      <c r="N224" s="161">
        <f t="shared" si="143"/>
        <v>300</v>
      </c>
      <c r="O224" s="161">
        <f t="shared" si="144"/>
        <v>300</v>
      </c>
      <c r="P224" s="187">
        <f t="shared" si="145"/>
        <v>0</v>
      </c>
      <c r="Q224" s="161">
        <f t="shared" si="146"/>
        <v>0</v>
      </c>
      <c r="R224" s="85"/>
      <c r="S224" s="86">
        <f t="shared" si="147"/>
        <v>2</v>
      </c>
      <c r="T224" s="87">
        <f t="shared" si="142"/>
        <v>1</v>
      </c>
      <c r="U224">
        <v>2</v>
      </c>
    </row>
    <row r="225" spans="2:31" ht="20.100000000000001" hidden="1" customHeight="1">
      <c r="B225" s="77">
        <v>3</v>
      </c>
      <c r="C225" s="78" t="s">
        <v>354</v>
      </c>
      <c r="D225" s="79" t="s">
        <v>462</v>
      </c>
      <c r="E225" s="80" t="s">
        <v>463</v>
      </c>
      <c r="F225" s="81">
        <v>89.1</v>
      </c>
      <c r="G225" s="222"/>
      <c r="H225" s="186"/>
      <c r="I225" s="186"/>
      <c r="J225" s="308"/>
      <c r="K225" s="227"/>
      <c r="L225" s="82">
        <f t="shared" si="155"/>
        <v>0</v>
      </c>
      <c r="M225" s="331"/>
      <c r="N225" s="161">
        <f t="shared" si="143"/>
        <v>0</v>
      </c>
      <c r="O225" s="161">
        <f t="shared" si="144"/>
        <v>0</v>
      </c>
      <c r="P225" s="187">
        <f t="shared" si="145"/>
        <v>0</v>
      </c>
      <c r="Q225" s="161">
        <f t="shared" si="146"/>
        <v>0</v>
      </c>
      <c r="R225" s="85"/>
      <c r="S225" s="86">
        <f t="shared" si="147"/>
        <v>1</v>
      </c>
      <c r="T225" s="87">
        <f t="shared" si="142"/>
        <v>-1</v>
      </c>
      <c r="U225">
        <v>1</v>
      </c>
    </row>
    <row r="226" spans="2:31" ht="20.100000000000001" hidden="1" customHeight="1">
      <c r="B226" s="77">
        <v>3</v>
      </c>
      <c r="C226" s="78" t="s">
        <v>354</v>
      </c>
      <c r="D226" s="79" t="s">
        <v>462</v>
      </c>
      <c r="E226" s="80" t="s">
        <v>463</v>
      </c>
      <c r="F226" s="81">
        <v>98.2</v>
      </c>
      <c r="G226" s="222"/>
      <c r="H226" s="186"/>
      <c r="I226" s="186"/>
      <c r="J226" s="308"/>
      <c r="K226" s="227"/>
      <c r="L226" s="82">
        <f t="shared" si="155"/>
        <v>0</v>
      </c>
      <c r="M226" s="331"/>
      <c r="N226" s="161">
        <f t="shared" si="143"/>
        <v>0</v>
      </c>
      <c r="O226" s="161">
        <f t="shared" si="144"/>
        <v>0</v>
      </c>
      <c r="P226" s="187">
        <f t="shared" si="145"/>
        <v>0</v>
      </c>
      <c r="Q226" s="161">
        <f t="shared" si="146"/>
        <v>0</v>
      </c>
      <c r="R226" s="85"/>
      <c r="S226" s="86">
        <f t="shared" si="147"/>
        <v>0</v>
      </c>
      <c r="T226" s="87">
        <f t="shared" si="142"/>
        <v>0</v>
      </c>
    </row>
    <row r="227" spans="2:31" ht="20.100000000000001" hidden="1" customHeight="1">
      <c r="B227" s="77">
        <v>3</v>
      </c>
      <c r="C227" s="78" t="s">
        <v>354</v>
      </c>
      <c r="D227" s="79" t="s">
        <v>462</v>
      </c>
      <c r="E227" s="80" t="s">
        <v>463</v>
      </c>
      <c r="F227" s="81">
        <v>97.95</v>
      </c>
      <c r="G227" s="222"/>
      <c r="H227" s="186"/>
      <c r="I227" s="186">
        <v>1</v>
      </c>
      <c r="J227" s="308"/>
      <c r="K227" s="227"/>
      <c r="L227" s="82">
        <f t="shared" si="155"/>
        <v>1</v>
      </c>
      <c r="M227" s="331">
        <v>1</v>
      </c>
      <c r="N227" s="161">
        <f t="shared" si="143"/>
        <v>97.95</v>
      </c>
      <c r="O227" s="161">
        <f t="shared" si="144"/>
        <v>97.95</v>
      </c>
      <c r="P227" s="187">
        <f t="shared" si="145"/>
        <v>0</v>
      </c>
      <c r="Q227" s="161">
        <f t="shared" si="146"/>
        <v>0</v>
      </c>
      <c r="R227" s="85"/>
      <c r="S227" s="86">
        <f t="shared" si="147"/>
        <v>0</v>
      </c>
      <c r="T227" s="87">
        <f t="shared" ref="T227:T277" si="156">M227-S227</f>
        <v>1</v>
      </c>
    </row>
    <row r="228" spans="2:31" ht="20.100000000000001" hidden="1" customHeight="1">
      <c r="B228" s="77">
        <v>3</v>
      </c>
      <c r="C228" s="78" t="s">
        <v>354</v>
      </c>
      <c r="D228" s="79" t="s">
        <v>464</v>
      </c>
      <c r="E228" s="80" t="s">
        <v>465</v>
      </c>
      <c r="F228" s="81">
        <v>113.65</v>
      </c>
      <c r="G228" s="222">
        <v>1</v>
      </c>
      <c r="H228" s="186"/>
      <c r="I228" s="186"/>
      <c r="J228" s="308"/>
      <c r="K228" s="227">
        <v>1</v>
      </c>
      <c r="L228" s="82">
        <f t="shared" si="155"/>
        <v>0</v>
      </c>
      <c r="M228" s="331"/>
      <c r="N228" s="161">
        <f t="shared" ref="N228:N278" si="157">F228*L228</f>
        <v>0</v>
      </c>
      <c r="O228" s="161">
        <f t="shared" ref="O228:O278" si="158">M228*F228</f>
        <v>0</v>
      </c>
      <c r="P228" s="187">
        <f t="shared" ref="P228:P278" si="159">L228-M228</f>
        <v>0</v>
      </c>
      <c r="Q228" s="161">
        <f t="shared" ref="Q228:Q278" si="160">N228-O228</f>
        <v>0</v>
      </c>
      <c r="R228" s="85"/>
      <c r="S228" s="86">
        <f t="shared" ref="S228:S278" si="161">U228+Y228+W228+AA228</f>
        <v>0</v>
      </c>
      <c r="T228" s="87">
        <f t="shared" si="156"/>
        <v>0</v>
      </c>
    </row>
    <row r="229" spans="2:31" ht="20.100000000000001" hidden="1" customHeight="1">
      <c r="B229" s="77">
        <v>3</v>
      </c>
      <c r="C229" s="78" t="s">
        <v>354</v>
      </c>
      <c r="D229" s="79" t="s">
        <v>464</v>
      </c>
      <c r="E229" s="80" t="s">
        <v>465</v>
      </c>
      <c r="F229" s="81">
        <v>113.65</v>
      </c>
      <c r="G229" s="222"/>
      <c r="H229" s="186"/>
      <c r="I229" s="186"/>
      <c r="J229" s="308"/>
      <c r="K229" s="227"/>
      <c r="L229" s="82">
        <f t="shared" si="155"/>
        <v>0</v>
      </c>
      <c r="M229" s="331"/>
      <c r="N229" s="161">
        <f t="shared" si="157"/>
        <v>0</v>
      </c>
      <c r="O229" s="161">
        <f t="shared" si="158"/>
        <v>0</v>
      </c>
      <c r="P229" s="187">
        <f t="shared" si="159"/>
        <v>0</v>
      </c>
      <c r="Q229" s="161">
        <f t="shared" si="160"/>
        <v>0</v>
      </c>
      <c r="R229" s="85"/>
      <c r="S229" s="86">
        <f t="shared" si="161"/>
        <v>0</v>
      </c>
      <c r="T229" s="87">
        <f t="shared" si="156"/>
        <v>0</v>
      </c>
    </row>
    <row r="230" spans="2:31" ht="20.100000000000001" hidden="1" customHeight="1">
      <c r="B230" s="77">
        <v>3</v>
      </c>
      <c r="C230" s="78" t="s">
        <v>354</v>
      </c>
      <c r="D230" s="79" t="s">
        <v>464</v>
      </c>
      <c r="E230" s="80" t="s">
        <v>465</v>
      </c>
      <c r="F230" s="81">
        <v>125</v>
      </c>
      <c r="G230" s="222">
        <v>1</v>
      </c>
      <c r="H230" s="186"/>
      <c r="I230" s="186">
        <v>1</v>
      </c>
      <c r="J230" s="308"/>
      <c r="K230" s="227"/>
      <c r="L230" s="82">
        <f t="shared" si="155"/>
        <v>2</v>
      </c>
      <c r="M230" s="331">
        <v>2</v>
      </c>
      <c r="N230" s="161">
        <f t="shared" si="157"/>
        <v>250</v>
      </c>
      <c r="O230" s="161">
        <f t="shared" si="158"/>
        <v>250</v>
      </c>
      <c r="P230" s="187">
        <f t="shared" si="159"/>
        <v>0</v>
      </c>
      <c r="Q230" s="161">
        <f t="shared" si="160"/>
        <v>0</v>
      </c>
      <c r="R230" s="85"/>
      <c r="S230" s="86">
        <f t="shared" si="161"/>
        <v>1</v>
      </c>
      <c r="T230" s="87">
        <f t="shared" si="156"/>
        <v>1</v>
      </c>
      <c r="U230">
        <v>1</v>
      </c>
    </row>
    <row r="231" spans="2:31" ht="20.100000000000001" hidden="1" customHeight="1">
      <c r="B231" s="77">
        <v>3</v>
      </c>
      <c r="C231" s="78" t="s">
        <v>354</v>
      </c>
      <c r="D231" s="79" t="s">
        <v>466</v>
      </c>
      <c r="E231" s="80" t="s">
        <v>467</v>
      </c>
      <c r="F231" s="81">
        <v>41.15</v>
      </c>
      <c r="G231" s="222">
        <v>1</v>
      </c>
      <c r="H231" s="186"/>
      <c r="I231" s="186"/>
      <c r="J231" s="308"/>
      <c r="K231" s="227"/>
      <c r="L231" s="82">
        <f t="shared" si="155"/>
        <v>1</v>
      </c>
      <c r="M231" s="331">
        <v>1</v>
      </c>
      <c r="N231" s="161">
        <f t="shared" si="157"/>
        <v>41.15</v>
      </c>
      <c r="O231" s="161">
        <f t="shared" si="158"/>
        <v>41.15</v>
      </c>
      <c r="P231" s="187">
        <f t="shared" si="159"/>
        <v>0</v>
      </c>
      <c r="Q231" s="161">
        <f t="shared" si="160"/>
        <v>0</v>
      </c>
      <c r="R231" s="85"/>
      <c r="S231" s="86">
        <f t="shared" si="161"/>
        <v>0</v>
      </c>
      <c r="T231" s="87">
        <f t="shared" si="156"/>
        <v>1</v>
      </c>
    </row>
    <row r="232" spans="2:31" ht="20.100000000000001" hidden="1" customHeight="1">
      <c r="B232" s="77">
        <v>3</v>
      </c>
      <c r="C232" s="78" t="s">
        <v>354</v>
      </c>
      <c r="D232" s="79" t="s">
        <v>468</v>
      </c>
      <c r="E232" s="80" t="s">
        <v>469</v>
      </c>
      <c r="F232" s="277">
        <v>81.849999999999994</v>
      </c>
      <c r="G232" s="222"/>
      <c r="H232" s="186"/>
      <c r="I232" s="186">
        <v>1</v>
      </c>
      <c r="J232" s="308"/>
      <c r="K232" s="227">
        <v>1</v>
      </c>
      <c r="L232" s="82">
        <f t="shared" si="155"/>
        <v>0</v>
      </c>
      <c r="M232" s="331"/>
      <c r="N232" s="161">
        <f t="shared" si="157"/>
        <v>0</v>
      </c>
      <c r="O232" s="161">
        <f t="shared" si="158"/>
        <v>0</v>
      </c>
      <c r="P232" s="187">
        <f t="shared" si="159"/>
        <v>0</v>
      </c>
      <c r="Q232" s="161">
        <f t="shared" si="160"/>
        <v>0</v>
      </c>
      <c r="R232" s="85"/>
      <c r="S232" s="86">
        <f t="shared" si="161"/>
        <v>0</v>
      </c>
      <c r="T232" s="87">
        <f t="shared" si="156"/>
        <v>0</v>
      </c>
    </row>
    <row r="233" spans="2:31" ht="20.100000000000001" hidden="1" customHeight="1">
      <c r="B233" s="77">
        <v>3</v>
      </c>
      <c r="C233" s="78" t="s">
        <v>354</v>
      </c>
      <c r="D233" s="79" t="s">
        <v>470</v>
      </c>
      <c r="E233" s="80" t="s">
        <v>471</v>
      </c>
      <c r="F233" s="81">
        <v>58.65</v>
      </c>
      <c r="G233" s="222"/>
      <c r="H233" s="186"/>
      <c r="I233" s="186"/>
      <c r="J233" s="308"/>
      <c r="K233" s="227"/>
      <c r="L233" s="82">
        <f t="shared" si="155"/>
        <v>0</v>
      </c>
      <c r="M233" s="331"/>
      <c r="N233" s="161">
        <f t="shared" si="157"/>
        <v>0</v>
      </c>
      <c r="O233" s="161">
        <f t="shared" si="158"/>
        <v>0</v>
      </c>
      <c r="P233" s="187">
        <f t="shared" si="159"/>
        <v>0</v>
      </c>
      <c r="Q233" s="161">
        <f t="shared" si="160"/>
        <v>0</v>
      </c>
      <c r="R233" s="85"/>
      <c r="S233" s="86">
        <f t="shared" si="161"/>
        <v>0</v>
      </c>
      <c r="T233" s="87">
        <f t="shared" si="156"/>
        <v>0</v>
      </c>
    </row>
    <row r="234" spans="2:31" ht="20.100000000000001" hidden="1" customHeight="1">
      <c r="B234" s="77">
        <v>3</v>
      </c>
      <c r="C234" s="78" t="s">
        <v>354</v>
      </c>
      <c r="D234" s="79" t="s">
        <v>472</v>
      </c>
      <c r="E234" s="80" t="s">
        <v>473</v>
      </c>
      <c r="F234" s="81">
        <v>53.9</v>
      </c>
      <c r="G234" s="222">
        <v>1</v>
      </c>
      <c r="H234" s="186"/>
      <c r="I234" s="186">
        <v>4</v>
      </c>
      <c r="J234" s="308">
        <v>2</v>
      </c>
      <c r="K234" s="227">
        <v>1</v>
      </c>
      <c r="L234" s="82">
        <f t="shared" si="155"/>
        <v>2</v>
      </c>
      <c r="M234" s="331">
        <v>2</v>
      </c>
      <c r="N234" s="161">
        <f t="shared" si="157"/>
        <v>107.8</v>
      </c>
      <c r="O234" s="161">
        <f t="shared" si="158"/>
        <v>107.8</v>
      </c>
      <c r="P234" s="187">
        <f t="shared" si="159"/>
        <v>0</v>
      </c>
      <c r="Q234" s="161">
        <f t="shared" si="160"/>
        <v>0</v>
      </c>
      <c r="R234" s="85"/>
      <c r="S234" s="86">
        <f t="shared" si="161"/>
        <v>0</v>
      </c>
      <c r="T234" s="87">
        <f t="shared" si="156"/>
        <v>2</v>
      </c>
    </row>
    <row r="235" spans="2:31" ht="20.100000000000001" hidden="1" customHeight="1">
      <c r="B235" s="77">
        <v>3</v>
      </c>
      <c r="C235" s="78" t="s">
        <v>354</v>
      </c>
      <c r="D235" s="79" t="s">
        <v>474</v>
      </c>
      <c r="E235" s="80" t="s">
        <v>475</v>
      </c>
      <c r="F235" s="81">
        <v>19.2</v>
      </c>
      <c r="G235" s="222"/>
      <c r="H235" s="186"/>
      <c r="I235" s="186"/>
      <c r="J235" s="308"/>
      <c r="K235" s="227"/>
      <c r="L235" s="82">
        <f t="shared" si="155"/>
        <v>0</v>
      </c>
      <c r="M235" s="331"/>
      <c r="N235" s="161">
        <f t="shared" si="157"/>
        <v>0</v>
      </c>
      <c r="O235" s="161">
        <f t="shared" si="158"/>
        <v>0</v>
      </c>
      <c r="P235" s="187">
        <f t="shared" si="159"/>
        <v>0</v>
      </c>
      <c r="Q235" s="161">
        <f t="shared" si="160"/>
        <v>0</v>
      </c>
      <c r="R235" s="85"/>
      <c r="S235" s="86">
        <f t="shared" si="161"/>
        <v>0</v>
      </c>
      <c r="T235" s="87">
        <f t="shared" si="156"/>
        <v>0</v>
      </c>
    </row>
    <row r="236" spans="2:31" ht="20.100000000000001" hidden="1" customHeight="1">
      <c r="B236" s="77">
        <v>3</v>
      </c>
      <c r="C236" s="78" t="s">
        <v>354</v>
      </c>
      <c r="D236" s="79" t="s">
        <v>476</v>
      </c>
      <c r="E236" s="80" t="s">
        <v>477</v>
      </c>
      <c r="F236" s="81">
        <v>50.2</v>
      </c>
      <c r="G236" s="222"/>
      <c r="H236" s="186"/>
      <c r="I236" s="186"/>
      <c r="J236" s="308"/>
      <c r="K236" s="227"/>
      <c r="L236" s="82">
        <f t="shared" si="155"/>
        <v>0</v>
      </c>
      <c r="M236" s="331"/>
      <c r="N236" s="161">
        <f t="shared" si="157"/>
        <v>0</v>
      </c>
      <c r="O236" s="161">
        <f t="shared" si="158"/>
        <v>0</v>
      </c>
      <c r="P236" s="187">
        <f t="shared" si="159"/>
        <v>0</v>
      </c>
      <c r="Q236" s="161">
        <f t="shared" si="160"/>
        <v>0</v>
      </c>
      <c r="R236" s="85"/>
      <c r="S236" s="86">
        <f t="shared" si="161"/>
        <v>0</v>
      </c>
      <c r="T236" s="87">
        <f t="shared" si="156"/>
        <v>0</v>
      </c>
    </row>
    <row r="237" spans="2:31" ht="20.100000000000001" hidden="1" customHeight="1">
      <c r="B237" s="77">
        <v>3</v>
      </c>
      <c r="C237" s="78" t="s">
        <v>354</v>
      </c>
      <c r="D237" s="79" t="s">
        <v>478</v>
      </c>
      <c r="E237" s="80" t="s">
        <v>479</v>
      </c>
      <c r="F237" s="315">
        <v>75</v>
      </c>
      <c r="G237" s="222">
        <v>13</v>
      </c>
      <c r="H237" s="186"/>
      <c r="I237" s="186"/>
      <c r="J237" s="308">
        <v>1</v>
      </c>
      <c r="K237" s="227">
        <v>3</v>
      </c>
      <c r="L237" s="82">
        <f t="shared" si="155"/>
        <v>9</v>
      </c>
      <c r="M237" s="331">
        <v>9</v>
      </c>
      <c r="N237" s="161">
        <f t="shared" si="157"/>
        <v>675</v>
      </c>
      <c r="O237" s="161">
        <f t="shared" si="158"/>
        <v>675</v>
      </c>
      <c r="P237" s="187">
        <f t="shared" si="159"/>
        <v>0</v>
      </c>
      <c r="Q237" s="161">
        <f t="shared" si="160"/>
        <v>0</v>
      </c>
      <c r="R237" s="85"/>
      <c r="S237" s="86">
        <f t="shared" si="161"/>
        <v>16</v>
      </c>
      <c r="T237" s="87">
        <f t="shared" si="156"/>
        <v>-7</v>
      </c>
      <c r="U237">
        <v>16</v>
      </c>
    </row>
    <row r="238" spans="2:31" ht="20.100000000000001" hidden="1" customHeight="1">
      <c r="B238" s="77">
        <v>3</v>
      </c>
      <c r="C238" s="78" t="s">
        <v>354</v>
      </c>
      <c r="D238" s="218" t="s">
        <v>3890</v>
      </c>
      <c r="E238" s="304" t="s">
        <v>4829</v>
      </c>
      <c r="F238" s="303">
        <v>6.82</v>
      </c>
      <c r="G238" s="222"/>
      <c r="H238" s="186">
        <v>10</v>
      </c>
      <c r="I238" s="186"/>
      <c r="J238" s="308"/>
      <c r="K238" s="227">
        <v>9</v>
      </c>
      <c r="L238" s="82">
        <f t="shared" ref="L238" si="162">G238+I238-J238-K238+H238</f>
        <v>1</v>
      </c>
      <c r="M238" s="331">
        <v>1</v>
      </c>
      <c r="N238" s="161">
        <f t="shared" ref="N238" si="163">F238*L238</f>
        <v>6.82</v>
      </c>
      <c r="O238" s="161">
        <f t="shared" ref="O238" si="164">M238*F238</f>
        <v>6.82</v>
      </c>
      <c r="P238" s="187">
        <f t="shared" ref="P238" si="165">L238-M238</f>
        <v>0</v>
      </c>
      <c r="Q238" s="161">
        <f t="shared" ref="Q238" si="166">N238-O238</f>
        <v>0</v>
      </c>
      <c r="R238" s="85"/>
      <c r="S238" s="86">
        <f t="shared" ref="S238" si="167">U238+Y238+W238+AA238</f>
        <v>16</v>
      </c>
      <c r="T238" s="87">
        <f t="shared" ref="T238" si="168">M238-S238</f>
        <v>-15</v>
      </c>
      <c r="U238">
        <v>16</v>
      </c>
    </row>
    <row r="239" spans="2:31" ht="20.100000000000001" hidden="1" customHeight="1">
      <c r="B239" s="77">
        <v>3</v>
      </c>
      <c r="C239" s="78" t="s">
        <v>354</v>
      </c>
      <c r="D239" s="79" t="s">
        <v>480</v>
      </c>
      <c r="E239" s="80" t="s">
        <v>481</v>
      </c>
      <c r="F239" s="81">
        <v>9.92</v>
      </c>
      <c r="G239" s="222">
        <v>55</v>
      </c>
      <c r="H239" s="186"/>
      <c r="I239" s="186"/>
      <c r="J239" s="308"/>
      <c r="K239" s="227"/>
      <c r="L239" s="82">
        <f t="shared" si="155"/>
        <v>55</v>
      </c>
      <c r="M239" s="331">
        <v>55</v>
      </c>
      <c r="N239" s="161">
        <f t="shared" si="157"/>
        <v>545.6</v>
      </c>
      <c r="O239" s="161">
        <f t="shared" si="158"/>
        <v>545.6</v>
      </c>
      <c r="P239" s="187">
        <f t="shared" si="159"/>
        <v>0</v>
      </c>
      <c r="Q239" s="161">
        <f t="shared" si="160"/>
        <v>0</v>
      </c>
      <c r="R239" s="91">
        <v>45734</v>
      </c>
      <c r="S239" s="86">
        <f t="shared" si="161"/>
        <v>55</v>
      </c>
      <c r="T239" s="87">
        <f t="shared" si="156"/>
        <v>0</v>
      </c>
      <c r="W239">
        <v>55</v>
      </c>
      <c r="X239" t="s">
        <v>121</v>
      </c>
      <c r="AD239">
        <f>W239</f>
        <v>55</v>
      </c>
      <c r="AE239" s="89">
        <f>AD239*F239</f>
        <v>545.6</v>
      </c>
    </row>
    <row r="240" spans="2:31" ht="20.100000000000001" hidden="1" customHeight="1">
      <c r="B240" s="77">
        <v>3</v>
      </c>
      <c r="C240" s="78" t="s">
        <v>354</v>
      </c>
      <c r="D240" s="79" t="s">
        <v>482</v>
      </c>
      <c r="E240" s="80" t="s">
        <v>483</v>
      </c>
      <c r="F240" s="81">
        <v>41.46</v>
      </c>
      <c r="G240" s="222">
        <v>1</v>
      </c>
      <c r="H240" s="186"/>
      <c r="I240" s="186"/>
      <c r="J240" s="308"/>
      <c r="K240" s="227"/>
      <c r="L240" s="82">
        <f t="shared" si="155"/>
        <v>1</v>
      </c>
      <c r="M240" s="331">
        <v>1</v>
      </c>
      <c r="N240" s="161">
        <f t="shared" si="157"/>
        <v>41.46</v>
      </c>
      <c r="O240" s="161">
        <f t="shared" si="158"/>
        <v>41.46</v>
      </c>
      <c r="P240" s="187">
        <f t="shared" si="159"/>
        <v>0</v>
      </c>
      <c r="Q240" s="161">
        <f t="shared" si="160"/>
        <v>0</v>
      </c>
      <c r="R240" s="85"/>
      <c r="S240" s="86">
        <f t="shared" si="161"/>
        <v>1</v>
      </c>
      <c r="T240" s="87">
        <f t="shared" si="156"/>
        <v>0</v>
      </c>
      <c r="AA240">
        <v>1</v>
      </c>
      <c r="AB240" s="88" t="s">
        <v>171</v>
      </c>
      <c r="AD240">
        <f>AA240</f>
        <v>1</v>
      </c>
      <c r="AE240" s="89">
        <f>AD240*F240</f>
        <v>41.46</v>
      </c>
    </row>
    <row r="241" spans="2:31" ht="20.100000000000001" hidden="1" customHeight="1">
      <c r="B241" s="77">
        <v>3</v>
      </c>
      <c r="C241" s="78" t="s">
        <v>354</v>
      </c>
      <c r="D241" s="79" t="s">
        <v>484</v>
      </c>
      <c r="E241" s="80" t="s">
        <v>485</v>
      </c>
      <c r="F241" s="81">
        <v>56.79</v>
      </c>
      <c r="G241" s="222"/>
      <c r="H241" s="186"/>
      <c r="I241" s="186"/>
      <c r="J241" s="308"/>
      <c r="K241" s="227"/>
      <c r="L241" s="82">
        <f t="shared" si="155"/>
        <v>0</v>
      </c>
      <c r="M241" s="331"/>
      <c r="N241" s="161">
        <f t="shared" si="157"/>
        <v>0</v>
      </c>
      <c r="O241" s="161">
        <f t="shared" si="158"/>
        <v>0</v>
      </c>
      <c r="P241" s="187">
        <f t="shared" si="159"/>
        <v>0</v>
      </c>
      <c r="Q241" s="161">
        <f t="shared" si="160"/>
        <v>0</v>
      </c>
      <c r="R241" s="85"/>
      <c r="S241" s="86">
        <f t="shared" si="161"/>
        <v>0</v>
      </c>
      <c r="T241" s="87">
        <f t="shared" si="156"/>
        <v>0</v>
      </c>
    </row>
    <row r="242" spans="2:31" ht="20.100000000000001" hidden="1" customHeight="1">
      <c r="B242" s="77">
        <v>3</v>
      </c>
      <c r="C242" s="78" t="s">
        <v>354</v>
      </c>
      <c r="D242" s="79" t="s">
        <v>486</v>
      </c>
      <c r="E242" s="80" t="s">
        <v>487</v>
      </c>
      <c r="F242" s="81">
        <v>56.79</v>
      </c>
      <c r="G242" s="222"/>
      <c r="H242" s="186"/>
      <c r="I242" s="186"/>
      <c r="J242" s="308"/>
      <c r="K242" s="227"/>
      <c r="L242" s="82">
        <f t="shared" si="155"/>
        <v>0</v>
      </c>
      <c r="M242" s="331"/>
      <c r="N242" s="161">
        <f t="shared" si="157"/>
        <v>0</v>
      </c>
      <c r="O242" s="161">
        <f t="shared" si="158"/>
        <v>0</v>
      </c>
      <c r="P242" s="187">
        <f t="shared" si="159"/>
        <v>0</v>
      </c>
      <c r="Q242" s="161">
        <f t="shared" si="160"/>
        <v>0</v>
      </c>
      <c r="R242" s="85"/>
      <c r="S242" s="86">
        <f t="shared" si="161"/>
        <v>0</v>
      </c>
      <c r="T242" s="87">
        <f t="shared" si="156"/>
        <v>0</v>
      </c>
    </row>
    <row r="243" spans="2:31" ht="20.100000000000001" hidden="1" customHeight="1">
      <c r="B243" s="77">
        <v>3</v>
      </c>
      <c r="C243" s="78" t="s">
        <v>354</v>
      </c>
      <c r="D243" s="79" t="s">
        <v>488</v>
      </c>
      <c r="E243" s="80" t="s">
        <v>489</v>
      </c>
      <c r="F243" s="81">
        <v>54.19</v>
      </c>
      <c r="G243" s="222"/>
      <c r="H243" s="186"/>
      <c r="I243" s="186"/>
      <c r="J243" s="308"/>
      <c r="K243" s="227"/>
      <c r="L243" s="82">
        <f t="shared" si="155"/>
        <v>0</v>
      </c>
      <c r="M243" s="331"/>
      <c r="N243" s="161">
        <f t="shared" si="157"/>
        <v>0</v>
      </c>
      <c r="O243" s="161">
        <f t="shared" si="158"/>
        <v>0</v>
      </c>
      <c r="P243" s="187">
        <f t="shared" si="159"/>
        <v>0</v>
      </c>
      <c r="Q243" s="161">
        <f t="shared" si="160"/>
        <v>0</v>
      </c>
      <c r="R243" s="85"/>
      <c r="S243" s="86">
        <f t="shared" si="161"/>
        <v>0</v>
      </c>
      <c r="T243" s="87">
        <f t="shared" si="156"/>
        <v>0</v>
      </c>
    </row>
    <row r="244" spans="2:31" ht="20.100000000000001" hidden="1" customHeight="1">
      <c r="B244" s="77">
        <v>3</v>
      </c>
      <c r="C244" s="78" t="s">
        <v>354</v>
      </c>
      <c r="D244" s="79" t="s">
        <v>490</v>
      </c>
      <c r="E244" s="80" t="s">
        <v>491</v>
      </c>
      <c r="F244" s="81">
        <v>56.79</v>
      </c>
      <c r="G244" s="222"/>
      <c r="H244" s="186"/>
      <c r="I244" s="186"/>
      <c r="J244" s="308"/>
      <c r="K244" s="227"/>
      <c r="L244" s="82">
        <f t="shared" si="155"/>
        <v>0</v>
      </c>
      <c r="M244" s="331"/>
      <c r="N244" s="161">
        <f t="shared" si="157"/>
        <v>0</v>
      </c>
      <c r="O244" s="161">
        <f t="shared" si="158"/>
        <v>0</v>
      </c>
      <c r="P244" s="187">
        <f t="shared" si="159"/>
        <v>0</v>
      </c>
      <c r="Q244" s="161">
        <f t="shared" si="160"/>
        <v>0</v>
      </c>
      <c r="R244" s="85"/>
      <c r="S244" s="86">
        <f t="shared" si="161"/>
        <v>0</v>
      </c>
      <c r="T244" s="87">
        <f t="shared" si="156"/>
        <v>0</v>
      </c>
    </row>
    <row r="245" spans="2:31" ht="20.100000000000001" hidden="1" customHeight="1">
      <c r="B245" s="77">
        <v>3</v>
      </c>
      <c r="C245" s="78" t="s">
        <v>354</v>
      </c>
      <c r="D245" s="79" t="s">
        <v>492</v>
      </c>
      <c r="E245" s="80" t="s">
        <v>493</v>
      </c>
      <c r="F245" s="81">
        <v>56.79</v>
      </c>
      <c r="G245" s="222"/>
      <c r="H245" s="186"/>
      <c r="I245" s="186"/>
      <c r="J245" s="308"/>
      <c r="K245" s="227"/>
      <c r="L245" s="82">
        <f t="shared" si="155"/>
        <v>0</v>
      </c>
      <c r="M245" s="331"/>
      <c r="N245" s="161">
        <f t="shared" si="157"/>
        <v>0</v>
      </c>
      <c r="O245" s="161">
        <f t="shared" si="158"/>
        <v>0</v>
      </c>
      <c r="P245" s="187">
        <f t="shared" si="159"/>
        <v>0</v>
      </c>
      <c r="Q245" s="161">
        <f t="shared" si="160"/>
        <v>0</v>
      </c>
      <c r="R245" s="85"/>
      <c r="S245" s="86">
        <f t="shared" si="161"/>
        <v>0</v>
      </c>
      <c r="T245" s="87">
        <f t="shared" si="156"/>
        <v>0</v>
      </c>
    </row>
    <row r="246" spans="2:31" ht="20.100000000000001" hidden="1" customHeight="1">
      <c r="B246" s="77">
        <v>3</v>
      </c>
      <c r="C246" s="78" t="s">
        <v>354</v>
      </c>
      <c r="D246" s="79" t="s">
        <v>494</v>
      </c>
      <c r="E246" s="80" t="s">
        <v>495</v>
      </c>
      <c r="F246" s="81">
        <v>49.65</v>
      </c>
      <c r="G246" s="222">
        <v>2</v>
      </c>
      <c r="H246" s="186"/>
      <c r="I246" s="186"/>
      <c r="J246" s="308"/>
      <c r="K246" s="227"/>
      <c r="L246" s="82">
        <f t="shared" si="155"/>
        <v>2</v>
      </c>
      <c r="M246" s="331">
        <v>2</v>
      </c>
      <c r="N246" s="161">
        <f t="shared" si="157"/>
        <v>99.3</v>
      </c>
      <c r="O246" s="161">
        <f t="shared" si="158"/>
        <v>99.3</v>
      </c>
      <c r="P246" s="187">
        <f t="shared" si="159"/>
        <v>0</v>
      </c>
      <c r="Q246" s="161">
        <f t="shared" si="160"/>
        <v>0</v>
      </c>
      <c r="R246" s="85"/>
      <c r="S246" s="86">
        <f t="shared" si="161"/>
        <v>2</v>
      </c>
      <c r="T246" s="87">
        <f t="shared" si="156"/>
        <v>0</v>
      </c>
      <c r="AA246">
        <v>2</v>
      </c>
      <c r="AB246" s="88" t="s">
        <v>496</v>
      </c>
      <c r="AD246">
        <f>AA246</f>
        <v>2</v>
      </c>
      <c r="AE246" s="89">
        <f>AD246*F246</f>
        <v>99.3</v>
      </c>
    </row>
    <row r="247" spans="2:31" ht="20.100000000000001" hidden="1" customHeight="1">
      <c r="B247" s="77">
        <v>3</v>
      </c>
      <c r="C247" s="78" t="s">
        <v>354</v>
      </c>
      <c r="D247" s="79" t="s">
        <v>3763</v>
      </c>
      <c r="E247" s="80" t="s">
        <v>3764</v>
      </c>
      <c r="F247" s="81">
        <v>25</v>
      </c>
      <c r="G247" s="222">
        <v>9</v>
      </c>
      <c r="H247" s="186"/>
      <c r="I247" s="186"/>
      <c r="J247" s="308"/>
      <c r="K247" s="227">
        <v>1</v>
      </c>
      <c r="L247" s="82">
        <f t="shared" si="155"/>
        <v>8</v>
      </c>
      <c r="M247" s="331">
        <v>8</v>
      </c>
      <c r="N247" s="161">
        <f t="shared" ref="N247:N248" si="169">F247*L247</f>
        <v>200</v>
      </c>
      <c r="O247" s="161">
        <f t="shared" ref="O247:O248" si="170">M247*F247</f>
        <v>200</v>
      </c>
      <c r="P247" s="187">
        <f t="shared" ref="P247:P248" si="171">L247-M247</f>
        <v>0</v>
      </c>
      <c r="Q247" s="161">
        <f t="shared" ref="Q247:Q248" si="172">N247-O247</f>
        <v>0</v>
      </c>
      <c r="R247" s="85"/>
      <c r="S247" s="86">
        <f t="shared" ref="S247:S248" si="173">U247+Y247+W247+AA247</f>
        <v>0</v>
      </c>
      <c r="T247" s="87">
        <f t="shared" ref="T247:T248" si="174">M247-S247</f>
        <v>8</v>
      </c>
    </row>
    <row r="248" spans="2:31" ht="20.100000000000001" hidden="1" customHeight="1">
      <c r="B248" s="77">
        <v>3</v>
      </c>
      <c r="C248" s="78" t="s">
        <v>354</v>
      </c>
      <c r="D248" s="79" t="s">
        <v>497</v>
      </c>
      <c r="E248" s="80" t="s">
        <v>498</v>
      </c>
      <c r="F248" s="81">
        <v>57.4</v>
      </c>
      <c r="G248" s="222">
        <v>8</v>
      </c>
      <c r="H248" s="186"/>
      <c r="I248" s="186"/>
      <c r="J248" s="308"/>
      <c r="K248" s="227">
        <v>4</v>
      </c>
      <c r="L248" s="82">
        <f t="shared" ref="L248" si="175">G248+I248-J248-K248+H248</f>
        <v>4</v>
      </c>
      <c r="M248" s="331">
        <v>4</v>
      </c>
      <c r="N248" s="161">
        <f t="shared" si="169"/>
        <v>229.6</v>
      </c>
      <c r="O248" s="161">
        <f t="shared" si="170"/>
        <v>229.6</v>
      </c>
      <c r="P248" s="187">
        <f t="shared" si="171"/>
        <v>0</v>
      </c>
      <c r="Q248" s="161">
        <f t="shared" si="172"/>
        <v>0</v>
      </c>
      <c r="R248" s="85"/>
      <c r="S248" s="86">
        <f t="shared" si="173"/>
        <v>0</v>
      </c>
      <c r="T248" s="87">
        <f t="shared" si="174"/>
        <v>4</v>
      </c>
    </row>
    <row r="249" spans="2:31" ht="20.100000000000001" hidden="1" customHeight="1">
      <c r="B249" s="77">
        <v>3</v>
      </c>
      <c r="C249" s="78" t="s">
        <v>354</v>
      </c>
      <c r="D249" s="79" t="s">
        <v>497</v>
      </c>
      <c r="E249" s="80" t="s">
        <v>498</v>
      </c>
      <c r="F249" s="81">
        <v>57.41</v>
      </c>
      <c r="G249" s="222"/>
      <c r="H249" s="186"/>
      <c r="I249" s="186">
        <v>5</v>
      </c>
      <c r="J249" s="308">
        <v>1</v>
      </c>
      <c r="K249" s="227"/>
      <c r="L249" s="82">
        <f t="shared" si="155"/>
        <v>4</v>
      </c>
      <c r="M249" s="331">
        <v>4</v>
      </c>
      <c r="N249" s="161">
        <f t="shared" si="157"/>
        <v>229.64</v>
      </c>
      <c r="O249" s="161">
        <f t="shared" si="158"/>
        <v>229.64</v>
      </c>
      <c r="P249" s="187">
        <f t="shared" si="159"/>
        <v>0</v>
      </c>
      <c r="Q249" s="161">
        <f t="shared" si="160"/>
        <v>0</v>
      </c>
      <c r="R249" s="85"/>
      <c r="S249" s="86">
        <f t="shared" si="161"/>
        <v>0</v>
      </c>
      <c r="T249" s="87">
        <f t="shared" si="156"/>
        <v>4</v>
      </c>
    </row>
    <row r="250" spans="2:31" ht="20.100000000000001" hidden="1" customHeight="1">
      <c r="B250" s="77">
        <v>3</v>
      </c>
      <c r="C250" s="78" t="s">
        <v>354</v>
      </c>
      <c r="D250" s="79" t="s">
        <v>499</v>
      </c>
      <c r="E250" s="80" t="s">
        <v>500</v>
      </c>
      <c r="F250" s="81">
        <v>57.4</v>
      </c>
      <c r="G250" s="222">
        <v>5</v>
      </c>
      <c r="H250" s="186"/>
      <c r="I250" s="186"/>
      <c r="J250" s="308"/>
      <c r="K250" s="227">
        <v>1</v>
      </c>
      <c r="L250" s="82">
        <f t="shared" si="155"/>
        <v>4</v>
      </c>
      <c r="M250" s="331">
        <v>4</v>
      </c>
      <c r="N250" s="161">
        <f t="shared" si="157"/>
        <v>229.6</v>
      </c>
      <c r="O250" s="161">
        <f t="shared" si="158"/>
        <v>229.6</v>
      </c>
      <c r="P250" s="187">
        <f t="shared" si="159"/>
        <v>0</v>
      </c>
      <c r="Q250" s="161">
        <f t="shared" si="160"/>
        <v>0</v>
      </c>
      <c r="R250" s="85"/>
      <c r="S250" s="86">
        <f t="shared" si="161"/>
        <v>1</v>
      </c>
      <c r="T250" s="87">
        <f t="shared" si="156"/>
        <v>3</v>
      </c>
      <c r="U250">
        <v>1</v>
      </c>
    </row>
    <row r="251" spans="2:31" ht="20.100000000000001" hidden="1" customHeight="1">
      <c r="B251" s="77">
        <v>3</v>
      </c>
      <c r="C251" s="78" t="s">
        <v>354</v>
      </c>
      <c r="D251" s="79" t="s">
        <v>501</v>
      </c>
      <c r="E251" s="80" t="s">
        <v>502</v>
      </c>
      <c r="F251" s="277">
        <v>57.41</v>
      </c>
      <c r="G251" s="222"/>
      <c r="H251" s="186"/>
      <c r="I251" s="186">
        <v>5</v>
      </c>
      <c r="J251" s="308">
        <v>1</v>
      </c>
      <c r="K251" s="227">
        <v>1</v>
      </c>
      <c r="L251" s="82">
        <f t="shared" si="155"/>
        <v>3</v>
      </c>
      <c r="M251" s="331">
        <v>3</v>
      </c>
      <c r="N251" s="161">
        <f t="shared" si="157"/>
        <v>172.23</v>
      </c>
      <c r="O251" s="161">
        <f t="shared" si="158"/>
        <v>172.23</v>
      </c>
      <c r="P251" s="187">
        <f t="shared" si="159"/>
        <v>0</v>
      </c>
      <c r="Q251" s="161">
        <f t="shared" si="160"/>
        <v>0</v>
      </c>
      <c r="R251" s="85"/>
      <c r="S251" s="86">
        <f t="shared" si="161"/>
        <v>0</v>
      </c>
      <c r="T251" s="87">
        <f t="shared" si="156"/>
        <v>3</v>
      </c>
    </row>
    <row r="252" spans="2:31" ht="20.100000000000001" hidden="1" customHeight="1">
      <c r="B252" s="77">
        <v>3</v>
      </c>
      <c r="C252" s="78" t="s">
        <v>354</v>
      </c>
      <c r="D252" s="79" t="s">
        <v>503</v>
      </c>
      <c r="E252" s="80" t="s">
        <v>504</v>
      </c>
      <c r="F252" s="81">
        <v>71</v>
      </c>
      <c r="G252" s="222">
        <v>2</v>
      </c>
      <c r="H252" s="186"/>
      <c r="I252" s="186"/>
      <c r="J252" s="308"/>
      <c r="K252" s="227"/>
      <c r="L252" s="82">
        <f t="shared" si="155"/>
        <v>2</v>
      </c>
      <c r="M252" s="331">
        <v>2</v>
      </c>
      <c r="N252" s="161">
        <f t="shared" si="157"/>
        <v>142</v>
      </c>
      <c r="O252" s="161">
        <f t="shared" si="158"/>
        <v>142</v>
      </c>
      <c r="P252" s="187">
        <f t="shared" si="159"/>
        <v>0</v>
      </c>
      <c r="Q252" s="161">
        <f t="shared" si="160"/>
        <v>0</v>
      </c>
      <c r="R252" s="91">
        <v>45454</v>
      </c>
      <c r="S252" s="86">
        <f t="shared" si="161"/>
        <v>2</v>
      </c>
      <c r="T252" s="87">
        <f t="shared" si="156"/>
        <v>0</v>
      </c>
      <c r="W252">
        <v>2</v>
      </c>
      <c r="X252" t="s">
        <v>115</v>
      </c>
      <c r="AD252">
        <f>W252</f>
        <v>2</v>
      </c>
      <c r="AE252" s="89">
        <f>AD252*F252</f>
        <v>142</v>
      </c>
    </row>
    <row r="253" spans="2:31" ht="20.100000000000001" hidden="1" customHeight="1">
      <c r="B253" s="77">
        <v>3</v>
      </c>
      <c r="C253" s="78" t="s">
        <v>354</v>
      </c>
      <c r="D253" s="79" t="s">
        <v>505</v>
      </c>
      <c r="E253" s="80" t="s">
        <v>506</v>
      </c>
      <c r="F253" s="81">
        <v>78.290000000000006</v>
      </c>
      <c r="G253" s="222"/>
      <c r="H253" s="186"/>
      <c r="I253" s="186"/>
      <c r="J253" s="308"/>
      <c r="K253" s="227"/>
      <c r="L253" s="82">
        <f t="shared" si="155"/>
        <v>0</v>
      </c>
      <c r="M253" s="331"/>
      <c r="N253" s="161">
        <f t="shared" si="157"/>
        <v>0</v>
      </c>
      <c r="O253" s="161">
        <f t="shared" si="158"/>
        <v>0</v>
      </c>
      <c r="P253" s="187">
        <f t="shared" si="159"/>
        <v>0</v>
      </c>
      <c r="Q253" s="161">
        <f t="shared" si="160"/>
        <v>0</v>
      </c>
      <c r="R253" s="85"/>
      <c r="S253" s="86">
        <f t="shared" si="161"/>
        <v>3</v>
      </c>
      <c r="T253" s="87">
        <f t="shared" si="156"/>
        <v>-3</v>
      </c>
      <c r="U253">
        <v>3</v>
      </c>
    </row>
    <row r="254" spans="2:31" ht="20.100000000000001" hidden="1" customHeight="1">
      <c r="B254" s="77">
        <v>3</v>
      </c>
      <c r="C254" s="78" t="s">
        <v>354</v>
      </c>
      <c r="D254" s="79" t="s">
        <v>507</v>
      </c>
      <c r="E254" s="80" t="s">
        <v>508</v>
      </c>
      <c r="F254" s="81">
        <v>56.71</v>
      </c>
      <c r="G254" s="222"/>
      <c r="H254" s="186"/>
      <c r="I254" s="186"/>
      <c r="J254" s="308"/>
      <c r="K254" s="227"/>
      <c r="L254" s="82">
        <f t="shared" si="155"/>
        <v>0</v>
      </c>
      <c r="M254" s="331"/>
      <c r="N254" s="161">
        <f t="shared" si="157"/>
        <v>0</v>
      </c>
      <c r="O254" s="161">
        <f t="shared" si="158"/>
        <v>0</v>
      </c>
      <c r="P254" s="187">
        <f t="shared" si="159"/>
        <v>0</v>
      </c>
      <c r="Q254" s="161">
        <f t="shared" si="160"/>
        <v>0</v>
      </c>
      <c r="R254" s="232"/>
      <c r="S254" s="86">
        <f t="shared" si="161"/>
        <v>0</v>
      </c>
      <c r="T254" s="87">
        <f t="shared" si="156"/>
        <v>0</v>
      </c>
    </row>
    <row r="255" spans="2:31" ht="20.100000000000001" hidden="1" customHeight="1">
      <c r="B255" s="77">
        <v>3</v>
      </c>
      <c r="C255" s="78" t="s">
        <v>354</v>
      </c>
      <c r="D255" s="79" t="s">
        <v>509</v>
      </c>
      <c r="E255" s="80" t="s">
        <v>510</v>
      </c>
      <c r="F255" s="81">
        <v>40.06</v>
      </c>
      <c r="G255" s="222">
        <v>6</v>
      </c>
      <c r="H255" s="186"/>
      <c r="I255" s="186"/>
      <c r="J255" s="308"/>
      <c r="K255" s="227"/>
      <c r="L255" s="82">
        <f t="shared" si="155"/>
        <v>6</v>
      </c>
      <c r="M255" s="331">
        <v>6</v>
      </c>
      <c r="N255" s="161">
        <f t="shared" si="157"/>
        <v>240.36</v>
      </c>
      <c r="O255" s="161">
        <f t="shared" si="158"/>
        <v>240.36</v>
      </c>
      <c r="P255" s="187">
        <f t="shared" si="159"/>
        <v>0</v>
      </c>
      <c r="Q255" s="161">
        <f t="shared" si="160"/>
        <v>0</v>
      </c>
      <c r="R255" s="85"/>
      <c r="S255" s="86">
        <f t="shared" si="161"/>
        <v>12</v>
      </c>
      <c r="T255" s="87">
        <f t="shared" si="156"/>
        <v>-6</v>
      </c>
      <c r="U255">
        <v>12</v>
      </c>
    </row>
    <row r="256" spans="2:31" ht="20.100000000000001" hidden="1" customHeight="1">
      <c r="B256" s="77">
        <v>3</v>
      </c>
      <c r="C256" s="78" t="s">
        <v>354</v>
      </c>
      <c r="D256" s="219" t="s">
        <v>3883</v>
      </c>
      <c r="E256" s="276" t="s">
        <v>4325</v>
      </c>
      <c r="F256" s="277">
        <v>12.169</v>
      </c>
      <c r="G256" s="222"/>
      <c r="H256" s="186"/>
      <c r="I256" s="186">
        <v>20</v>
      </c>
      <c r="J256" s="308"/>
      <c r="K256" s="227">
        <v>3</v>
      </c>
      <c r="L256" s="82">
        <f t="shared" ref="L256" si="176">G256+I256-J256-K256+H256</f>
        <v>17</v>
      </c>
      <c r="M256" s="331">
        <v>17</v>
      </c>
      <c r="N256" s="161">
        <f t="shared" ref="N256" si="177">F256*L256</f>
        <v>206.87300000000002</v>
      </c>
      <c r="O256" s="161">
        <f t="shared" ref="O256" si="178">M256*F256</f>
        <v>206.87300000000002</v>
      </c>
      <c r="P256" s="187">
        <f t="shared" ref="P256" si="179">L256-M256</f>
        <v>0</v>
      </c>
      <c r="Q256" s="161">
        <f t="shared" ref="Q256" si="180">N256-O256</f>
        <v>0</v>
      </c>
      <c r="R256" s="85"/>
      <c r="S256" s="86">
        <f t="shared" ref="S256" si="181">U256+Y256+W256+AA256</f>
        <v>12</v>
      </c>
      <c r="T256" s="87">
        <f t="shared" ref="T256" si="182">M256-S256</f>
        <v>5</v>
      </c>
      <c r="U256">
        <v>12</v>
      </c>
    </row>
    <row r="257" spans="2:31" ht="20.100000000000001" hidden="1" customHeight="1">
      <c r="B257" s="77">
        <v>3</v>
      </c>
      <c r="C257" s="78" t="s">
        <v>354</v>
      </c>
      <c r="D257" s="79" t="s">
        <v>511</v>
      </c>
      <c r="E257" s="80" t="s">
        <v>512</v>
      </c>
      <c r="F257" s="81">
        <v>12.77</v>
      </c>
      <c r="G257" s="222"/>
      <c r="H257" s="186"/>
      <c r="I257" s="186"/>
      <c r="J257" s="308"/>
      <c r="K257" s="227"/>
      <c r="L257" s="82">
        <f t="shared" si="155"/>
        <v>0</v>
      </c>
      <c r="M257" s="331"/>
      <c r="N257" s="161">
        <f t="shared" si="157"/>
        <v>0</v>
      </c>
      <c r="O257" s="161">
        <f t="shared" si="158"/>
        <v>0</v>
      </c>
      <c r="P257" s="187">
        <f t="shared" si="159"/>
        <v>0</v>
      </c>
      <c r="Q257" s="161">
        <f t="shared" si="160"/>
        <v>0</v>
      </c>
      <c r="R257" s="85"/>
      <c r="S257" s="86">
        <f t="shared" si="161"/>
        <v>20</v>
      </c>
      <c r="T257" s="87">
        <f t="shared" si="156"/>
        <v>-20</v>
      </c>
      <c r="U257">
        <v>20</v>
      </c>
    </row>
    <row r="258" spans="2:31" ht="20.100000000000001" hidden="1" customHeight="1">
      <c r="B258" s="77">
        <v>3</v>
      </c>
      <c r="C258" s="78" t="s">
        <v>354</v>
      </c>
      <c r="D258" s="79" t="s">
        <v>511</v>
      </c>
      <c r="E258" s="80" t="s">
        <v>512</v>
      </c>
      <c r="F258" s="277">
        <v>12.169</v>
      </c>
      <c r="G258" s="222"/>
      <c r="H258" s="186"/>
      <c r="I258" s="186">
        <v>20</v>
      </c>
      <c r="J258" s="308"/>
      <c r="K258" s="227"/>
      <c r="L258" s="82">
        <f t="shared" ref="L258" si="183">G258+I258-J258-K258+H258</f>
        <v>20</v>
      </c>
      <c r="M258" s="331">
        <v>20</v>
      </c>
      <c r="N258" s="161">
        <f t="shared" ref="N258" si="184">F258*L258</f>
        <v>243.38</v>
      </c>
      <c r="O258" s="161">
        <f t="shared" ref="O258" si="185">M258*F258</f>
        <v>243.38</v>
      </c>
      <c r="P258" s="187">
        <f t="shared" ref="P258" si="186">L258-M258</f>
        <v>0</v>
      </c>
      <c r="Q258" s="161">
        <f t="shared" ref="Q258" si="187">N258-O258</f>
        <v>0</v>
      </c>
      <c r="R258" s="85"/>
      <c r="S258" s="86">
        <f t="shared" ref="S258" si="188">U258+Y258+W258+AA258</f>
        <v>20</v>
      </c>
      <c r="T258" s="87">
        <f t="shared" ref="T258" si="189">M258-S258</f>
        <v>0</v>
      </c>
      <c r="U258">
        <v>20</v>
      </c>
    </row>
    <row r="259" spans="2:31" ht="20.100000000000001" hidden="1" customHeight="1">
      <c r="B259" s="77">
        <v>3</v>
      </c>
      <c r="C259" s="78" t="s">
        <v>354</v>
      </c>
      <c r="D259" s="79" t="s">
        <v>513</v>
      </c>
      <c r="E259" s="80" t="s">
        <v>514</v>
      </c>
      <c r="F259" s="81">
        <v>40.06</v>
      </c>
      <c r="G259" s="222">
        <v>7</v>
      </c>
      <c r="H259" s="186"/>
      <c r="I259" s="186"/>
      <c r="J259" s="308"/>
      <c r="K259" s="227"/>
      <c r="L259" s="82">
        <f t="shared" si="155"/>
        <v>7</v>
      </c>
      <c r="M259" s="331">
        <v>7</v>
      </c>
      <c r="N259" s="161">
        <f t="shared" si="157"/>
        <v>280.42</v>
      </c>
      <c r="O259" s="161">
        <f t="shared" si="158"/>
        <v>280.42</v>
      </c>
      <c r="P259" s="187">
        <f t="shared" si="159"/>
        <v>0</v>
      </c>
      <c r="Q259" s="161">
        <f t="shared" si="160"/>
        <v>0</v>
      </c>
      <c r="R259" s="85"/>
      <c r="S259" s="86">
        <f t="shared" si="161"/>
        <v>12</v>
      </c>
      <c r="T259" s="87">
        <f t="shared" si="156"/>
        <v>-5</v>
      </c>
      <c r="U259">
        <v>12</v>
      </c>
    </row>
    <row r="260" spans="2:31" ht="20.100000000000001" hidden="1" customHeight="1">
      <c r="B260" s="77">
        <v>3</v>
      </c>
      <c r="C260" s="78" t="s">
        <v>354</v>
      </c>
      <c r="D260" s="79" t="s">
        <v>515</v>
      </c>
      <c r="E260" s="80" t="s">
        <v>516</v>
      </c>
      <c r="F260" s="81">
        <v>40.06</v>
      </c>
      <c r="G260" s="222">
        <v>8</v>
      </c>
      <c r="H260" s="186"/>
      <c r="I260" s="186"/>
      <c r="J260" s="308"/>
      <c r="K260" s="227">
        <v>2</v>
      </c>
      <c r="L260" s="82">
        <f t="shared" si="155"/>
        <v>6</v>
      </c>
      <c r="M260" s="331">
        <v>6</v>
      </c>
      <c r="N260" s="161">
        <f t="shared" si="157"/>
        <v>240.36</v>
      </c>
      <c r="O260" s="161">
        <f t="shared" si="158"/>
        <v>240.36</v>
      </c>
      <c r="P260" s="187">
        <f t="shared" si="159"/>
        <v>0</v>
      </c>
      <c r="Q260" s="161">
        <f t="shared" si="160"/>
        <v>0</v>
      </c>
      <c r="R260" s="85"/>
      <c r="S260" s="86">
        <f t="shared" si="161"/>
        <v>11</v>
      </c>
      <c r="T260" s="87">
        <f t="shared" si="156"/>
        <v>-5</v>
      </c>
      <c r="U260">
        <v>11</v>
      </c>
    </row>
    <row r="261" spans="2:31" ht="20.100000000000001" hidden="1" customHeight="1">
      <c r="B261" s="77">
        <v>3</v>
      </c>
      <c r="C261" s="78" t="s">
        <v>354</v>
      </c>
      <c r="D261" s="79" t="s">
        <v>517</v>
      </c>
      <c r="E261" s="80" t="s">
        <v>518</v>
      </c>
      <c r="F261" s="277">
        <v>12.169</v>
      </c>
      <c r="G261" s="222"/>
      <c r="H261" s="186"/>
      <c r="I261" s="186">
        <v>20</v>
      </c>
      <c r="J261" s="308"/>
      <c r="K261" s="227">
        <v>3</v>
      </c>
      <c r="L261" s="82">
        <f t="shared" si="155"/>
        <v>17</v>
      </c>
      <c r="M261" s="331">
        <v>17</v>
      </c>
      <c r="N261" s="161">
        <f t="shared" si="157"/>
        <v>206.87300000000002</v>
      </c>
      <c r="O261" s="161">
        <f t="shared" si="158"/>
        <v>206.87300000000002</v>
      </c>
      <c r="P261" s="187">
        <f t="shared" si="159"/>
        <v>0</v>
      </c>
      <c r="Q261" s="161">
        <f t="shared" si="160"/>
        <v>0</v>
      </c>
      <c r="R261" s="85"/>
      <c r="S261" s="86">
        <f t="shared" si="161"/>
        <v>19</v>
      </c>
      <c r="T261" s="87">
        <f t="shared" si="156"/>
        <v>-2</v>
      </c>
      <c r="U261">
        <v>19</v>
      </c>
    </row>
    <row r="262" spans="2:31" ht="20.100000000000001" hidden="1" customHeight="1">
      <c r="B262" s="77">
        <v>3</v>
      </c>
      <c r="C262" s="78" t="s">
        <v>354</v>
      </c>
      <c r="D262" s="79" t="s">
        <v>519</v>
      </c>
      <c r="E262" s="80" t="s">
        <v>520</v>
      </c>
      <c r="F262" s="81">
        <v>71.5</v>
      </c>
      <c r="G262" s="222"/>
      <c r="H262" s="186"/>
      <c r="I262" s="186"/>
      <c r="J262" s="308"/>
      <c r="K262" s="227"/>
      <c r="L262" s="82">
        <f t="shared" si="155"/>
        <v>0</v>
      </c>
      <c r="M262" s="331"/>
      <c r="N262" s="161">
        <f t="shared" si="157"/>
        <v>0</v>
      </c>
      <c r="O262" s="161">
        <f t="shared" si="158"/>
        <v>0</v>
      </c>
      <c r="P262" s="187">
        <f t="shared" si="159"/>
        <v>0</v>
      </c>
      <c r="Q262" s="161">
        <f t="shared" si="160"/>
        <v>0</v>
      </c>
      <c r="R262" s="85"/>
      <c r="S262" s="86">
        <f t="shared" si="161"/>
        <v>0</v>
      </c>
      <c r="T262" s="87">
        <f t="shared" si="156"/>
        <v>0</v>
      </c>
    </row>
    <row r="263" spans="2:31" ht="20.100000000000001" hidden="1" customHeight="1">
      <c r="B263" s="77">
        <v>3</v>
      </c>
      <c r="C263" s="78" t="s">
        <v>354</v>
      </c>
      <c r="D263" s="79" t="s">
        <v>521</v>
      </c>
      <c r="E263" s="80" t="s">
        <v>522</v>
      </c>
      <c r="F263" s="81">
        <v>71.5</v>
      </c>
      <c r="G263" s="222">
        <v>13</v>
      </c>
      <c r="H263" s="186"/>
      <c r="I263" s="186"/>
      <c r="J263" s="308"/>
      <c r="K263" s="227"/>
      <c r="L263" s="82">
        <f t="shared" si="155"/>
        <v>13</v>
      </c>
      <c r="M263" s="331">
        <v>13</v>
      </c>
      <c r="N263" s="161">
        <f t="shared" si="157"/>
        <v>929.5</v>
      </c>
      <c r="O263" s="161">
        <f t="shared" si="158"/>
        <v>929.5</v>
      </c>
      <c r="P263" s="187">
        <f t="shared" si="159"/>
        <v>0</v>
      </c>
      <c r="Q263" s="161">
        <f t="shared" si="160"/>
        <v>0</v>
      </c>
      <c r="R263" s="91">
        <v>45128</v>
      </c>
      <c r="S263" s="86">
        <f t="shared" si="161"/>
        <v>13</v>
      </c>
      <c r="T263" s="87">
        <f t="shared" si="156"/>
        <v>0</v>
      </c>
      <c r="W263">
        <v>13</v>
      </c>
      <c r="X263" t="s">
        <v>523</v>
      </c>
      <c r="AD263">
        <f>W263</f>
        <v>13</v>
      </c>
      <c r="AE263" s="89">
        <f>AD263*F263</f>
        <v>929.5</v>
      </c>
    </row>
    <row r="264" spans="2:31" ht="20.100000000000001" hidden="1" customHeight="1">
      <c r="B264" s="77">
        <v>3</v>
      </c>
      <c r="C264" s="78" t="s">
        <v>354</v>
      </c>
      <c r="D264" s="79" t="s">
        <v>524</v>
      </c>
      <c r="E264" s="80" t="s">
        <v>525</v>
      </c>
      <c r="F264" s="81">
        <v>71.5</v>
      </c>
      <c r="G264" s="222"/>
      <c r="H264" s="186"/>
      <c r="I264" s="186"/>
      <c r="J264" s="308"/>
      <c r="K264" s="227"/>
      <c r="L264" s="82">
        <f t="shared" si="155"/>
        <v>0</v>
      </c>
      <c r="M264" s="331"/>
      <c r="N264" s="161">
        <f t="shared" si="157"/>
        <v>0</v>
      </c>
      <c r="O264" s="161">
        <f t="shared" si="158"/>
        <v>0</v>
      </c>
      <c r="P264" s="187">
        <f t="shared" si="159"/>
        <v>0</v>
      </c>
      <c r="Q264" s="161">
        <f t="shared" si="160"/>
        <v>0</v>
      </c>
      <c r="R264" s="85"/>
      <c r="S264" s="86">
        <f t="shared" si="161"/>
        <v>0</v>
      </c>
      <c r="T264" s="87">
        <f t="shared" si="156"/>
        <v>0</v>
      </c>
    </row>
    <row r="265" spans="2:31" ht="20.100000000000001" hidden="1" customHeight="1">
      <c r="B265" s="77">
        <v>3</v>
      </c>
      <c r="C265" s="78" t="s">
        <v>354</v>
      </c>
      <c r="D265" s="79" t="s">
        <v>526</v>
      </c>
      <c r="E265" s="80" t="s">
        <v>527</v>
      </c>
      <c r="F265" s="81">
        <v>77</v>
      </c>
      <c r="G265" s="222"/>
      <c r="H265" s="186"/>
      <c r="I265" s="186"/>
      <c r="J265" s="308"/>
      <c r="K265" s="227"/>
      <c r="L265" s="82">
        <f t="shared" si="155"/>
        <v>0</v>
      </c>
      <c r="M265" s="331"/>
      <c r="N265" s="161">
        <f t="shared" si="157"/>
        <v>0</v>
      </c>
      <c r="O265" s="161">
        <f t="shared" si="158"/>
        <v>0</v>
      </c>
      <c r="P265" s="187">
        <f t="shared" si="159"/>
        <v>0</v>
      </c>
      <c r="Q265" s="161">
        <f t="shared" si="160"/>
        <v>0</v>
      </c>
      <c r="R265" s="85"/>
      <c r="S265" s="86">
        <f t="shared" si="161"/>
        <v>0</v>
      </c>
      <c r="T265" s="87">
        <f t="shared" si="156"/>
        <v>0</v>
      </c>
    </row>
    <row r="266" spans="2:31" ht="20.100000000000001" hidden="1" customHeight="1">
      <c r="B266" s="77">
        <v>3</v>
      </c>
      <c r="C266" s="78" t="s">
        <v>354</v>
      </c>
      <c r="D266" s="79" t="s">
        <v>528</v>
      </c>
      <c r="E266" s="80" t="s">
        <v>529</v>
      </c>
      <c r="F266" s="81">
        <v>77</v>
      </c>
      <c r="G266" s="222"/>
      <c r="H266" s="186"/>
      <c r="I266" s="186"/>
      <c r="J266" s="308"/>
      <c r="K266" s="227"/>
      <c r="L266" s="82">
        <f t="shared" si="155"/>
        <v>0</v>
      </c>
      <c r="M266" s="331"/>
      <c r="N266" s="161">
        <f t="shared" si="157"/>
        <v>0</v>
      </c>
      <c r="O266" s="161">
        <f t="shared" si="158"/>
        <v>0</v>
      </c>
      <c r="P266" s="187">
        <f t="shared" si="159"/>
        <v>0</v>
      </c>
      <c r="Q266" s="161">
        <f t="shared" si="160"/>
        <v>0</v>
      </c>
      <c r="R266" s="85"/>
      <c r="S266" s="86">
        <f t="shared" si="161"/>
        <v>0</v>
      </c>
      <c r="T266" s="87">
        <f t="shared" si="156"/>
        <v>0</v>
      </c>
    </row>
    <row r="267" spans="2:31" ht="20.100000000000001" hidden="1" customHeight="1">
      <c r="B267" s="77">
        <v>3</v>
      </c>
      <c r="C267" s="78" t="s">
        <v>354</v>
      </c>
      <c r="D267" s="79" t="s">
        <v>530</v>
      </c>
      <c r="E267" s="80" t="s">
        <v>531</v>
      </c>
      <c r="F267" s="81">
        <v>72.42</v>
      </c>
      <c r="G267" s="222">
        <v>2</v>
      </c>
      <c r="H267" s="186"/>
      <c r="I267" s="186"/>
      <c r="J267" s="308"/>
      <c r="K267" s="227"/>
      <c r="L267" s="82">
        <f t="shared" si="155"/>
        <v>2</v>
      </c>
      <c r="M267" s="332">
        <v>2</v>
      </c>
      <c r="N267" s="161">
        <f t="shared" si="157"/>
        <v>144.84</v>
      </c>
      <c r="O267" s="161">
        <f t="shared" si="158"/>
        <v>144.84</v>
      </c>
      <c r="P267" s="187">
        <f t="shared" si="159"/>
        <v>0</v>
      </c>
      <c r="Q267" s="161">
        <f t="shared" si="160"/>
        <v>0</v>
      </c>
      <c r="R267" s="91">
        <v>45121</v>
      </c>
      <c r="S267" s="86">
        <f t="shared" si="161"/>
        <v>2</v>
      </c>
      <c r="T267" s="87">
        <f t="shared" si="156"/>
        <v>0</v>
      </c>
      <c r="W267">
        <v>2</v>
      </c>
      <c r="X267" t="s">
        <v>523</v>
      </c>
      <c r="AD267">
        <f>W267</f>
        <v>2</v>
      </c>
      <c r="AE267" s="89">
        <f>AD267*F267</f>
        <v>144.84</v>
      </c>
    </row>
    <row r="268" spans="2:31" ht="20.100000000000001" hidden="1" customHeight="1">
      <c r="B268" s="77">
        <v>3</v>
      </c>
      <c r="C268" s="78" t="s">
        <v>354</v>
      </c>
      <c r="D268" s="79" t="s">
        <v>532</v>
      </c>
      <c r="E268" s="80" t="s">
        <v>533</v>
      </c>
      <c r="F268" s="81">
        <v>40.229999999999997</v>
      </c>
      <c r="G268" s="222">
        <v>4</v>
      </c>
      <c r="H268" s="186"/>
      <c r="I268" s="186"/>
      <c r="J268" s="308"/>
      <c r="K268" s="227"/>
      <c r="L268" s="82">
        <f t="shared" si="155"/>
        <v>4</v>
      </c>
      <c r="M268" s="331">
        <v>4</v>
      </c>
      <c r="N268" s="161">
        <f t="shared" si="157"/>
        <v>160.91999999999999</v>
      </c>
      <c r="O268" s="161">
        <f t="shared" si="158"/>
        <v>160.91999999999999</v>
      </c>
      <c r="P268" s="187">
        <f t="shared" si="159"/>
        <v>0</v>
      </c>
      <c r="Q268" s="161">
        <f t="shared" si="160"/>
        <v>0</v>
      </c>
      <c r="R268" s="85"/>
      <c r="S268" s="86">
        <f t="shared" si="161"/>
        <v>0</v>
      </c>
      <c r="T268" s="87">
        <f t="shared" si="156"/>
        <v>4</v>
      </c>
    </row>
    <row r="269" spans="2:31" ht="20.100000000000001" hidden="1" customHeight="1">
      <c r="B269" s="77">
        <v>3</v>
      </c>
      <c r="C269" s="78" t="s">
        <v>354</v>
      </c>
      <c r="D269" s="79" t="s">
        <v>534</v>
      </c>
      <c r="E269" s="80" t="s">
        <v>535</v>
      </c>
      <c r="F269" s="81">
        <v>183.75</v>
      </c>
      <c r="G269" s="222"/>
      <c r="H269" s="186"/>
      <c r="I269" s="186"/>
      <c r="J269" s="308"/>
      <c r="K269" s="227"/>
      <c r="L269" s="82">
        <f t="shared" si="155"/>
        <v>0</v>
      </c>
      <c r="M269" s="331"/>
      <c r="N269" s="161">
        <f t="shared" si="157"/>
        <v>0</v>
      </c>
      <c r="O269" s="161">
        <f t="shared" si="158"/>
        <v>0</v>
      </c>
      <c r="P269" s="187">
        <f t="shared" si="159"/>
        <v>0</v>
      </c>
      <c r="Q269" s="161">
        <f t="shared" si="160"/>
        <v>0</v>
      </c>
      <c r="R269" s="85"/>
      <c r="S269" s="86">
        <f t="shared" si="161"/>
        <v>0</v>
      </c>
      <c r="T269" s="87">
        <f t="shared" si="156"/>
        <v>0</v>
      </c>
    </row>
    <row r="270" spans="2:31" ht="20.100000000000001" hidden="1" customHeight="1">
      <c r="B270" s="77">
        <v>3</v>
      </c>
      <c r="C270" s="78" t="s">
        <v>354</v>
      </c>
      <c r="D270" s="79" t="s">
        <v>536</v>
      </c>
      <c r="E270" s="80" t="s">
        <v>537</v>
      </c>
      <c r="F270" s="81">
        <v>6.8</v>
      </c>
      <c r="G270" s="222"/>
      <c r="H270" s="186"/>
      <c r="I270" s="186"/>
      <c r="J270" s="308"/>
      <c r="K270" s="227"/>
      <c r="L270" s="82">
        <f t="shared" si="155"/>
        <v>0</v>
      </c>
      <c r="M270" s="331"/>
      <c r="N270" s="161">
        <f t="shared" si="157"/>
        <v>0</v>
      </c>
      <c r="O270" s="161">
        <f t="shared" si="158"/>
        <v>0</v>
      </c>
      <c r="P270" s="187">
        <f t="shared" si="159"/>
        <v>0</v>
      </c>
      <c r="Q270" s="161">
        <f t="shared" si="160"/>
        <v>0</v>
      </c>
      <c r="R270" s="232" t="s">
        <v>3822</v>
      </c>
      <c r="S270" s="86">
        <f t="shared" si="161"/>
        <v>1</v>
      </c>
      <c r="T270" s="87">
        <f t="shared" si="156"/>
        <v>-1</v>
      </c>
      <c r="AA270">
        <v>1</v>
      </c>
      <c r="AB270" t="s">
        <v>91</v>
      </c>
      <c r="AD270">
        <f>AA270</f>
        <v>1</v>
      </c>
      <c r="AE270" s="89">
        <f>AD270*F270</f>
        <v>6.8</v>
      </c>
    </row>
    <row r="271" spans="2:31" ht="20.100000000000001" hidden="1" customHeight="1">
      <c r="B271" s="77">
        <v>3</v>
      </c>
      <c r="C271" s="78" t="s">
        <v>354</v>
      </c>
      <c r="D271" s="79" t="s">
        <v>538</v>
      </c>
      <c r="E271" s="80" t="s">
        <v>539</v>
      </c>
      <c r="F271" s="81">
        <v>6.8</v>
      </c>
      <c r="G271" s="222"/>
      <c r="H271" s="186"/>
      <c r="I271" s="186"/>
      <c r="J271" s="308"/>
      <c r="K271" s="227"/>
      <c r="L271" s="82">
        <f t="shared" si="155"/>
        <v>0</v>
      </c>
      <c r="M271" s="331"/>
      <c r="N271" s="161">
        <f t="shared" si="157"/>
        <v>0</v>
      </c>
      <c r="O271" s="161">
        <f t="shared" si="158"/>
        <v>0</v>
      </c>
      <c r="P271" s="187">
        <f t="shared" si="159"/>
        <v>0</v>
      </c>
      <c r="Q271" s="161">
        <f t="shared" si="160"/>
        <v>0</v>
      </c>
      <c r="R271" s="232" t="s">
        <v>3823</v>
      </c>
      <c r="S271" s="86">
        <f t="shared" si="161"/>
        <v>3</v>
      </c>
      <c r="T271" s="87">
        <f t="shared" si="156"/>
        <v>-3</v>
      </c>
      <c r="AA271">
        <v>3</v>
      </c>
      <c r="AB271" t="s">
        <v>91</v>
      </c>
      <c r="AD271">
        <f t="shared" ref="AD271:AD273" si="190">AA271</f>
        <v>3</v>
      </c>
      <c r="AE271" s="89">
        <f>AD271*F271</f>
        <v>20.399999999999999</v>
      </c>
    </row>
    <row r="272" spans="2:31" ht="20.100000000000001" hidden="1" customHeight="1">
      <c r="B272" s="77">
        <v>3</v>
      </c>
      <c r="C272" s="78" t="s">
        <v>354</v>
      </c>
      <c r="D272" s="79" t="s">
        <v>540</v>
      </c>
      <c r="E272" s="80" t="s">
        <v>541</v>
      </c>
      <c r="F272" s="81">
        <v>53.87</v>
      </c>
      <c r="G272" s="222">
        <v>2</v>
      </c>
      <c r="H272" s="186"/>
      <c r="I272" s="186"/>
      <c r="J272" s="308"/>
      <c r="K272" s="227"/>
      <c r="L272" s="82">
        <f t="shared" si="155"/>
        <v>2</v>
      </c>
      <c r="M272" s="331">
        <v>2</v>
      </c>
      <c r="N272" s="161">
        <f t="shared" si="157"/>
        <v>107.74</v>
      </c>
      <c r="O272" s="161">
        <f t="shared" si="158"/>
        <v>107.74</v>
      </c>
      <c r="P272" s="187">
        <f t="shared" si="159"/>
        <v>0</v>
      </c>
      <c r="Q272" s="161">
        <f t="shared" si="160"/>
        <v>0</v>
      </c>
      <c r="R272" s="85"/>
      <c r="S272" s="86">
        <f t="shared" si="161"/>
        <v>2</v>
      </c>
      <c r="T272" s="87">
        <f t="shared" si="156"/>
        <v>0</v>
      </c>
      <c r="AA272">
        <v>2</v>
      </c>
      <c r="AB272" s="88" t="s">
        <v>542</v>
      </c>
      <c r="AD272">
        <f t="shared" si="190"/>
        <v>2</v>
      </c>
      <c r="AE272" s="89">
        <f>AD272*F272</f>
        <v>107.74</v>
      </c>
    </row>
    <row r="273" spans="2:31" ht="20.100000000000001" hidden="1" customHeight="1">
      <c r="B273" s="77">
        <v>3</v>
      </c>
      <c r="C273" s="78" t="s">
        <v>354</v>
      </c>
      <c r="D273" s="79" t="s">
        <v>543</v>
      </c>
      <c r="E273" s="80" t="s">
        <v>544</v>
      </c>
      <c r="F273" s="81">
        <v>53.87</v>
      </c>
      <c r="G273" s="222"/>
      <c r="H273" s="186"/>
      <c r="I273" s="186"/>
      <c r="J273" s="308"/>
      <c r="K273" s="227"/>
      <c r="L273" s="82">
        <f t="shared" ref="L273:L333" si="191">G273+I273-J273-K273+H273</f>
        <v>0</v>
      </c>
      <c r="M273" s="331"/>
      <c r="N273" s="161">
        <f t="shared" si="157"/>
        <v>0</v>
      </c>
      <c r="O273" s="161">
        <f t="shared" si="158"/>
        <v>0</v>
      </c>
      <c r="P273" s="187">
        <f t="shared" si="159"/>
        <v>0</v>
      </c>
      <c r="Q273" s="161">
        <f t="shared" si="160"/>
        <v>0</v>
      </c>
      <c r="R273" s="85"/>
      <c r="S273" s="86">
        <f t="shared" si="161"/>
        <v>3</v>
      </c>
      <c r="T273" s="87">
        <f t="shared" si="156"/>
        <v>-3</v>
      </c>
      <c r="U273">
        <v>2</v>
      </c>
      <c r="AA273">
        <v>1</v>
      </c>
      <c r="AB273" s="88" t="s">
        <v>545</v>
      </c>
      <c r="AD273">
        <f t="shared" si="190"/>
        <v>1</v>
      </c>
      <c r="AE273" s="89">
        <f>AD273*F273</f>
        <v>53.87</v>
      </c>
    </row>
    <row r="274" spans="2:31" ht="20.100000000000001" hidden="1" customHeight="1">
      <c r="B274" s="77">
        <v>3</v>
      </c>
      <c r="C274" s="78" t="s">
        <v>354</v>
      </c>
      <c r="D274" s="79" t="s">
        <v>546</v>
      </c>
      <c r="E274" s="80" t="s">
        <v>547</v>
      </c>
      <c r="F274" s="81">
        <v>53.87</v>
      </c>
      <c r="G274" s="222"/>
      <c r="H274" s="186"/>
      <c r="I274" s="186"/>
      <c r="J274" s="308"/>
      <c r="K274" s="227"/>
      <c r="L274" s="82">
        <f t="shared" si="191"/>
        <v>0</v>
      </c>
      <c r="M274" s="331"/>
      <c r="N274" s="161">
        <f t="shared" si="157"/>
        <v>0</v>
      </c>
      <c r="O274" s="161">
        <f t="shared" si="158"/>
        <v>0</v>
      </c>
      <c r="P274" s="187">
        <f t="shared" si="159"/>
        <v>0</v>
      </c>
      <c r="Q274" s="161">
        <f t="shared" si="160"/>
        <v>0</v>
      </c>
      <c r="R274" s="85"/>
      <c r="S274" s="86">
        <f t="shared" si="161"/>
        <v>0</v>
      </c>
      <c r="T274" s="87">
        <f t="shared" si="156"/>
        <v>0</v>
      </c>
    </row>
    <row r="275" spans="2:31" ht="20.100000000000001" hidden="1" customHeight="1">
      <c r="B275" s="77">
        <v>3</v>
      </c>
      <c r="C275" s="78" t="s">
        <v>354</v>
      </c>
      <c r="D275" s="79" t="s">
        <v>548</v>
      </c>
      <c r="E275" s="80" t="s">
        <v>549</v>
      </c>
      <c r="F275" s="81">
        <v>53.87</v>
      </c>
      <c r="G275" s="222"/>
      <c r="H275" s="186"/>
      <c r="I275" s="186"/>
      <c r="J275" s="308"/>
      <c r="K275" s="227"/>
      <c r="L275" s="82">
        <f t="shared" si="191"/>
        <v>0</v>
      </c>
      <c r="M275" s="331"/>
      <c r="N275" s="161">
        <f t="shared" si="157"/>
        <v>0</v>
      </c>
      <c r="O275" s="161">
        <f t="shared" si="158"/>
        <v>0</v>
      </c>
      <c r="P275" s="187">
        <f t="shared" si="159"/>
        <v>0</v>
      </c>
      <c r="Q275" s="161">
        <f t="shared" si="160"/>
        <v>0</v>
      </c>
      <c r="R275" s="85"/>
      <c r="S275" s="86">
        <f t="shared" si="161"/>
        <v>2</v>
      </c>
      <c r="T275" s="87">
        <f t="shared" si="156"/>
        <v>-2</v>
      </c>
      <c r="U275">
        <v>2</v>
      </c>
    </row>
    <row r="276" spans="2:31" ht="20.100000000000001" hidden="1" customHeight="1">
      <c r="B276" s="77">
        <v>3</v>
      </c>
      <c r="C276" s="78" t="s">
        <v>354</v>
      </c>
      <c r="D276" s="79" t="s">
        <v>550</v>
      </c>
      <c r="E276" s="80" t="s">
        <v>551</v>
      </c>
      <c r="F276" s="81">
        <v>7.48</v>
      </c>
      <c r="G276" s="222">
        <v>28</v>
      </c>
      <c r="H276" s="186"/>
      <c r="I276" s="186"/>
      <c r="J276" s="308"/>
      <c r="K276" s="227">
        <v>4</v>
      </c>
      <c r="L276" s="82">
        <f t="shared" si="191"/>
        <v>24</v>
      </c>
      <c r="M276" s="331">
        <v>24</v>
      </c>
      <c r="N276" s="161">
        <f t="shared" si="157"/>
        <v>179.52</v>
      </c>
      <c r="O276" s="161">
        <f t="shared" si="158"/>
        <v>179.52</v>
      </c>
      <c r="P276" s="187">
        <f t="shared" si="159"/>
        <v>0</v>
      </c>
      <c r="Q276" s="161">
        <f t="shared" si="160"/>
        <v>0</v>
      </c>
      <c r="R276" s="232" t="s">
        <v>3827</v>
      </c>
      <c r="S276" s="86">
        <f t="shared" si="161"/>
        <v>19</v>
      </c>
      <c r="T276" s="87">
        <f t="shared" si="156"/>
        <v>5</v>
      </c>
      <c r="U276">
        <v>19</v>
      </c>
    </row>
    <row r="277" spans="2:31" ht="20.100000000000001" hidden="1" customHeight="1">
      <c r="B277" s="77">
        <v>3</v>
      </c>
      <c r="C277" s="78" t="s">
        <v>354</v>
      </c>
      <c r="D277" s="79" t="s">
        <v>552</v>
      </c>
      <c r="E277" s="80" t="s">
        <v>553</v>
      </c>
      <c r="F277" s="81">
        <v>7.41</v>
      </c>
      <c r="G277" s="222">
        <v>16</v>
      </c>
      <c r="H277" s="186"/>
      <c r="I277" s="186"/>
      <c r="J277" s="308"/>
      <c r="K277" s="227">
        <v>14</v>
      </c>
      <c r="L277" s="82">
        <f t="shared" si="191"/>
        <v>2</v>
      </c>
      <c r="M277" s="331">
        <v>2</v>
      </c>
      <c r="N277" s="161">
        <f t="shared" si="157"/>
        <v>14.82</v>
      </c>
      <c r="O277" s="161">
        <f t="shared" si="158"/>
        <v>14.82</v>
      </c>
      <c r="P277" s="187">
        <f t="shared" si="159"/>
        <v>0</v>
      </c>
      <c r="Q277" s="161">
        <f t="shared" si="160"/>
        <v>0</v>
      </c>
      <c r="R277" s="85"/>
      <c r="S277" s="86">
        <f t="shared" si="161"/>
        <v>5</v>
      </c>
      <c r="T277" s="87">
        <f t="shared" si="156"/>
        <v>-3</v>
      </c>
      <c r="U277">
        <v>5</v>
      </c>
    </row>
    <row r="278" spans="2:31" ht="20.100000000000001" hidden="1" customHeight="1">
      <c r="B278" s="77">
        <v>3</v>
      </c>
      <c r="C278" s="78" t="s">
        <v>354</v>
      </c>
      <c r="D278" s="79" t="s">
        <v>554</v>
      </c>
      <c r="E278" s="80" t="s">
        <v>555</v>
      </c>
      <c r="F278" s="81">
        <v>85.25</v>
      </c>
      <c r="G278" s="222">
        <v>2</v>
      </c>
      <c r="H278" s="186"/>
      <c r="I278" s="186"/>
      <c r="J278" s="308"/>
      <c r="K278" s="227"/>
      <c r="L278" s="82">
        <f t="shared" si="191"/>
        <v>2</v>
      </c>
      <c r="M278" s="331">
        <v>2</v>
      </c>
      <c r="N278" s="161">
        <f t="shared" si="157"/>
        <v>170.5</v>
      </c>
      <c r="O278" s="161">
        <f t="shared" si="158"/>
        <v>170.5</v>
      </c>
      <c r="P278" s="187">
        <f t="shared" si="159"/>
        <v>0</v>
      </c>
      <c r="Q278" s="161">
        <f t="shared" si="160"/>
        <v>0</v>
      </c>
      <c r="R278" s="85"/>
      <c r="S278" s="86">
        <f t="shared" si="161"/>
        <v>5</v>
      </c>
      <c r="T278" s="87">
        <f t="shared" ref="T278:T335" si="192">M278-S278</f>
        <v>-3</v>
      </c>
      <c r="U278">
        <v>5</v>
      </c>
    </row>
    <row r="279" spans="2:31" ht="20.100000000000001" hidden="1" customHeight="1">
      <c r="B279" s="77">
        <v>3</v>
      </c>
      <c r="C279" s="78" t="s">
        <v>354</v>
      </c>
      <c r="D279" s="79" t="s">
        <v>556</v>
      </c>
      <c r="E279" s="80" t="s">
        <v>557</v>
      </c>
      <c r="F279" s="81">
        <v>21.25</v>
      </c>
      <c r="G279" s="222"/>
      <c r="H279" s="186"/>
      <c r="I279" s="186"/>
      <c r="J279" s="308"/>
      <c r="K279" s="227"/>
      <c r="L279" s="82">
        <f t="shared" si="191"/>
        <v>0</v>
      </c>
      <c r="M279" s="331"/>
      <c r="N279" s="161">
        <f t="shared" ref="N279:N335" si="193">F279*L279</f>
        <v>0</v>
      </c>
      <c r="O279" s="161">
        <f t="shared" ref="O279:O335" si="194">M279*F279</f>
        <v>0</v>
      </c>
      <c r="P279" s="187">
        <f t="shared" ref="P279:P335" si="195">L279-M279</f>
        <v>0</v>
      </c>
      <c r="Q279" s="161">
        <f t="shared" ref="Q279:Q335" si="196">N279-O279</f>
        <v>0</v>
      </c>
      <c r="R279" s="85"/>
      <c r="S279" s="86">
        <f t="shared" ref="S279:S335" si="197">U279+Y279+W279+AA279</f>
        <v>0</v>
      </c>
      <c r="T279" s="87">
        <f t="shared" si="192"/>
        <v>0</v>
      </c>
    </row>
    <row r="280" spans="2:31" ht="20.100000000000001" hidden="1" customHeight="1">
      <c r="B280" s="77">
        <v>3</v>
      </c>
      <c r="C280" s="78" t="s">
        <v>354</v>
      </c>
      <c r="D280" s="79" t="s">
        <v>558</v>
      </c>
      <c r="E280" s="80" t="s">
        <v>559</v>
      </c>
      <c r="F280" s="321">
        <v>91.4</v>
      </c>
      <c r="G280" s="222">
        <v>1</v>
      </c>
      <c r="H280" s="186"/>
      <c r="I280" s="186">
        <v>6</v>
      </c>
      <c r="J280" s="308"/>
      <c r="K280" s="227">
        <v>2</v>
      </c>
      <c r="L280" s="82">
        <f t="shared" si="191"/>
        <v>5</v>
      </c>
      <c r="M280" s="331">
        <v>5</v>
      </c>
      <c r="N280" s="161">
        <f t="shared" si="193"/>
        <v>457</v>
      </c>
      <c r="O280" s="161">
        <f t="shared" si="194"/>
        <v>457</v>
      </c>
      <c r="P280" s="187">
        <f t="shared" si="195"/>
        <v>0</v>
      </c>
      <c r="Q280" s="161">
        <f t="shared" si="196"/>
        <v>0</v>
      </c>
      <c r="R280" s="85"/>
      <c r="S280" s="86">
        <f t="shared" si="197"/>
        <v>3</v>
      </c>
      <c r="T280" s="87">
        <f t="shared" si="192"/>
        <v>2</v>
      </c>
      <c r="U280">
        <v>3</v>
      </c>
    </row>
    <row r="281" spans="2:31" ht="20.100000000000001" hidden="1" customHeight="1">
      <c r="B281" s="77">
        <v>3</v>
      </c>
      <c r="C281" s="78" t="s">
        <v>354</v>
      </c>
      <c r="D281" s="79" t="s">
        <v>560</v>
      </c>
      <c r="E281" s="80" t="s">
        <v>561</v>
      </c>
      <c r="F281" s="81">
        <v>92.8</v>
      </c>
      <c r="G281" s="222">
        <v>3</v>
      </c>
      <c r="H281" s="186"/>
      <c r="I281" s="186"/>
      <c r="J281" s="308"/>
      <c r="K281" s="227">
        <v>2</v>
      </c>
      <c r="L281" s="82">
        <f t="shared" si="191"/>
        <v>1</v>
      </c>
      <c r="M281" s="331">
        <v>1</v>
      </c>
      <c r="N281" s="161">
        <f t="shared" si="193"/>
        <v>92.8</v>
      </c>
      <c r="O281" s="161">
        <f t="shared" si="194"/>
        <v>92.8</v>
      </c>
      <c r="P281" s="187">
        <f t="shared" si="195"/>
        <v>0</v>
      </c>
      <c r="Q281" s="161">
        <f t="shared" si="196"/>
        <v>0</v>
      </c>
      <c r="R281" s="85"/>
      <c r="S281" s="86">
        <f t="shared" si="197"/>
        <v>0</v>
      </c>
      <c r="T281" s="87">
        <f t="shared" si="192"/>
        <v>1</v>
      </c>
    </row>
    <row r="282" spans="2:31" ht="20.100000000000001" hidden="1" customHeight="1">
      <c r="B282" s="77">
        <v>3</v>
      </c>
      <c r="C282" s="78" t="s">
        <v>354</v>
      </c>
      <c r="D282" s="79" t="s">
        <v>562</v>
      </c>
      <c r="E282" s="80" t="s">
        <v>563</v>
      </c>
      <c r="F282" s="81">
        <v>177.9</v>
      </c>
      <c r="G282" s="222">
        <v>5</v>
      </c>
      <c r="H282" s="186"/>
      <c r="I282" s="186"/>
      <c r="J282" s="308"/>
      <c r="K282" s="227"/>
      <c r="L282" s="82">
        <f t="shared" ref="L282" si="198">G282+I282-J282-K282+H282</f>
        <v>5</v>
      </c>
      <c r="M282" s="331">
        <v>5</v>
      </c>
      <c r="N282" s="161">
        <f t="shared" ref="N282" si="199">F282*L282</f>
        <v>889.5</v>
      </c>
      <c r="O282" s="161">
        <f t="shared" ref="O282" si="200">M282*F282</f>
        <v>889.5</v>
      </c>
      <c r="P282" s="187">
        <f t="shared" ref="P282" si="201">L282-M282</f>
        <v>0</v>
      </c>
      <c r="Q282" s="161">
        <f t="shared" ref="Q282" si="202">N282-O282</f>
        <v>0</v>
      </c>
      <c r="R282" s="85"/>
      <c r="S282" s="86">
        <f t="shared" ref="S282" si="203">U282+Y282+W282+AA282</f>
        <v>1</v>
      </c>
      <c r="T282" s="87">
        <f t="shared" ref="T282" si="204">M282-S282</f>
        <v>4</v>
      </c>
      <c r="U282">
        <v>1</v>
      </c>
    </row>
    <row r="283" spans="2:31" ht="20.100000000000001" hidden="1" customHeight="1">
      <c r="B283" s="77">
        <v>3</v>
      </c>
      <c r="C283" s="78" t="s">
        <v>354</v>
      </c>
      <c r="D283" s="79" t="s">
        <v>562</v>
      </c>
      <c r="E283" s="80" t="s">
        <v>563</v>
      </c>
      <c r="F283" s="273">
        <v>185</v>
      </c>
      <c r="G283" s="222"/>
      <c r="H283" s="186"/>
      <c r="I283" s="186">
        <v>3</v>
      </c>
      <c r="J283" s="308"/>
      <c r="K283" s="227">
        <v>3</v>
      </c>
      <c r="L283" s="82">
        <f t="shared" si="191"/>
        <v>0</v>
      </c>
      <c r="M283" s="331"/>
      <c r="N283" s="161">
        <f t="shared" si="193"/>
        <v>0</v>
      </c>
      <c r="O283" s="161">
        <f t="shared" si="194"/>
        <v>0</v>
      </c>
      <c r="P283" s="187">
        <f t="shared" si="195"/>
        <v>0</v>
      </c>
      <c r="Q283" s="161">
        <f t="shared" si="196"/>
        <v>0</v>
      </c>
      <c r="R283" s="85"/>
      <c r="S283" s="86">
        <f t="shared" si="197"/>
        <v>1</v>
      </c>
      <c r="T283" s="87">
        <f t="shared" si="192"/>
        <v>-1</v>
      </c>
      <c r="U283">
        <v>1</v>
      </c>
    </row>
    <row r="284" spans="2:31" ht="20.100000000000001" hidden="1" customHeight="1">
      <c r="B284" s="77">
        <v>3</v>
      </c>
      <c r="C284" s="78" t="s">
        <v>354</v>
      </c>
      <c r="D284" s="79" t="s">
        <v>564</v>
      </c>
      <c r="E284" s="80" t="s">
        <v>565</v>
      </c>
      <c r="F284" s="81">
        <v>96</v>
      </c>
      <c r="G284" s="222"/>
      <c r="H284" s="186"/>
      <c r="I284" s="186"/>
      <c r="J284" s="308"/>
      <c r="K284" s="227"/>
      <c r="L284" s="82">
        <f t="shared" si="191"/>
        <v>0</v>
      </c>
      <c r="M284" s="331">
        <v>0</v>
      </c>
      <c r="N284" s="161">
        <f t="shared" si="193"/>
        <v>0</v>
      </c>
      <c r="O284" s="161">
        <f t="shared" si="194"/>
        <v>0</v>
      </c>
      <c r="P284" s="187">
        <f t="shared" si="195"/>
        <v>0</v>
      </c>
      <c r="Q284" s="161">
        <f t="shared" si="196"/>
        <v>0</v>
      </c>
      <c r="R284" s="85"/>
      <c r="S284" s="86">
        <f t="shared" si="197"/>
        <v>0</v>
      </c>
      <c r="T284" s="87">
        <f t="shared" si="192"/>
        <v>0</v>
      </c>
    </row>
    <row r="285" spans="2:31" ht="20.100000000000001" hidden="1" customHeight="1">
      <c r="B285" s="77">
        <v>3</v>
      </c>
      <c r="C285" s="78" t="s">
        <v>354</v>
      </c>
      <c r="D285" s="79" t="s">
        <v>566</v>
      </c>
      <c r="E285" s="80" t="s">
        <v>567</v>
      </c>
      <c r="F285" s="81">
        <v>83</v>
      </c>
      <c r="G285" s="222">
        <v>10</v>
      </c>
      <c r="H285" s="186"/>
      <c r="I285" s="186"/>
      <c r="J285" s="308"/>
      <c r="K285" s="227"/>
      <c r="L285" s="82">
        <f t="shared" si="191"/>
        <v>10</v>
      </c>
      <c r="M285" s="331">
        <v>10</v>
      </c>
      <c r="N285" s="161">
        <f t="shared" si="193"/>
        <v>830</v>
      </c>
      <c r="O285" s="161">
        <f t="shared" si="194"/>
        <v>830</v>
      </c>
      <c r="P285" s="187">
        <f t="shared" si="195"/>
        <v>0</v>
      </c>
      <c r="Q285" s="161">
        <f t="shared" si="196"/>
        <v>0</v>
      </c>
      <c r="R285" s="91">
        <v>45283</v>
      </c>
      <c r="S285" s="86">
        <f t="shared" si="197"/>
        <v>10</v>
      </c>
      <c r="T285" s="87">
        <f t="shared" si="192"/>
        <v>0</v>
      </c>
      <c r="W285">
        <v>10</v>
      </c>
      <c r="X285" t="s">
        <v>523</v>
      </c>
      <c r="AD285">
        <f t="shared" ref="AD285:AD286" si="205">W285</f>
        <v>10</v>
      </c>
      <c r="AE285" s="89">
        <f>AD285*F285</f>
        <v>830</v>
      </c>
    </row>
    <row r="286" spans="2:31" ht="20.100000000000001" hidden="1" customHeight="1">
      <c r="B286" s="77">
        <v>3</v>
      </c>
      <c r="C286" s="78" t="s">
        <v>354</v>
      </c>
      <c r="D286" s="79" t="s">
        <v>568</v>
      </c>
      <c r="E286" s="80" t="s">
        <v>569</v>
      </c>
      <c r="F286" s="81">
        <v>5.68</v>
      </c>
      <c r="G286" s="222"/>
      <c r="H286" s="186"/>
      <c r="I286" s="186"/>
      <c r="J286" s="308"/>
      <c r="K286" s="227"/>
      <c r="L286" s="82">
        <f t="shared" si="191"/>
        <v>0</v>
      </c>
      <c r="M286" s="331"/>
      <c r="N286" s="161">
        <f t="shared" si="193"/>
        <v>0</v>
      </c>
      <c r="O286" s="161">
        <f t="shared" si="194"/>
        <v>0</v>
      </c>
      <c r="P286" s="187">
        <f t="shared" si="195"/>
        <v>0</v>
      </c>
      <c r="Q286" s="161">
        <f t="shared" si="196"/>
        <v>0</v>
      </c>
      <c r="R286" s="85" t="s">
        <v>570</v>
      </c>
      <c r="S286" s="86">
        <f t="shared" si="197"/>
        <v>1</v>
      </c>
      <c r="T286" s="87">
        <f t="shared" si="192"/>
        <v>-1</v>
      </c>
      <c r="W286">
        <v>1</v>
      </c>
      <c r="X286" t="s">
        <v>121</v>
      </c>
      <c r="AD286">
        <f t="shared" si="205"/>
        <v>1</v>
      </c>
      <c r="AE286" s="89">
        <f>AD286*F286</f>
        <v>5.68</v>
      </c>
    </row>
    <row r="287" spans="2:31" ht="20.100000000000001" hidden="1" customHeight="1">
      <c r="B287" s="77">
        <v>3</v>
      </c>
      <c r="C287" s="78" t="s">
        <v>354</v>
      </c>
      <c r="D287" s="79" t="s">
        <v>571</v>
      </c>
      <c r="E287" s="80" t="s">
        <v>572</v>
      </c>
      <c r="F287" s="81">
        <v>58.8</v>
      </c>
      <c r="G287" s="222"/>
      <c r="H287" s="186"/>
      <c r="I287" s="186"/>
      <c r="J287" s="308"/>
      <c r="K287" s="227"/>
      <c r="L287" s="82">
        <f t="shared" si="191"/>
        <v>0</v>
      </c>
      <c r="M287" s="331"/>
      <c r="N287" s="161">
        <f t="shared" si="193"/>
        <v>0</v>
      </c>
      <c r="O287" s="161">
        <f t="shared" si="194"/>
        <v>0</v>
      </c>
      <c r="P287" s="187">
        <f t="shared" si="195"/>
        <v>0</v>
      </c>
      <c r="Q287" s="161">
        <f t="shared" si="196"/>
        <v>0</v>
      </c>
      <c r="R287" s="85"/>
      <c r="S287" s="86">
        <f t="shared" si="197"/>
        <v>0</v>
      </c>
      <c r="T287" s="87">
        <f t="shared" si="192"/>
        <v>0</v>
      </c>
    </row>
    <row r="288" spans="2:31" ht="20.100000000000001" hidden="1" customHeight="1">
      <c r="B288" s="77">
        <v>3</v>
      </c>
      <c r="C288" s="78" t="s">
        <v>354</v>
      </c>
      <c r="D288" s="79" t="s">
        <v>571</v>
      </c>
      <c r="E288" s="80" t="s">
        <v>572</v>
      </c>
      <c r="F288" s="81">
        <v>58.8</v>
      </c>
      <c r="G288" s="222">
        <v>6</v>
      </c>
      <c r="H288" s="186"/>
      <c r="I288" s="186"/>
      <c r="J288" s="308"/>
      <c r="K288" s="227"/>
      <c r="L288" s="82">
        <f t="shared" si="191"/>
        <v>6</v>
      </c>
      <c r="M288" s="331">
        <v>6</v>
      </c>
      <c r="N288" s="161">
        <f t="shared" si="193"/>
        <v>352.79999999999995</v>
      </c>
      <c r="O288" s="161">
        <f t="shared" si="194"/>
        <v>352.79999999999995</v>
      </c>
      <c r="P288" s="187">
        <f t="shared" si="195"/>
        <v>0</v>
      </c>
      <c r="Q288" s="161">
        <f t="shared" si="196"/>
        <v>0</v>
      </c>
      <c r="R288" s="85"/>
      <c r="S288" s="86">
        <f t="shared" si="197"/>
        <v>6</v>
      </c>
      <c r="T288" s="87">
        <f t="shared" si="192"/>
        <v>0</v>
      </c>
      <c r="U288">
        <v>6</v>
      </c>
    </row>
    <row r="289" spans="2:31" ht="20.100000000000001" hidden="1" customHeight="1">
      <c r="B289" s="77">
        <v>3</v>
      </c>
      <c r="C289" s="78" t="s">
        <v>354</v>
      </c>
      <c r="D289" s="79" t="s">
        <v>573</v>
      </c>
      <c r="E289" s="80" t="s">
        <v>574</v>
      </c>
      <c r="F289" s="81">
        <v>59.5</v>
      </c>
      <c r="G289" s="222">
        <v>2</v>
      </c>
      <c r="H289" s="186"/>
      <c r="I289" s="186"/>
      <c r="J289" s="308"/>
      <c r="K289" s="227"/>
      <c r="L289" s="82">
        <f t="shared" si="191"/>
        <v>2</v>
      </c>
      <c r="M289" s="331">
        <v>2</v>
      </c>
      <c r="N289" s="161">
        <f t="shared" si="193"/>
        <v>119</v>
      </c>
      <c r="O289" s="161">
        <f t="shared" si="194"/>
        <v>119</v>
      </c>
      <c r="P289" s="187">
        <f t="shared" si="195"/>
        <v>0</v>
      </c>
      <c r="Q289" s="161">
        <f t="shared" si="196"/>
        <v>0</v>
      </c>
      <c r="R289" s="85"/>
      <c r="S289" s="86">
        <f t="shared" si="197"/>
        <v>3</v>
      </c>
      <c r="T289" s="87">
        <f t="shared" si="192"/>
        <v>-1</v>
      </c>
      <c r="U289">
        <v>1</v>
      </c>
      <c r="W289">
        <v>2</v>
      </c>
      <c r="X289" t="s">
        <v>121</v>
      </c>
      <c r="AD289">
        <f>W289</f>
        <v>2</v>
      </c>
      <c r="AE289" s="89">
        <f>AD289*F289</f>
        <v>119</v>
      </c>
    </row>
    <row r="290" spans="2:31" ht="20.100000000000001" hidden="1" customHeight="1">
      <c r="B290" s="77">
        <v>3</v>
      </c>
      <c r="C290" s="78" t="s">
        <v>354</v>
      </c>
      <c r="D290" s="79" t="s">
        <v>575</v>
      </c>
      <c r="E290" s="80" t="s">
        <v>576</v>
      </c>
      <c r="F290" s="81">
        <v>10</v>
      </c>
      <c r="G290" s="222"/>
      <c r="H290" s="186"/>
      <c r="I290" s="186"/>
      <c r="J290" s="308"/>
      <c r="K290" s="227"/>
      <c r="L290" s="82">
        <f t="shared" si="191"/>
        <v>0</v>
      </c>
      <c r="M290" s="331"/>
      <c r="N290" s="161">
        <f t="shared" si="193"/>
        <v>0</v>
      </c>
      <c r="O290" s="161">
        <f t="shared" si="194"/>
        <v>0</v>
      </c>
      <c r="P290" s="187">
        <f t="shared" si="195"/>
        <v>0</v>
      </c>
      <c r="Q290" s="161">
        <f t="shared" si="196"/>
        <v>0</v>
      </c>
      <c r="R290" s="85"/>
      <c r="S290" s="86">
        <f t="shared" si="197"/>
        <v>0</v>
      </c>
      <c r="T290" s="87">
        <f t="shared" si="192"/>
        <v>0</v>
      </c>
    </row>
    <row r="291" spans="2:31" ht="20.100000000000001" hidden="1" customHeight="1">
      <c r="B291" s="77">
        <v>3</v>
      </c>
      <c r="C291" s="78" t="s">
        <v>354</v>
      </c>
      <c r="D291" s="79" t="s">
        <v>577</v>
      </c>
      <c r="E291" s="80" t="s">
        <v>578</v>
      </c>
      <c r="F291" s="81">
        <v>5.88</v>
      </c>
      <c r="G291" s="222"/>
      <c r="H291" s="186"/>
      <c r="I291" s="186"/>
      <c r="J291" s="308"/>
      <c r="K291" s="227"/>
      <c r="L291" s="82">
        <f t="shared" si="191"/>
        <v>0</v>
      </c>
      <c r="M291" s="331"/>
      <c r="N291" s="161">
        <f t="shared" si="193"/>
        <v>0</v>
      </c>
      <c r="O291" s="161">
        <f t="shared" si="194"/>
        <v>0</v>
      </c>
      <c r="P291" s="187">
        <f t="shared" si="195"/>
        <v>0</v>
      </c>
      <c r="Q291" s="161">
        <f t="shared" si="196"/>
        <v>0</v>
      </c>
      <c r="R291" s="85"/>
      <c r="S291" s="86">
        <f t="shared" si="197"/>
        <v>0</v>
      </c>
      <c r="T291" s="87">
        <f t="shared" si="192"/>
        <v>0</v>
      </c>
    </row>
    <row r="292" spans="2:31" ht="20.100000000000001" hidden="1" customHeight="1">
      <c r="B292" s="77">
        <v>3</v>
      </c>
      <c r="C292" s="78" t="s">
        <v>354</v>
      </c>
      <c r="D292" s="79" t="s">
        <v>579</v>
      </c>
      <c r="E292" s="80" t="s">
        <v>580</v>
      </c>
      <c r="F292" s="81">
        <v>58.8</v>
      </c>
      <c r="G292" s="222">
        <v>9</v>
      </c>
      <c r="H292" s="186"/>
      <c r="I292" s="186"/>
      <c r="J292" s="308"/>
      <c r="K292" s="227"/>
      <c r="L292" s="82">
        <f t="shared" si="191"/>
        <v>9</v>
      </c>
      <c r="M292" s="331">
        <v>9</v>
      </c>
      <c r="N292" s="161">
        <f t="shared" si="193"/>
        <v>529.19999999999993</v>
      </c>
      <c r="O292" s="161">
        <f t="shared" si="194"/>
        <v>529.19999999999993</v>
      </c>
      <c r="P292" s="187">
        <f t="shared" si="195"/>
        <v>0</v>
      </c>
      <c r="Q292" s="161">
        <f t="shared" si="196"/>
        <v>0</v>
      </c>
      <c r="R292" s="85"/>
      <c r="S292" s="86">
        <f t="shared" si="197"/>
        <v>5</v>
      </c>
      <c r="T292" s="87">
        <f t="shared" si="192"/>
        <v>4</v>
      </c>
      <c r="U292">
        <v>4</v>
      </c>
      <c r="AA292">
        <v>1</v>
      </c>
      <c r="AB292" s="88" t="s">
        <v>581</v>
      </c>
    </row>
    <row r="293" spans="2:31" ht="20.100000000000001" hidden="1" customHeight="1">
      <c r="B293" s="77">
        <v>3</v>
      </c>
      <c r="C293" s="78" t="s">
        <v>354</v>
      </c>
      <c r="D293" s="79" t="s">
        <v>582</v>
      </c>
      <c r="E293" s="80" t="s">
        <v>583</v>
      </c>
      <c r="F293" s="81">
        <v>219.5</v>
      </c>
      <c r="G293" s="222"/>
      <c r="H293" s="186"/>
      <c r="I293" s="186"/>
      <c r="J293" s="308"/>
      <c r="K293" s="227"/>
      <c r="L293" s="82">
        <f t="shared" si="191"/>
        <v>0</v>
      </c>
      <c r="M293" s="331"/>
      <c r="N293" s="161">
        <f t="shared" si="193"/>
        <v>0</v>
      </c>
      <c r="O293" s="161">
        <f t="shared" si="194"/>
        <v>0</v>
      </c>
      <c r="P293" s="187">
        <f t="shared" si="195"/>
        <v>0</v>
      </c>
      <c r="Q293" s="161">
        <f t="shared" si="196"/>
        <v>0</v>
      </c>
      <c r="R293" s="85"/>
      <c r="S293" s="86">
        <f t="shared" si="197"/>
        <v>0</v>
      </c>
      <c r="T293" s="87">
        <f t="shared" si="192"/>
        <v>0</v>
      </c>
    </row>
    <row r="294" spans="2:31" ht="20.100000000000001" hidden="1" customHeight="1">
      <c r="B294" s="77">
        <v>3</v>
      </c>
      <c r="C294" s="78" t="s">
        <v>354</v>
      </c>
      <c r="D294" s="79" t="s">
        <v>584</v>
      </c>
      <c r="E294" s="80" t="s">
        <v>585</v>
      </c>
      <c r="F294" s="81">
        <v>59.5</v>
      </c>
      <c r="G294" s="222">
        <v>7</v>
      </c>
      <c r="H294" s="186"/>
      <c r="I294" s="186"/>
      <c r="J294" s="308"/>
      <c r="K294" s="227"/>
      <c r="L294" s="82">
        <f t="shared" si="191"/>
        <v>7</v>
      </c>
      <c r="M294" s="331">
        <v>7</v>
      </c>
      <c r="N294" s="161">
        <f t="shared" si="193"/>
        <v>416.5</v>
      </c>
      <c r="O294" s="161">
        <f t="shared" si="194"/>
        <v>416.5</v>
      </c>
      <c r="P294" s="187">
        <f t="shared" si="195"/>
        <v>0</v>
      </c>
      <c r="Q294" s="161">
        <f t="shared" si="196"/>
        <v>0</v>
      </c>
      <c r="R294" s="85"/>
      <c r="S294" s="86">
        <f t="shared" si="197"/>
        <v>9</v>
      </c>
      <c r="T294" s="87">
        <f t="shared" si="192"/>
        <v>-2</v>
      </c>
      <c r="U294">
        <v>2</v>
      </c>
      <c r="W294">
        <v>7</v>
      </c>
      <c r="X294" t="s">
        <v>121</v>
      </c>
      <c r="AD294">
        <f>W294</f>
        <v>7</v>
      </c>
      <c r="AE294" s="89">
        <f>AD294*F294</f>
        <v>416.5</v>
      </c>
    </row>
    <row r="295" spans="2:31" ht="20.100000000000001" hidden="1" customHeight="1">
      <c r="B295" s="77">
        <v>3</v>
      </c>
      <c r="C295" s="78" t="s">
        <v>354</v>
      </c>
      <c r="D295" s="79" t="s">
        <v>586</v>
      </c>
      <c r="E295" s="80" t="s">
        <v>587</v>
      </c>
      <c r="F295" s="81">
        <v>12.25</v>
      </c>
      <c r="G295" s="222"/>
      <c r="H295" s="186"/>
      <c r="I295" s="186"/>
      <c r="J295" s="308"/>
      <c r="K295" s="227"/>
      <c r="L295" s="82">
        <f t="shared" si="191"/>
        <v>0</v>
      </c>
      <c r="M295" s="331"/>
      <c r="N295" s="161">
        <f t="shared" si="193"/>
        <v>0</v>
      </c>
      <c r="O295" s="161">
        <f t="shared" si="194"/>
        <v>0</v>
      </c>
      <c r="P295" s="187">
        <f t="shared" si="195"/>
        <v>0</v>
      </c>
      <c r="Q295" s="161">
        <f t="shared" si="196"/>
        <v>0</v>
      </c>
      <c r="R295" s="85"/>
      <c r="S295" s="86">
        <f t="shared" si="197"/>
        <v>0</v>
      </c>
      <c r="T295" s="87">
        <f t="shared" si="192"/>
        <v>0</v>
      </c>
    </row>
    <row r="296" spans="2:31" ht="20.100000000000001" hidden="1" customHeight="1">
      <c r="B296" s="77">
        <v>3</v>
      </c>
      <c r="C296" s="78" t="s">
        <v>354</v>
      </c>
      <c r="D296" s="79" t="s">
        <v>588</v>
      </c>
      <c r="E296" s="80" t="s">
        <v>589</v>
      </c>
      <c r="F296" s="81">
        <v>50.5</v>
      </c>
      <c r="G296" s="222">
        <v>5</v>
      </c>
      <c r="H296" s="186"/>
      <c r="I296" s="186"/>
      <c r="J296" s="308"/>
      <c r="K296" s="227">
        <v>1</v>
      </c>
      <c r="L296" s="82">
        <f t="shared" si="191"/>
        <v>4</v>
      </c>
      <c r="M296" s="331">
        <v>4</v>
      </c>
      <c r="N296" s="161">
        <f t="shared" si="193"/>
        <v>202</v>
      </c>
      <c r="O296" s="161">
        <f t="shared" si="194"/>
        <v>202</v>
      </c>
      <c r="P296" s="187">
        <f t="shared" si="195"/>
        <v>0</v>
      </c>
      <c r="Q296" s="161">
        <f t="shared" si="196"/>
        <v>0</v>
      </c>
      <c r="R296" s="85"/>
      <c r="S296" s="86">
        <f t="shared" si="197"/>
        <v>5</v>
      </c>
      <c r="T296" s="87">
        <f t="shared" si="192"/>
        <v>-1</v>
      </c>
      <c r="U296">
        <v>5</v>
      </c>
    </row>
    <row r="297" spans="2:31" ht="20.100000000000001" hidden="1" customHeight="1">
      <c r="B297" s="77">
        <v>3</v>
      </c>
      <c r="C297" s="78" t="s">
        <v>354</v>
      </c>
      <c r="D297" s="79" t="s">
        <v>590</v>
      </c>
      <c r="E297" s="80" t="s">
        <v>591</v>
      </c>
      <c r="F297" s="81">
        <v>12.25</v>
      </c>
      <c r="G297" s="222"/>
      <c r="H297" s="186"/>
      <c r="I297" s="186"/>
      <c r="J297" s="308"/>
      <c r="K297" s="227"/>
      <c r="L297" s="82">
        <f t="shared" si="191"/>
        <v>0</v>
      </c>
      <c r="M297" s="331"/>
      <c r="N297" s="161">
        <f t="shared" si="193"/>
        <v>0</v>
      </c>
      <c r="O297" s="161">
        <f t="shared" si="194"/>
        <v>0</v>
      </c>
      <c r="P297" s="187">
        <f t="shared" si="195"/>
        <v>0</v>
      </c>
      <c r="Q297" s="161">
        <f t="shared" si="196"/>
        <v>0</v>
      </c>
      <c r="R297" s="85"/>
      <c r="S297" s="86">
        <f t="shared" si="197"/>
        <v>0</v>
      </c>
      <c r="T297" s="87">
        <f t="shared" si="192"/>
        <v>0</v>
      </c>
    </row>
    <row r="298" spans="2:31" ht="20.100000000000001" hidden="1" customHeight="1">
      <c r="B298" s="77">
        <v>3</v>
      </c>
      <c r="C298" s="78" t="s">
        <v>354</v>
      </c>
      <c r="D298" s="79" t="s">
        <v>590</v>
      </c>
      <c r="E298" s="80" t="s">
        <v>591</v>
      </c>
      <c r="F298" s="81">
        <v>12.25</v>
      </c>
      <c r="G298" s="222"/>
      <c r="H298" s="186"/>
      <c r="I298" s="186"/>
      <c r="J298" s="308"/>
      <c r="K298" s="227"/>
      <c r="L298" s="82">
        <f t="shared" si="191"/>
        <v>0</v>
      </c>
      <c r="M298" s="331"/>
      <c r="N298" s="161">
        <f t="shared" si="193"/>
        <v>0</v>
      </c>
      <c r="O298" s="161">
        <f t="shared" si="194"/>
        <v>0</v>
      </c>
      <c r="P298" s="187">
        <f t="shared" si="195"/>
        <v>0</v>
      </c>
      <c r="Q298" s="161">
        <f t="shared" si="196"/>
        <v>0</v>
      </c>
      <c r="R298" s="85"/>
      <c r="S298" s="86">
        <f t="shared" si="197"/>
        <v>0</v>
      </c>
      <c r="T298" s="87">
        <f t="shared" si="192"/>
        <v>0</v>
      </c>
    </row>
    <row r="299" spans="2:31" ht="20.100000000000001" hidden="1" customHeight="1">
      <c r="B299" s="77">
        <v>3</v>
      </c>
      <c r="C299" s="78" t="s">
        <v>354</v>
      </c>
      <c r="D299" s="79" t="s">
        <v>592</v>
      </c>
      <c r="E299" s="80" t="s">
        <v>593</v>
      </c>
      <c r="F299" s="81">
        <v>57.25</v>
      </c>
      <c r="G299" s="222">
        <v>2</v>
      </c>
      <c r="H299" s="186"/>
      <c r="I299" s="186"/>
      <c r="J299" s="308"/>
      <c r="K299" s="227"/>
      <c r="L299" s="82">
        <f t="shared" si="191"/>
        <v>2</v>
      </c>
      <c r="M299" s="331">
        <v>2</v>
      </c>
      <c r="N299" s="161">
        <f t="shared" si="193"/>
        <v>114.5</v>
      </c>
      <c r="O299" s="161">
        <f t="shared" si="194"/>
        <v>114.5</v>
      </c>
      <c r="P299" s="187">
        <f t="shared" si="195"/>
        <v>0</v>
      </c>
      <c r="Q299" s="161">
        <f t="shared" si="196"/>
        <v>0</v>
      </c>
      <c r="R299" s="85"/>
      <c r="S299" s="86">
        <f t="shared" si="197"/>
        <v>4</v>
      </c>
      <c r="T299" s="87">
        <f t="shared" si="192"/>
        <v>-2</v>
      </c>
      <c r="U299">
        <v>4</v>
      </c>
    </row>
    <row r="300" spans="2:31" ht="20.100000000000001" hidden="1" customHeight="1">
      <c r="B300" s="77">
        <v>3</v>
      </c>
      <c r="C300" s="78" t="s">
        <v>354</v>
      </c>
      <c r="D300" s="79" t="s">
        <v>594</v>
      </c>
      <c r="E300" s="80" t="s">
        <v>595</v>
      </c>
      <c r="F300" s="81">
        <v>12.25</v>
      </c>
      <c r="G300" s="222"/>
      <c r="H300" s="186"/>
      <c r="I300" s="186"/>
      <c r="J300" s="308"/>
      <c r="K300" s="227"/>
      <c r="L300" s="82">
        <f t="shared" si="191"/>
        <v>0</v>
      </c>
      <c r="M300" s="331"/>
      <c r="N300" s="161">
        <f t="shared" si="193"/>
        <v>0</v>
      </c>
      <c r="O300" s="161">
        <f t="shared" si="194"/>
        <v>0</v>
      </c>
      <c r="P300" s="187">
        <f t="shared" si="195"/>
        <v>0</v>
      </c>
      <c r="Q300" s="161">
        <f t="shared" si="196"/>
        <v>0</v>
      </c>
      <c r="R300" s="85"/>
      <c r="S300" s="86">
        <f t="shared" si="197"/>
        <v>0</v>
      </c>
      <c r="T300" s="87">
        <f t="shared" si="192"/>
        <v>0</v>
      </c>
    </row>
    <row r="301" spans="2:31" ht="20.100000000000001" hidden="1" customHeight="1">
      <c r="B301" s="77">
        <v>3</v>
      </c>
      <c r="C301" s="78" t="s">
        <v>354</v>
      </c>
      <c r="D301" s="79" t="s">
        <v>596</v>
      </c>
      <c r="E301" s="80" t="s">
        <v>597</v>
      </c>
      <c r="F301" s="81">
        <v>50.5</v>
      </c>
      <c r="G301" s="222">
        <v>3</v>
      </c>
      <c r="H301" s="186"/>
      <c r="I301" s="186"/>
      <c r="J301" s="308"/>
      <c r="K301" s="227"/>
      <c r="L301" s="82">
        <f t="shared" si="191"/>
        <v>3</v>
      </c>
      <c r="M301" s="331">
        <v>3</v>
      </c>
      <c r="N301" s="161">
        <f t="shared" si="193"/>
        <v>151.5</v>
      </c>
      <c r="O301" s="161">
        <f t="shared" si="194"/>
        <v>151.5</v>
      </c>
      <c r="P301" s="187">
        <f t="shared" si="195"/>
        <v>0</v>
      </c>
      <c r="Q301" s="161">
        <f t="shared" si="196"/>
        <v>0</v>
      </c>
      <c r="R301" s="85"/>
      <c r="S301" s="86">
        <f t="shared" si="197"/>
        <v>2</v>
      </c>
      <c r="T301" s="87">
        <f t="shared" si="192"/>
        <v>1</v>
      </c>
      <c r="U301">
        <v>2</v>
      </c>
    </row>
    <row r="302" spans="2:31" ht="20.100000000000001" hidden="1" customHeight="1">
      <c r="B302" s="77">
        <v>3</v>
      </c>
      <c r="C302" s="78" t="s">
        <v>354</v>
      </c>
      <c r="D302" s="79" t="s">
        <v>598</v>
      </c>
      <c r="E302" s="80" t="s">
        <v>599</v>
      </c>
      <c r="F302" s="81">
        <v>50.5</v>
      </c>
      <c r="G302" s="222"/>
      <c r="H302" s="186"/>
      <c r="I302" s="186"/>
      <c r="J302" s="308"/>
      <c r="K302" s="227"/>
      <c r="L302" s="82">
        <f t="shared" si="191"/>
        <v>0</v>
      </c>
      <c r="M302" s="331"/>
      <c r="N302" s="161">
        <f t="shared" si="193"/>
        <v>0</v>
      </c>
      <c r="O302" s="161">
        <f t="shared" si="194"/>
        <v>0</v>
      </c>
      <c r="P302" s="187">
        <f t="shared" si="195"/>
        <v>0</v>
      </c>
      <c r="Q302" s="161">
        <f t="shared" si="196"/>
        <v>0</v>
      </c>
      <c r="R302" s="85"/>
      <c r="S302" s="86">
        <f t="shared" si="197"/>
        <v>0</v>
      </c>
      <c r="T302" s="87">
        <f t="shared" si="192"/>
        <v>0</v>
      </c>
    </row>
    <row r="303" spans="2:31" ht="20.100000000000001" hidden="1" customHeight="1">
      <c r="B303" s="77">
        <v>3</v>
      </c>
      <c r="C303" s="78" t="s">
        <v>354</v>
      </c>
      <c r="D303" s="79" t="s">
        <v>598</v>
      </c>
      <c r="E303" s="80" t="s">
        <v>599</v>
      </c>
      <c r="F303" s="81">
        <v>50.5</v>
      </c>
      <c r="G303" s="222">
        <v>5</v>
      </c>
      <c r="H303" s="186"/>
      <c r="I303" s="186"/>
      <c r="J303" s="308"/>
      <c r="K303" s="227"/>
      <c r="L303" s="82">
        <f t="shared" si="191"/>
        <v>5</v>
      </c>
      <c r="M303" s="331">
        <v>5</v>
      </c>
      <c r="N303" s="161">
        <f t="shared" si="193"/>
        <v>252.5</v>
      </c>
      <c r="O303" s="161">
        <f t="shared" si="194"/>
        <v>252.5</v>
      </c>
      <c r="P303" s="187">
        <f t="shared" si="195"/>
        <v>0</v>
      </c>
      <c r="Q303" s="161">
        <f t="shared" si="196"/>
        <v>0</v>
      </c>
      <c r="R303" s="85"/>
      <c r="S303" s="86">
        <f t="shared" si="197"/>
        <v>7</v>
      </c>
      <c r="T303" s="87">
        <f t="shared" si="192"/>
        <v>-2</v>
      </c>
      <c r="U303">
        <v>7</v>
      </c>
    </row>
    <row r="304" spans="2:31" ht="20.100000000000001" hidden="1" customHeight="1">
      <c r="B304" s="77">
        <v>3</v>
      </c>
      <c r="C304" s="78" t="s">
        <v>354</v>
      </c>
      <c r="D304" s="79" t="s">
        <v>600</v>
      </c>
      <c r="E304" s="80" t="s">
        <v>601</v>
      </c>
      <c r="F304" s="81">
        <v>67.28</v>
      </c>
      <c r="G304" s="222">
        <v>1</v>
      </c>
      <c r="H304" s="186"/>
      <c r="I304" s="186"/>
      <c r="J304" s="308">
        <v>1</v>
      </c>
      <c r="K304" s="227"/>
      <c r="L304" s="82">
        <f t="shared" si="191"/>
        <v>0</v>
      </c>
      <c r="M304" s="331">
        <v>0</v>
      </c>
      <c r="N304" s="161">
        <f t="shared" si="193"/>
        <v>0</v>
      </c>
      <c r="O304" s="161">
        <f t="shared" si="194"/>
        <v>0</v>
      </c>
      <c r="P304" s="187">
        <f t="shared" si="195"/>
        <v>0</v>
      </c>
      <c r="Q304" s="161">
        <f t="shared" si="196"/>
        <v>0</v>
      </c>
      <c r="R304" s="85"/>
      <c r="S304" s="86">
        <f t="shared" si="197"/>
        <v>1</v>
      </c>
      <c r="T304" s="87">
        <f t="shared" si="192"/>
        <v>-1</v>
      </c>
      <c r="U304">
        <v>1</v>
      </c>
    </row>
    <row r="305" spans="2:31" ht="20.100000000000001" hidden="1" customHeight="1">
      <c r="B305" s="77">
        <v>3</v>
      </c>
      <c r="C305" s="78" t="s">
        <v>354</v>
      </c>
      <c r="D305" s="79" t="s">
        <v>602</v>
      </c>
      <c r="E305" s="80" t="s">
        <v>603</v>
      </c>
      <c r="F305" s="81">
        <v>70.91</v>
      </c>
      <c r="G305" s="222">
        <v>3</v>
      </c>
      <c r="H305" s="186"/>
      <c r="I305" s="186"/>
      <c r="J305" s="308">
        <v>1</v>
      </c>
      <c r="K305" s="227"/>
      <c r="L305" s="82">
        <f t="shared" si="191"/>
        <v>2</v>
      </c>
      <c r="M305" s="331">
        <v>2</v>
      </c>
      <c r="N305" s="161">
        <f t="shared" si="193"/>
        <v>141.82</v>
      </c>
      <c r="O305" s="161">
        <f t="shared" si="194"/>
        <v>141.82</v>
      </c>
      <c r="P305" s="187">
        <f t="shared" si="195"/>
        <v>0</v>
      </c>
      <c r="Q305" s="161">
        <f t="shared" si="196"/>
        <v>0</v>
      </c>
      <c r="R305" s="85" t="s">
        <v>604</v>
      </c>
      <c r="S305" s="86">
        <f t="shared" si="197"/>
        <v>10</v>
      </c>
      <c r="T305" s="87">
        <f t="shared" si="192"/>
        <v>-8</v>
      </c>
      <c r="U305">
        <v>10</v>
      </c>
    </row>
    <row r="306" spans="2:31" ht="20.100000000000001" hidden="1" customHeight="1">
      <c r="B306" s="77">
        <v>3</v>
      </c>
      <c r="C306" s="78" t="s">
        <v>354</v>
      </c>
      <c r="D306" s="79" t="s">
        <v>605</v>
      </c>
      <c r="E306" s="80" t="s">
        <v>606</v>
      </c>
      <c r="F306" s="81">
        <v>5.36</v>
      </c>
      <c r="G306" s="222"/>
      <c r="H306" s="186"/>
      <c r="I306" s="186"/>
      <c r="J306" s="308"/>
      <c r="K306" s="227"/>
      <c r="L306" s="82">
        <f t="shared" si="191"/>
        <v>0</v>
      </c>
      <c r="M306" s="331"/>
      <c r="N306" s="161">
        <f t="shared" si="193"/>
        <v>0</v>
      </c>
      <c r="O306" s="161">
        <f t="shared" si="194"/>
        <v>0</v>
      </c>
      <c r="P306" s="187">
        <f t="shared" si="195"/>
        <v>0</v>
      </c>
      <c r="Q306" s="161">
        <f t="shared" si="196"/>
        <v>0</v>
      </c>
      <c r="R306" s="85"/>
      <c r="S306" s="86">
        <f t="shared" si="197"/>
        <v>0</v>
      </c>
      <c r="T306" s="87">
        <f t="shared" si="192"/>
        <v>0</v>
      </c>
    </row>
    <row r="307" spans="2:31" ht="20.100000000000001" hidden="1" customHeight="1">
      <c r="B307" s="77">
        <v>3</v>
      </c>
      <c r="C307" s="78" t="s">
        <v>354</v>
      </c>
      <c r="D307" s="79" t="s">
        <v>607</v>
      </c>
      <c r="E307" s="80" t="s">
        <v>608</v>
      </c>
      <c r="F307" s="81">
        <v>6.4</v>
      </c>
      <c r="G307" s="222"/>
      <c r="H307" s="186"/>
      <c r="I307" s="186"/>
      <c r="J307" s="308"/>
      <c r="K307" s="227"/>
      <c r="L307" s="82">
        <f t="shared" si="191"/>
        <v>0</v>
      </c>
      <c r="M307" s="331"/>
      <c r="N307" s="161">
        <f t="shared" si="193"/>
        <v>0</v>
      </c>
      <c r="O307" s="161">
        <f t="shared" si="194"/>
        <v>0</v>
      </c>
      <c r="P307" s="187">
        <f t="shared" si="195"/>
        <v>0</v>
      </c>
      <c r="Q307" s="161">
        <f t="shared" si="196"/>
        <v>0</v>
      </c>
      <c r="R307" s="85"/>
      <c r="S307" s="86">
        <f t="shared" si="197"/>
        <v>0</v>
      </c>
      <c r="T307" s="87">
        <f t="shared" si="192"/>
        <v>0</v>
      </c>
    </row>
    <row r="308" spans="2:31" ht="20.100000000000001" hidden="1" customHeight="1">
      <c r="B308" s="77">
        <v>3</v>
      </c>
      <c r="C308" s="78" t="s">
        <v>354</v>
      </c>
      <c r="D308" s="79" t="s">
        <v>609</v>
      </c>
      <c r="E308" s="80" t="s">
        <v>610</v>
      </c>
      <c r="F308" s="81">
        <v>9.92</v>
      </c>
      <c r="G308" s="222">
        <v>4</v>
      </c>
      <c r="H308" s="186"/>
      <c r="I308" s="186"/>
      <c r="J308" s="308"/>
      <c r="K308" s="227"/>
      <c r="L308" s="82">
        <f t="shared" si="191"/>
        <v>4</v>
      </c>
      <c r="M308" s="331">
        <v>4</v>
      </c>
      <c r="N308" s="161">
        <f t="shared" si="193"/>
        <v>39.68</v>
      </c>
      <c r="O308" s="161">
        <f t="shared" si="194"/>
        <v>39.68</v>
      </c>
      <c r="P308" s="187">
        <f t="shared" si="195"/>
        <v>0</v>
      </c>
      <c r="Q308" s="161">
        <f t="shared" si="196"/>
        <v>0</v>
      </c>
      <c r="R308" s="91">
        <v>45827</v>
      </c>
      <c r="S308" s="86">
        <f t="shared" si="197"/>
        <v>4</v>
      </c>
      <c r="T308" s="87">
        <f t="shared" si="192"/>
        <v>0</v>
      </c>
      <c r="W308">
        <v>4</v>
      </c>
      <c r="X308" t="s">
        <v>121</v>
      </c>
      <c r="AD308">
        <f>W308</f>
        <v>4</v>
      </c>
      <c r="AE308" s="89">
        <f>AD308*F308</f>
        <v>39.68</v>
      </c>
    </row>
    <row r="309" spans="2:31" ht="20.100000000000001" hidden="1" customHeight="1">
      <c r="B309" s="77">
        <v>3</v>
      </c>
      <c r="C309" s="78" t="s">
        <v>354</v>
      </c>
      <c r="D309" s="79" t="s">
        <v>611</v>
      </c>
      <c r="E309" s="80" t="s">
        <v>612</v>
      </c>
      <c r="F309" s="81">
        <v>56.71</v>
      </c>
      <c r="G309" s="222"/>
      <c r="H309" s="186"/>
      <c r="I309" s="186"/>
      <c r="J309" s="308"/>
      <c r="K309" s="227"/>
      <c r="L309" s="82">
        <f t="shared" si="191"/>
        <v>0</v>
      </c>
      <c r="M309" s="331"/>
      <c r="N309" s="161">
        <f t="shared" si="193"/>
        <v>0</v>
      </c>
      <c r="O309" s="161">
        <f t="shared" si="194"/>
        <v>0</v>
      </c>
      <c r="P309" s="187">
        <f t="shared" si="195"/>
        <v>0</v>
      </c>
      <c r="Q309" s="161">
        <f t="shared" si="196"/>
        <v>0</v>
      </c>
      <c r="R309" s="85"/>
      <c r="S309" s="86">
        <f t="shared" si="197"/>
        <v>0</v>
      </c>
      <c r="T309" s="87">
        <f t="shared" si="192"/>
        <v>0</v>
      </c>
    </row>
    <row r="310" spans="2:31" ht="20.100000000000001" hidden="1" customHeight="1">
      <c r="B310" s="77">
        <v>3</v>
      </c>
      <c r="C310" s="78" t="s">
        <v>354</v>
      </c>
      <c r="D310" s="79" t="s">
        <v>613</v>
      </c>
      <c r="E310" s="80" t="s">
        <v>614</v>
      </c>
      <c r="F310" s="81">
        <v>59.51</v>
      </c>
      <c r="G310" s="222"/>
      <c r="H310" s="186"/>
      <c r="I310" s="186"/>
      <c r="J310" s="308"/>
      <c r="K310" s="227"/>
      <c r="L310" s="82">
        <f t="shared" si="191"/>
        <v>0</v>
      </c>
      <c r="M310" s="331"/>
      <c r="N310" s="161">
        <f t="shared" si="193"/>
        <v>0</v>
      </c>
      <c r="O310" s="161">
        <f t="shared" si="194"/>
        <v>0</v>
      </c>
      <c r="P310" s="187">
        <f t="shared" si="195"/>
        <v>0</v>
      </c>
      <c r="Q310" s="161">
        <f t="shared" si="196"/>
        <v>0</v>
      </c>
      <c r="R310" s="232"/>
      <c r="S310" s="86">
        <f t="shared" si="197"/>
        <v>0</v>
      </c>
      <c r="T310" s="87">
        <f t="shared" si="192"/>
        <v>0</v>
      </c>
    </row>
    <row r="311" spans="2:31" ht="20.100000000000001" hidden="1" customHeight="1">
      <c r="B311" s="77">
        <v>3</v>
      </c>
      <c r="C311" s="78" t="s">
        <v>354</v>
      </c>
      <c r="D311" s="79" t="s">
        <v>615</v>
      </c>
      <c r="E311" s="80" t="s">
        <v>616</v>
      </c>
      <c r="F311" s="81">
        <v>59.51</v>
      </c>
      <c r="G311" s="222">
        <v>7</v>
      </c>
      <c r="H311" s="186"/>
      <c r="I311" s="186"/>
      <c r="J311" s="308"/>
      <c r="K311" s="227">
        <v>5</v>
      </c>
      <c r="L311" s="82">
        <f t="shared" si="191"/>
        <v>2</v>
      </c>
      <c r="M311" s="331">
        <v>2</v>
      </c>
      <c r="N311" s="161">
        <f t="shared" si="193"/>
        <v>119.02</v>
      </c>
      <c r="O311" s="161">
        <f t="shared" si="194"/>
        <v>119.02</v>
      </c>
      <c r="P311" s="187">
        <f t="shared" si="195"/>
        <v>0</v>
      </c>
      <c r="Q311" s="161">
        <f t="shared" si="196"/>
        <v>0</v>
      </c>
      <c r="R311" s="232"/>
      <c r="S311" s="86">
        <f t="shared" si="197"/>
        <v>0</v>
      </c>
      <c r="T311" s="87">
        <f t="shared" si="192"/>
        <v>2</v>
      </c>
    </row>
    <row r="312" spans="2:31" ht="20.100000000000001" hidden="1" customHeight="1">
      <c r="B312" s="77">
        <v>3</v>
      </c>
      <c r="C312" s="78" t="s">
        <v>354</v>
      </c>
      <c r="D312" s="79" t="s">
        <v>617</v>
      </c>
      <c r="E312" s="80" t="s">
        <v>618</v>
      </c>
      <c r="F312" s="81">
        <v>6.27</v>
      </c>
      <c r="G312" s="222">
        <v>3</v>
      </c>
      <c r="H312" s="186"/>
      <c r="I312" s="186"/>
      <c r="J312" s="308"/>
      <c r="K312" s="227"/>
      <c r="L312" s="82">
        <f t="shared" si="191"/>
        <v>3</v>
      </c>
      <c r="M312" s="331">
        <v>3</v>
      </c>
      <c r="N312" s="161">
        <f t="shared" si="193"/>
        <v>18.809999999999999</v>
      </c>
      <c r="O312" s="161">
        <f t="shared" si="194"/>
        <v>18.809999999999999</v>
      </c>
      <c r="P312" s="187">
        <f t="shared" si="195"/>
        <v>0</v>
      </c>
      <c r="Q312" s="161">
        <f t="shared" si="196"/>
        <v>0</v>
      </c>
      <c r="R312" s="85"/>
      <c r="S312" s="86">
        <f t="shared" si="197"/>
        <v>5</v>
      </c>
      <c r="T312" s="87">
        <f t="shared" si="192"/>
        <v>-2</v>
      </c>
      <c r="U312">
        <v>5</v>
      </c>
    </row>
    <row r="313" spans="2:31" ht="20.100000000000001" hidden="1" customHeight="1">
      <c r="B313" s="77">
        <v>3</v>
      </c>
      <c r="C313" s="78" t="s">
        <v>354</v>
      </c>
      <c r="D313" s="79" t="s">
        <v>619</v>
      </c>
      <c r="E313" s="80" t="s">
        <v>620</v>
      </c>
      <c r="F313" s="81">
        <v>76.94</v>
      </c>
      <c r="G313" s="222"/>
      <c r="H313" s="186"/>
      <c r="I313" s="186"/>
      <c r="J313" s="308"/>
      <c r="K313" s="227"/>
      <c r="L313" s="82">
        <f t="shared" si="191"/>
        <v>0</v>
      </c>
      <c r="M313" s="331"/>
      <c r="N313" s="161">
        <f t="shared" si="193"/>
        <v>0</v>
      </c>
      <c r="O313" s="161">
        <f t="shared" si="194"/>
        <v>0</v>
      </c>
      <c r="P313" s="187">
        <f t="shared" si="195"/>
        <v>0</v>
      </c>
      <c r="Q313" s="161">
        <f t="shared" si="196"/>
        <v>0</v>
      </c>
      <c r="R313" s="85"/>
      <c r="S313" s="86">
        <f t="shared" si="197"/>
        <v>0</v>
      </c>
      <c r="T313" s="87">
        <f t="shared" si="192"/>
        <v>0</v>
      </c>
    </row>
    <row r="314" spans="2:31" ht="20.100000000000001" hidden="1" customHeight="1">
      <c r="B314" s="77">
        <v>3</v>
      </c>
      <c r="C314" s="78" t="s">
        <v>354</v>
      </c>
      <c r="D314" s="79" t="s">
        <v>621</v>
      </c>
      <c r="E314" s="80" t="s">
        <v>622</v>
      </c>
      <c r="F314" s="81">
        <v>56.79</v>
      </c>
      <c r="G314" s="222"/>
      <c r="H314" s="186"/>
      <c r="I314" s="186"/>
      <c r="J314" s="308"/>
      <c r="K314" s="227"/>
      <c r="L314" s="82">
        <f t="shared" si="191"/>
        <v>0</v>
      </c>
      <c r="M314" s="331"/>
      <c r="N314" s="161">
        <f t="shared" si="193"/>
        <v>0</v>
      </c>
      <c r="O314" s="161">
        <f t="shared" si="194"/>
        <v>0</v>
      </c>
      <c r="P314" s="187">
        <f t="shared" si="195"/>
        <v>0</v>
      </c>
      <c r="Q314" s="161">
        <f t="shared" si="196"/>
        <v>0</v>
      </c>
      <c r="R314" s="85"/>
      <c r="S314" s="86">
        <f t="shared" si="197"/>
        <v>0</v>
      </c>
      <c r="T314" s="87">
        <f t="shared" si="192"/>
        <v>0</v>
      </c>
    </row>
    <row r="315" spans="2:31" ht="20.100000000000001" hidden="1" customHeight="1">
      <c r="B315" s="77">
        <v>3</v>
      </c>
      <c r="C315" s="78" t="s">
        <v>354</v>
      </c>
      <c r="D315" s="79" t="s">
        <v>623</v>
      </c>
      <c r="E315" s="80" t="s">
        <v>624</v>
      </c>
      <c r="F315" s="81">
        <v>56.79</v>
      </c>
      <c r="G315" s="222"/>
      <c r="H315" s="186"/>
      <c r="I315" s="186"/>
      <c r="J315" s="308"/>
      <c r="K315" s="227"/>
      <c r="L315" s="82">
        <f t="shared" si="191"/>
        <v>0</v>
      </c>
      <c r="M315" s="331"/>
      <c r="N315" s="161">
        <f t="shared" si="193"/>
        <v>0</v>
      </c>
      <c r="O315" s="161">
        <f t="shared" si="194"/>
        <v>0</v>
      </c>
      <c r="P315" s="187">
        <f t="shared" si="195"/>
        <v>0</v>
      </c>
      <c r="Q315" s="161">
        <f t="shared" si="196"/>
        <v>0</v>
      </c>
      <c r="R315" s="85"/>
      <c r="S315" s="86">
        <f t="shared" si="197"/>
        <v>0</v>
      </c>
      <c r="T315" s="87">
        <f t="shared" si="192"/>
        <v>0</v>
      </c>
    </row>
    <row r="316" spans="2:31" ht="20.100000000000001" hidden="1" customHeight="1">
      <c r="B316" s="77">
        <v>3</v>
      </c>
      <c r="C316" s="78" t="s">
        <v>354</v>
      </c>
      <c r="D316" s="79" t="s">
        <v>625</v>
      </c>
      <c r="E316" s="80" t="s">
        <v>626</v>
      </c>
      <c r="F316" s="81">
        <v>60.5</v>
      </c>
      <c r="G316" s="222"/>
      <c r="H316" s="186"/>
      <c r="I316" s="186"/>
      <c r="J316" s="308"/>
      <c r="K316" s="227"/>
      <c r="L316" s="82">
        <f t="shared" si="191"/>
        <v>0</v>
      </c>
      <c r="M316" s="331"/>
      <c r="N316" s="161">
        <f t="shared" si="193"/>
        <v>0</v>
      </c>
      <c r="O316" s="161">
        <f t="shared" si="194"/>
        <v>0</v>
      </c>
      <c r="P316" s="187">
        <f t="shared" si="195"/>
        <v>0</v>
      </c>
      <c r="Q316" s="161">
        <f t="shared" si="196"/>
        <v>0</v>
      </c>
      <c r="R316" s="85"/>
      <c r="S316" s="86">
        <f t="shared" si="197"/>
        <v>0</v>
      </c>
      <c r="T316" s="87">
        <f t="shared" si="192"/>
        <v>0</v>
      </c>
    </row>
    <row r="317" spans="2:31" ht="20.100000000000001" hidden="1" customHeight="1">
      <c r="B317" s="77">
        <v>3</v>
      </c>
      <c r="C317" s="78" t="s">
        <v>354</v>
      </c>
      <c r="D317" s="79" t="s">
        <v>627</v>
      </c>
      <c r="E317" s="80" t="s">
        <v>628</v>
      </c>
      <c r="F317" s="81">
        <v>54.19</v>
      </c>
      <c r="G317" s="222"/>
      <c r="H317" s="186"/>
      <c r="I317" s="186"/>
      <c r="J317" s="308"/>
      <c r="K317" s="227"/>
      <c r="L317" s="82">
        <f t="shared" si="191"/>
        <v>0</v>
      </c>
      <c r="M317" s="331"/>
      <c r="N317" s="161">
        <f t="shared" si="193"/>
        <v>0</v>
      </c>
      <c r="O317" s="161">
        <f t="shared" si="194"/>
        <v>0</v>
      </c>
      <c r="P317" s="187">
        <f t="shared" si="195"/>
        <v>0</v>
      </c>
      <c r="Q317" s="161">
        <f t="shared" si="196"/>
        <v>0</v>
      </c>
      <c r="R317" s="85"/>
      <c r="S317" s="86">
        <f t="shared" si="197"/>
        <v>0</v>
      </c>
      <c r="T317" s="87">
        <f t="shared" si="192"/>
        <v>0</v>
      </c>
    </row>
    <row r="318" spans="2:31" ht="20.100000000000001" hidden="1" customHeight="1">
      <c r="B318" s="77">
        <v>3</v>
      </c>
      <c r="C318" s="78" t="s">
        <v>354</v>
      </c>
      <c r="D318" s="79" t="s">
        <v>629</v>
      </c>
      <c r="E318" s="80" t="s">
        <v>630</v>
      </c>
      <c r="F318" s="81">
        <v>54.19</v>
      </c>
      <c r="G318" s="222"/>
      <c r="H318" s="186"/>
      <c r="I318" s="186"/>
      <c r="J318" s="308"/>
      <c r="K318" s="227"/>
      <c r="L318" s="82">
        <f t="shared" si="191"/>
        <v>0</v>
      </c>
      <c r="M318" s="331"/>
      <c r="N318" s="161">
        <f t="shared" si="193"/>
        <v>0</v>
      </c>
      <c r="O318" s="161">
        <f t="shared" si="194"/>
        <v>0</v>
      </c>
      <c r="P318" s="187">
        <f t="shared" si="195"/>
        <v>0</v>
      </c>
      <c r="Q318" s="161">
        <f t="shared" si="196"/>
        <v>0</v>
      </c>
      <c r="R318" s="85"/>
      <c r="S318" s="86">
        <f t="shared" si="197"/>
        <v>0</v>
      </c>
      <c r="T318" s="87">
        <f t="shared" si="192"/>
        <v>0</v>
      </c>
    </row>
    <row r="319" spans="2:31" ht="20.100000000000001" hidden="1" customHeight="1">
      <c r="B319" s="77">
        <v>3</v>
      </c>
      <c r="C319" s="78" t="s">
        <v>354</v>
      </c>
      <c r="D319" s="79" t="s">
        <v>631</v>
      </c>
      <c r="E319" s="80" t="s">
        <v>632</v>
      </c>
      <c r="F319" s="81">
        <v>56.79</v>
      </c>
      <c r="G319" s="222"/>
      <c r="H319" s="186"/>
      <c r="I319" s="186"/>
      <c r="J319" s="308"/>
      <c r="K319" s="227"/>
      <c r="L319" s="82">
        <f t="shared" si="191"/>
        <v>0</v>
      </c>
      <c r="M319" s="331"/>
      <c r="N319" s="161">
        <f t="shared" si="193"/>
        <v>0</v>
      </c>
      <c r="O319" s="161">
        <f t="shared" si="194"/>
        <v>0</v>
      </c>
      <c r="P319" s="187">
        <f t="shared" si="195"/>
        <v>0</v>
      </c>
      <c r="Q319" s="161">
        <f t="shared" si="196"/>
        <v>0</v>
      </c>
      <c r="R319" s="85"/>
      <c r="S319" s="86">
        <f t="shared" si="197"/>
        <v>0</v>
      </c>
      <c r="T319" s="87">
        <f t="shared" si="192"/>
        <v>0</v>
      </c>
    </row>
    <row r="320" spans="2:31" ht="20.100000000000001" hidden="1" customHeight="1">
      <c r="B320" s="77">
        <v>3</v>
      </c>
      <c r="C320" s="78" t="s">
        <v>354</v>
      </c>
      <c r="D320" s="79" t="s">
        <v>633</v>
      </c>
      <c r="E320" s="80" t="s">
        <v>634</v>
      </c>
      <c r="F320" s="81">
        <v>56.79</v>
      </c>
      <c r="G320" s="222"/>
      <c r="H320" s="186"/>
      <c r="I320" s="186"/>
      <c r="J320" s="308"/>
      <c r="K320" s="227"/>
      <c r="L320" s="82">
        <f t="shared" si="191"/>
        <v>0</v>
      </c>
      <c r="M320" s="331"/>
      <c r="N320" s="161">
        <f t="shared" si="193"/>
        <v>0</v>
      </c>
      <c r="O320" s="161">
        <f t="shared" si="194"/>
        <v>0</v>
      </c>
      <c r="P320" s="187">
        <f t="shared" si="195"/>
        <v>0</v>
      </c>
      <c r="Q320" s="161">
        <f t="shared" si="196"/>
        <v>0</v>
      </c>
      <c r="R320" s="85"/>
      <c r="S320" s="86">
        <f t="shared" si="197"/>
        <v>0</v>
      </c>
      <c r="T320" s="87">
        <f t="shared" si="192"/>
        <v>0</v>
      </c>
    </row>
    <row r="321" spans="2:31" ht="20.100000000000001" hidden="1" customHeight="1">
      <c r="B321" s="77">
        <v>3</v>
      </c>
      <c r="C321" s="78" t="s">
        <v>354</v>
      </c>
      <c r="D321" s="79" t="s">
        <v>635</v>
      </c>
      <c r="E321" s="80" t="s">
        <v>636</v>
      </c>
      <c r="F321" s="81">
        <v>56.79</v>
      </c>
      <c r="G321" s="222"/>
      <c r="H321" s="186"/>
      <c r="I321" s="186"/>
      <c r="J321" s="308"/>
      <c r="K321" s="227"/>
      <c r="L321" s="82">
        <f t="shared" si="191"/>
        <v>0</v>
      </c>
      <c r="M321" s="331"/>
      <c r="N321" s="161">
        <f t="shared" si="193"/>
        <v>0</v>
      </c>
      <c r="O321" s="161">
        <f t="shared" si="194"/>
        <v>0</v>
      </c>
      <c r="P321" s="187">
        <f t="shared" si="195"/>
        <v>0</v>
      </c>
      <c r="Q321" s="161">
        <f t="shared" si="196"/>
        <v>0</v>
      </c>
      <c r="R321" s="85"/>
      <c r="S321" s="86">
        <f t="shared" si="197"/>
        <v>0</v>
      </c>
      <c r="T321" s="87">
        <f t="shared" si="192"/>
        <v>0</v>
      </c>
    </row>
    <row r="322" spans="2:31" ht="20.100000000000001" hidden="1" customHeight="1">
      <c r="B322" s="77">
        <v>3</v>
      </c>
      <c r="C322" s="78" t="s">
        <v>354</v>
      </c>
      <c r="D322" s="79" t="s">
        <v>637</v>
      </c>
      <c r="E322" s="80" t="s">
        <v>638</v>
      </c>
      <c r="F322" s="81">
        <v>9.92</v>
      </c>
      <c r="G322" s="222">
        <v>5</v>
      </c>
      <c r="H322" s="186"/>
      <c r="I322" s="186"/>
      <c r="J322" s="308"/>
      <c r="K322" s="227"/>
      <c r="L322" s="82">
        <f t="shared" si="191"/>
        <v>5</v>
      </c>
      <c r="M322" s="331">
        <v>5</v>
      </c>
      <c r="N322" s="161">
        <f t="shared" si="193"/>
        <v>49.6</v>
      </c>
      <c r="O322" s="161">
        <f t="shared" si="194"/>
        <v>49.6</v>
      </c>
      <c r="P322" s="187">
        <f t="shared" si="195"/>
        <v>0</v>
      </c>
      <c r="Q322" s="161">
        <f t="shared" si="196"/>
        <v>0</v>
      </c>
      <c r="R322" s="91">
        <v>45797</v>
      </c>
      <c r="S322" s="86">
        <f t="shared" si="197"/>
        <v>5</v>
      </c>
      <c r="T322" s="87">
        <f t="shared" si="192"/>
        <v>0</v>
      </c>
      <c r="W322">
        <v>5</v>
      </c>
      <c r="X322" t="s">
        <v>121</v>
      </c>
      <c r="AD322">
        <f>W322</f>
        <v>5</v>
      </c>
      <c r="AE322" s="89">
        <f>AD322*F322</f>
        <v>49.6</v>
      </c>
    </row>
    <row r="323" spans="2:31" ht="20.100000000000001" hidden="1" customHeight="1">
      <c r="B323" s="77">
        <v>3</v>
      </c>
      <c r="C323" s="78" t="s">
        <v>354</v>
      </c>
      <c r="D323" s="79" t="s">
        <v>639</v>
      </c>
      <c r="E323" s="80" t="s">
        <v>640</v>
      </c>
      <c r="F323" s="81">
        <v>55</v>
      </c>
      <c r="G323" s="222">
        <v>14</v>
      </c>
      <c r="H323" s="186"/>
      <c r="I323" s="186"/>
      <c r="J323" s="308"/>
      <c r="K323" s="227"/>
      <c r="L323" s="82">
        <f t="shared" si="191"/>
        <v>14</v>
      </c>
      <c r="M323" s="331">
        <v>14</v>
      </c>
      <c r="N323" s="161">
        <f t="shared" si="193"/>
        <v>770</v>
      </c>
      <c r="O323" s="161">
        <f t="shared" si="194"/>
        <v>770</v>
      </c>
      <c r="P323" s="187">
        <f t="shared" si="195"/>
        <v>0</v>
      </c>
      <c r="Q323" s="161">
        <f t="shared" si="196"/>
        <v>0</v>
      </c>
      <c r="R323" s="91">
        <v>45843</v>
      </c>
      <c r="S323" s="86">
        <f t="shared" si="197"/>
        <v>13</v>
      </c>
      <c r="T323" s="87">
        <f t="shared" si="192"/>
        <v>1</v>
      </c>
      <c r="W323">
        <f>7+2+4</f>
        <v>13</v>
      </c>
      <c r="X323" t="s">
        <v>641</v>
      </c>
      <c r="AD323">
        <f>W323</f>
        <v>13</v>
      </c>
      <c r="AE323" s="89">
        <f>AD323*F323</f>
        <v>715</v>
      </c>
    </row>
    <row r="324" spans="2:31" ht="20.100000000000001" hidden="1" customHeight="1">
      <c r="B324" s="77">
        <v>3</v>
      </c>
      <c r="C324" s="78" t="s">
        <v>354</v>
      </c>
      <c r="D324" s="79" t="s">
        <v>642</v>
      </c>
      <c r="E324" s="80" t="s">
        <v>643</v>
      </c>
      <c r="F324" s="81">
        <v>55</v>
      </c>
      <c r="G324" s="222">
        <v>24</v>
      </c>
      <c r="H324" s="186"/>
      <c r="I324" s="186"/>
      <c r="J324" s="308"/>
      <c r="K324" s="227"/>
      <c r="L324" s="82">
        <f t="shared" si="191"/>
        <v>24</v>
      </c>
      <c r="M324" s="331">
        <f>3+16+5</f>
        <v>24</v>
      </c>
      <c r="N324" s="161">
        <f t="shared" si="193"/>
        <v>1320</v>
      </c>
      <c r="O324" s="161">
        <f t="shared" si="194"/>
        <v>1320</v>
      </c>
      <c r="P324" s="187">
        <f t="shared" si="195"/>
        <v>0</v>
      </c>
      <c r="Q324" s="161">
        <f t="shared" si="196"/>
        <v>0</v>
      </c>
      <c r="R324" s="91">
        <v>45361</v>
      </c>
      <c r="S324" s="86">
        <f t="shared" si="197"/>
        <v>24</v>
      </c>
      <c r="T324" s="87">
        <f t="shared" si="192"/>
        <v>0</v>
      </c>
      <c r="W324">
        <f>16+5+3</f>
        <v>24</v>
      </c>
      <c r="X324" t="s">
        <v>115</v>
      </c>
      <c r="AD324">
        <f>W324</f>
        <v>24</v>
      </c>
      <c r="AE324" s="89">
        <f>AD324*F324</f>
        <v>1320</v>
      </c>
    </row>
    <row r="325" spans="2:31" ht="20.100000000000001" hidden="1" customHeight="1">
      <c r="B325" s="77">
        <v>3</v>
      </c>
      <c r="C325" s="78" t="s">
        <v>354</v>
      </c>
      <c r="D325" s="79" t="s">
        <v>644</v>
      </c>
      <c r="E325" s="80" t="s">
        <v>645</v>
      </c>
      <c r="F325" s="81">
        <v>9.92</v>
      </c>
      <c r="G325" s="222"/>
      <c r="H325" s="186"/>
      <c r="I325" s="186"/>
      <c r="J325" s="308"/>
      <c r="K325" s="227"/>
      <c r="L325" s="82">
        <f t="shared" si="191"/>
        <v>0</v>
      </c>
      <c r="M325" s="331"/>
      <c r="N325" s="161">
        <f t="shared" si="193"/>
        <v>0</v>
      </c>
      <c r="O325" s="161">
        <f t="shared" si="194"/>
        <v>0</v>
      </c>
      <c r="P325" s="187">
        <f t="shared" si="195"/>
        <v>0</v>
      </c>
      <c r="Q325" s="161">
        <f t="shared" si="196"/>
        <v>0</v>
      </c>
      <c r="R325" s="85"/>
      <c r="S325" s="86">
        <f t="shared" si="197"/>
        <v>0</v>
      </c>
      <c r="T325" s="87">
        <f t="shared" si="192"/>
        <v>0</v>
      </c>
    </row>
    <row r="326" spans="2:31" ht="20.100000000000001" hidden="1" customHeight="1">
      <c r="B326" s="77">
        <v>3</v>
      </c>
      <c r="C326" s="78" t="s">
        <v>354</v>
      </c>
      <c r="D326" s="79" t="s">
        <v>646</v>
      </c>
      <c r="E326" s="80" t="s">
        <v>647</v>
      </c>
      <c r="F326" s="81">
        <v>9.92</v>
      </c>
      <c r="G326" s="222"/>
      <c r="H326" s="186"/>
      <c r="I326" s="186"/>
      <c r="J326" s="308"/>
      <c r="K326" s="227"/>
      <c r="L326" s="82">
        <f t="shared" si="191"/>
        <v>0</v>
      </c>
      <c r="M326" s="331"/>
      <c r="N326" s="161">
        <f t="shared" si="193"/>
        <v>0</v>
      </c>
      <c r="O326" s="161">
        <f t="shared" si="194"/>
        <v>0</v>
      </c>
      <c r="P326" s="187">
        <f t="shared" si="195"/>
        <v>0</v>
      </c>
      <c r="Q326" s="161">
        <f t="shared" si="196"/>
        <v>0</v>
      </c>
      <c r="R326" s="85"/>
      <c r="S326" s="86">
        <f t="shared" si="197"/>
        <v>0</v>
      </c>
      <c r="T326" s="87">
        <f t="shared" si="192"/>
        <v>0</v>
      </c>
    </row>
    <row r="327" spans="2:31" ht="20.100000000000001" hidden="1" customHeight="1">
      <c r="B327" s="77">
        <v>3</v>
      </c>
      <c r="C327" s="78" t="s">
        <v>354</v>
      </c>
      <c r="D327" s="79" t="s">
        <v>648</v>
      </c>
      <c r="E327" s="80" t="s">
        <v>649</v>
      </c>
      <c r="F327" s="81">
        <v>60.25</v>
      </c>
      <c r="G327" s="222">
        <v>3</v>
      </c>
      <c r="H327" s="186"/>
      <c r="I327" s="186"/>
      <c r="J327" s="308"/>
      <c r="K327" s="227"/>
      <c r="L327" s="82">
        <f t="shared" si="191"/>
        <v>3</v>
      </c>
      <c r="M327" s="331">
        <v>3</v>
      </c>
      <c r="N327" s="161">
        <f t="shared" si="193"/>
        <v>180.75</v>
      </c>
      <c r="O327" s="161">
        <f t="shared" si="194"/>
        <v>180.75</v>
      </c>
      <c r="P327" s="187">
        <f t="shared" si="195"/>
        <v>0</v>
      </c>
      <c r="Q327" s="161">
        <f t="shared" si="196"/>
        <v>0</v>
      </c>
      <c r="R327" s="85"/>
      <c r="S327" s="86">
        <f t="shared" si="197"/>
        <v>3</v>
      </c>
      <c r="T327" s="87">
        <f t="shared" si="192"/>
        <v>0</v>
      </c>
      <c r="U327">
        <v>3</v>
      </c>
    </row>
    <row r="328" spans="2:31" ht="20.100000000000001" hidden="1" customHeight="1">
      <c r="B328" s="77">
        <v>3</v>
      </c>
      <c r="C328" s="78" t="s">
        <v>354</v>
      </c>
      <c r="D328" s="79" t="s">
        <v>650</v>
      </c>
      <c r="E328" s="80" t="s">
        <v>651</v>
      </c>
      <c r="F328" s="277">
        <v>68.5</v>
      </c>
      <c r="G328" s="222"/>
      <c r="H328" s="186"/>
      <c r="I328" s="186">
        <v>6</v>
      </c>
      <c r="J328" s="308"/>
      <c r="K328" s="227"/>
      <c r="L328" s="82">
        <f t="shared" si="191"/>
        <v>6</v>
      </c>
      <c r="M328" s="331">
        <v>6</v>
      </c>
      <c r="N328" s="161">
        <f t="shared" si="193"/>
        <v>411</v>
      </c>
      <c r="O328" s="161">
        <f t="shared" si="194"/>
        <v>411</v>
      </c>
      <c r="P328" s="187">
        <f t="shared" si="195"/>
        <v>0</v>
      </c>
      <c r="Q328" s="161">
        <f t="shared" si="196"/>
        <v>0</v>
      </c>
      <c r="R328" s="85"/>
      <c r="S328" s="86">
        <f t="shared" si="197"/>
        <v>6</v>
      </c>
      <c r="T328" s="87">
        <f t="shared" si="192"/>
        <v>0</v>
      </c>
      <c r="U328">
        <v>6</v>
      </c>
    </row>
    <row r="329" spans="2:31" ht="20.100000000000001" hidden="1" customHeight="1">
      <c r="B329" s="77">
        <v>3</v>
      </c>
      <c r="C329" s="78" t="s">
        <v>354</v>
      </c>
      <c r="D329" s="79" t="s">
        <v>652</v>
      </c>
      <c r="E329" s="80" t="s">
        <v>653</v>
      </c>
      <c r="F329" s="35">
        <v>57.95</v>
      </c>
      <c r="G329" s="222">
        <v>32</v>
      </c>
      <c r="H329" s="186"/>
      <c r="I329" s="186"/>
      <c r="J329" s="308">
        <v>3</v>
      </c>
      <c r="K329" s="227">
        <v>3</v>
      </c>
      <c r="L329" s="82">
        <f t="shared" si="191"/>
        <v>26</v>
      </c>
      <c r="M329" s="331">
        <v>26</v>
      </c>
      <c r="N329" s="161">
        <f t="shared" si="193"/>
        <v>1506.7</v>
      </c>
      <c r="O329" s="161">
        <f t="shared" si="194"/>
        <v>1506.7</v>
      </c>
      <c r="P329" s="187">
        <f t="shared" si="195"/>
        <v>0</v>
      </c>
      <c r="Q329" s="161">
        <f t="shared" si="196"/>
        <v>0</v>
      </c>
      <c r="R329" s="85"/>
      <c r="S329" s="86">
        <f t="shared" si="197"/>
        <v>23</v>
      </c>
      <c r="T329" s="87">
        <f t="shared" si="192"/>
        <v>3</v>
      </c>
      <c r="U329">
        <v>23</v>
      </c>
    </row>
    <row r="330" spans="2:31" ht="20.100000000000001" hidden="1" customHeight="1">
      <c r="B330" s="77">
        <v>3</v>
      </c>
      <c r="C330" s="78" t="s">
        <v>354</v>
      </c>
      <c r="D330" s="79" t="s">
        <v>654</v>
      </c>
      <c r="E330" s="80" t="s">
        <v>655</v>
      </c>
      <c r="F330" s="81">
        <v>127.25</v>
      </c>
      <c r="G330" s="222"/>
      <c r="H330" s="186"/>
      <c r="I330" s="186"/>
      <c r="J330" s="308"/>
      <c r="K330" s="227"/>
      <c r="L330" s="82">
        <f t="shared" si="191"/>
        <v>0</v>
      </c>
      <c r="M330" s="331"/>
      <c r="N330" s="161">
        <f t="shared" si="193"/>
        <v>0</v>
      </c>
      <c r="O330" s="161">
        <f t="shared" si="194"/>
        <v>0</v>
      </c>
      <c r="P330" s="187">
        <f t="shared" si="195"/>
        <v>0</v>
      </c>
      <c r="Q330" s="161">
        <f t="shared" si="196"/>
        <v>0</v>
      </c>
      <c r="R330" s="85"/>
      <c r="S330" s="86">
        <f t="shared" si="197"/>
        <v>0</v>
      </c>
      <c r="T330" s="87">
        <f t="shared" si="192"/>
        <v>0</v>
      </c>
    </row>
    <row r="331" spans="2:31" ht="20.100000000000001" hidden="1" customHeight="1">
      <c r="B331" s="77">
        <v>3</v>
      </c>
      <c r="C331" s="78" t="s">
        <v>354</v>
      </c>
      <c r="D331" s="79" t="s">
        <v>656</v>
      </c>
      <c r="E331" s="80" t="s">
        <v>657</v>
      </c>
      <c r="F331" s="81">
        <v>60.25</v>
      </c>
      <c r="G331" s="222">
        <v>1</v>
      </c>
      <c r="H331" s="186"/>
      <c r="I331" s="186"/>
      <c r="J331" s="308"/>
      <c r="K331" s="227"/>
      <c r="L331" s="82">
        <f t="shared" si="191"/>
        <v>1</v>
      </c>
      <c r="M331" s="331">
        <v>1</v>
      </c>
      <c r="N331" s="161">
        <f t="shared" si="193"/>
        <v>60.25</v>
      </c>
      <c r="O331" s="161">
        <f t="shared" si="194"/>
        <v>60.25</v>
      </c>
      <c r="P331" s="187">
        <f t="shared" si="195"/>
        <v>0</v>
      </c>
      <c r="Q331" s="161">
        <f t="shared" si="196"/>
        <v>0</v>
      </c>
      <c r="R331" s="85"/>
      <c r="S331" s="86">
        <f t="shared" si="197"/>
        <v>5</v>
      </c>
      <c r="T331" s="87">
        <f t="shared" si="192"/>
        <v>-4</v>
      </c>
      <c r="U331">
        <v>5</v>
      </c>
    </row>
    <row r="332" spans="2:31" ht="20.100000000000001" hidden="1" customHeight="1">
      <c r="B332" s="77">
        <v>3</v>
      </c>
      <c r="C332" s="78" t="s">
        <v>354</v>
      </c>
      <c r="D332" s="79" t="s">
        <v>658</v>
      </c>
      <c r="E332" s="80" t="s">
        <v>659</v>
      </c>
      <c r="F332" s="81">
        <v>64</v>
      </c>
      <c r="G332" s="222"/>
      <c r="H332" s="186"/>
      <c r="I332" s="186"/>
      <c r="J332" s="308"/>
      <c r="K332" s="227"/>
      <c r="L332" s="82">
        <f t="shared" si="191"/>
        <v>0</v>
      </c>
      <c r="M332" s="331"/>
      <c r="N332" s="161">
        <f t="shared" si="193"/>
        <v>0</v>
      </c>
      <c r="O332" s="161">
        <f t="shared" si="194"/>
        <v>0</v>
      </c>
      <c r="P332" s="187">
        <f t="shared" si="195"/>
        <v>0</v>
      </c>
      <c r="Q332" s="161">
        <f t="shared" si="196"/>
        <v>0</v>
      </c>
      <c r="R332" s="85"/>
      <c r="S332" s="86">
        <f t="shared" si="197"/>
        <v>3</v>
      </c>
      <c r="T332" s="87">
        <f t="shared" si="192"/>
        <v>-3</v>
      </c>
      <c r="U332">
        <v>3</v>
      </c>
    </row>
    <row r="333" spans="2:31" ht="20.100000000000001" hidden="1" customHeight="1">
      <c r="B333" s="77">
        <v>3</v>
      </c>
      <c r="C333" s="78" t="s">
        <v>354</v>
      </c>
      <c r="D333" s="79" t="s">
        <v>660</v>
      </c>
      <c r="E333" s="80" t="s">
        <v>661</v>
      </c>
      <c r="F333" s="81">
        <v>64.900000000000006</v>
      </c>
      <c r="G333" s="222"/>
      <c r="H333" s="186"/>
      <c r="I333" s="186"/>
      <c r="J333" s="308"/>
      <c r="K333" s="227"/>
      <c r="L333" s="82">
        <f t="shared" si="191"/>
        <v>0</v>
      </c>
      <c r="M333" s="331"/>
      <c r="N333" s="161">
        <f t="shared" si="193"/>
        <v>0</v>
      </c>
      <c r="O333" s="161">
        <f t="shared" si="194"/>
        <v>0</v>
      </c>
      <c r="P333" s="187">
        <f t="shared" si="195"/>
        <v>0</v>
      </c>
      <c r="Q333" s="161">
        <f t="shared" si="196"/>
        <v>0</v>
      </c>
      <c r="R333" s="85"/>
      <c r="S333" s="86">
        <f t="shared" si="197"/>
        <v>0</v>
      </c>
      <c r="T333" s="87">
        <f t="shared" si="192"/>
        <v>0</v>
      </c>
    </row>
    <row r="334" spans="2:31" ht="20.100000000000001" hidden="1" customHeight="1">
      <c r="B334" s="77">
        <v>3</v>
      </c>
      <c r="C334" s="78" t="s">
        <v>354</v>
      </c>
      <c r="D334" s="79" t="s">
        <v>662</v>
      </c>
      <c r="E334" s="80" t="s">
        <v>663</v>
      </c>
      <c r="F334" s="81">
        <v>60.25</v>
      </c>
      <c r="G334" s="222">
        <v>1</v>
      </c>
      <c r="H334" s="186"/>
      <c r="I334" s="186"/>
      <c r="J334" s="308"/>
      <c r="K334" s="227"/>
      <c r="L334" s="82">
        <f t="shared" ref="L334:L396" si="206">G334+I334-J334-K334+H334</f>
        <v>1</v>
      </c>
      <c r="M334" s="331">
        <v>1</v>
      </c>
      <c r="N334" s="161">
        <f t="shared" si="193"/>
        <v>60.25</v>
      </c>
      <c r="O334" s="161">
        <f t="shared" si="194"/>
        <v>60.25</v>
      </c>
      <c r="P334" s="187">
        <f t="shared" si="195"/>
        <v>0</v>
      </c>
      <c r="Q334" s="161">
        <f t="shared" si="196"/>
        <v>0</v>
      </c>
      <c r="R334" s="85"/>
      <c r="S334" s="86">
        <f t="shared" si="197"/>
        <v>6</v>
      </c>
      <c r="T334" s="87">
        <f t="shared" si="192"/>
        <v>-5</v>
      </c>
      <c r="U334">
        <v>6</v>
      </c>
    </row>
    <row r="335" spans="2:31" ht="20.100000000000001" hidden="1" customHeight="1">
      <c r="B335" s="77">
        <v>3</v>
      </c>
      <c r="C335" s="78" t="s">
        <v>354</v>
      </c>
      <c r="D335" s="79" t="s">
        <v>664</v>
      </c>
      <c r="E335" s="80" t="s">
        <v>665</v>
      </c>
      <c r="F335" s="273">
        <v>68.5</v>
      </c>
      <c r="G335" s="222"/>
      <c r="H335" s="186"/>
      <c r="I335" s="186">
        <v>6</v>
      </c>
      <c r="J335" s="308"/>
      <c r="K335" s="227">
        <v>1</v>
      </c>
      <c r="L335" s="82">
        <f t="shared" si="206"/>
        <v>5</v>
      </c>
      <c r="M335" s="331">
        <v>5</v>
      </c>
      <c r="N335" s="161">
        <f t="shared" si="193"/>
        <v>342.5</v>
      </c>
      <c r="O335" s="161">
        <f t="shared" si="194"/>
        <v>342.5</v>
      </c>
      <c r="P335" s="187">
        <f t="shared" si="195"/>
        <v>0</v>
      </c>
      <c r="Q335" s="161">
        <f t="shared" si="196"/>
        <v>0</v>
      </c>
      <c r="R335" s="85"/>
      <c r="S335" s="86">
        <f t="shared" si="197"/>
        <v>4</v>
      </c>
      <c r="T335" s="87">
        <f t="shared" si="192"/>
        <v>1</v>
      </c>
      <c r="U335">
        <v>4</v>
      </c>
    </row>
    <row r="336" spans="2:31" ht="20.100000000000001" hidden="1" customHeight="1">
      <c r="B336" s="77">
        <v>3</v>
      </c>
      <c r="C336" s="78" t="s">
        <v>354</v>
      </c>
      <c r="D336" s="79" t="s">
        <v>666</v>
      </c>
      <c r="E336" s="80" t="s">
        <v>667</v>
      </c>
      <c r="F336" s="81">
        <v>123.9</v>
      </c>
      <c r="G336" s="222">
        <v>1</v>
      </c>
      <c r="H336" s="186"/>
      <c r="I336" s="186"/>
      <c r="J336" s="308"/>
      <c r="K336" s="227"/>
      <c r="L336" s="82">
        <f t="shared" si="206"/>
        <v>1</v>
      </c>
      <c r="M336" s="331">
        <v>1</v>
      </c>
      <c r="N336" s="161">
        <f t="shared" ref="N336:N397" si="207">F336*L336</f>
        <v>123.9</v>
      </c>
      <c r="O336" s="161">
        <f t="shared" ref="O336:O397" si="208">M336*F336</f>
        <v>123.9</v>
      </c>
      <c r="P336" s="187">
        <f t="shared" ref="P336:P397" si="209">L336-M336</f>
        <v>0</v>
      </c>
      <c r="Q336" s="161">
        <f t="shared" ref="Q336:Q397" si="210">N336-O336</f>
        <v>0</v>
      </c>
      <c r="R336" s="85"/>
      <c r="S336" s="86">
        <f t="shared" ref="S336:S397" si="211">U336+Y336+W336+AA336</f>
        <v>1</v>
      </c>
      <c r="T336" s="87">
        <f t="shared" ref="T336:T397" si="212">M336-S336</f>
        <v>0</v>
      </c>
      <c r="AA336">
        <v>1</v>
      </c>
      <c r="AB336" s="88" t="s">
        <v>171</v>
      </c>
      <c r="AD336">
        <f>AA336</f>
        <v>1</v>
      </c>
      <c r="AE336" s="89">
        <f>AD336*F336</f>
        <v>123.9</v>
      </c>
    </row>
    <row r="337" spans="2:31" ht="20.100000000000001" hidden="1" customHeight="1">
      <c r="B337" s="77">
        <v>3</v>
      </c>
      <c r="C337" s="78" t="s">
        <v>354</v>
      </c>
      <c r="D337" s="79" t="s">
        <v>668</v>
      </c>
      <c r="E337" s="80" t="s">
        <v>669</v>
      </c>
      <c r="F337" s="81">
        <v>58.95</v>
      </c>
      <c r="G337" s="222">
        <v>5</v>
      </c>
      <c r="H337" s="186"/>
      <c r="I337" s="186"/>
      <c r="J337" s="308"/>
      <c r="K337" s="227"/>
      <c r="L337" s="82">
        <f t="shared" si="206"/>
        <v>5</v>
      </c>
      <c r="M337" s="331">
        <v>5</v>
      </c>
      <c r="N337" s="161">
        <f t="shared" si="207"/>
        <v>294.75</v>
      </c>
      <c r="O337" s="161">
        <f t="shared" si="208"/>
        <v>294.75</v>
      </c>
      <c r="P337" s="187">
        <f t="shared" si="209"/>
        <v>0</v>
      </c>
      <c r="Q337" s="161">
        <f t="shared" si="210"/>
        <v>0</v>
      </c>
      <c r="R337" s="85"/>
      <c r="S337" s="86">
        <f t="shared" si="211"/>
        <v>0</v>
      </c>
      <c r="T337" s="87">
        <f t="shared" si="212"/>
        <v>5</v>
      </c>
    </row>
    <row r="338" spans="2:31" ht="20.100000000000001" hidden="1" customHeight="1">
      <c r="B338" s="77">
        <v>3</v>
      </c>
      <c r="C338" s="78" t="s">
        <v>354</v>
      </c>
      <c r="D338" s="79" t="s">
        <v>670</v>
      </c>
      <c r="E338" s="80" t="s">
        <v>671</v>
      </c>
      <c r="F338" s="81">
        <v>58.5</v>
      </c>
      <c r="G338" s="222">
        <v>11</v>
      </c>
      <c r="H338" s="186"/>
      <c r="I338" s="186"/>
      <c r="J338" s="308"/>
      <c r="K338" s="227"/>
      <c r="L338" s="82">
        <f t="shared" si="206"/>
        <v>11</v>
      </c>
      <c r="M338" s="331">
        <v>11</v>
      </c>
      <c r="N338" s="161">
        <f t="shared" si="207"/>
        <v>643.5</v>
      </c>
      <c r="O338" s="161">
        <f t="shared" si="208"/>
        <v>643.5</v>
      </c>
      <c r="P338" s="187">
        <f t="shared" si="209"/>
        <v>0</v>
      </c>
      <c r="Q338" s="161">
        <f t="shared" si="210"/>
        <v>0</v>
      </c>
      <c r="R338" s="85"/>
      <c r="S338" s="86">
        <f t="shared" si="211"/>
        <v>5</v>
      </c>
      <c r="T338" s="87">
        <f t="shared" si="212"/>
        <v>6</v>
      </c>
      <c r="U338">
        <v>5</v>
      </c>
    </row>
    <row r="339" spans="2:31" ht="20.100000000000001" hidden="1" customHeight="1">
      <c r="B339" s="77">
        <v>3</v>
      </c>
      <c r="C339" s="78" t="s">
        <v>354</v>
      </c>
      <c r="D339" s="79" t="s">
        <v>672</v>
      </c>
      <c r="E339" s="80" t="s">
        <v>673</v>
      </c>
      <c r="F339" s="81">
        <v>56.37</v>
      </c>
      <c r="G339" s="222">
        <v>3</v>
      </c>
      <c r="H339" s="186"/>
      <c r="I339" s="186"/>
      <c r="J339" s="308"/>
      <c r="K339" s="227"/>
      <c r="L339" s="82">
        <f t="shared" si="206"/>
        <v>3</v>
      </c>
      <c r="M339" s="331">
        <v>3</v>
      </c>
      <c r="N339" s="161">
        <f t="shared" si="207"/>
        <v>169.10999999999999</v>
      </c>
      <c r="O339" s="161">
        <f t="shared" si="208"/>
        <v>169.10999999999999</v>
      </c>
      <c r="P339" s="187">
        <f t="shared" si="209"/>
        <v>0</v>
      </c>
      <c r="Q339" s="161">
        <f t="shared" si="210"/>
        <v>0</v>
      </c>
      <c r="R339" s="85"/>
      <c r="S339" s="86">
        <f t="shared" si="211"/>
        <v>3</v>
      </c>
      <c r="T339" s="87">
        <f t="shared" si="212"/>
        <v>0</v>
      </c>
      <c r="AA339">
        <v>3</v>
      </c>
      <c r="AB339" s="88" t="s">
        <v>674</v>
      </c>
      <c r="AD339">
        <f>AA339</f>
        <v>3</v>
      </c>
      <c r="AE339" s="89">
        <f>AD339*F339</f>
        <v>169.10999999999999</v>
      </c>
    </row>
    <row r="340" spans="2:31" ht="20.100000000000001" hidden="1" customHeight="1">
      <c r="B340" s="77">
        <v>3</v>
      </c>
      <c r="C340" s="78" t="s">
        <v>354</v>
      </c>
      <c r="D340" s="79" t="s">
        <v>675</v>
      </c>
      <c r="E340" s="80" t="s">
        <v>676</v>
      </c>
      <c r="F340" s="81">
        <v>56.37</v>
      </c>
      <c r="G340" s="222"/>
      <c r="H340" s="186"/>
      <c r="I340" s="186"/>
      <c r="J340" s="308"/>
      <c r="K340" s="227"/>
      <c r="L340" s="82">
        <f t="shared" si="206"/>
        <v>0</v>
      </c>
      <c r="M340" s="331"/>
      <c r="N340" s="161">
        <f t="shared" si="207"/>
        <v>0</v>
      </c>
      <c r="O340" s="161">
        <f t="shared" si="208"/>
        <v>0</v>
      </c>
      <c r="P340" s="187">
        <f t="shared" si="209"/>
        <v>0</v>
      </c>
      <c r="Q340" s="161">
        <f t="shared" si="210"/>
        <v>0</v>
      </c>
      <c r="R340" s="85"/>
      <c r="S340" s="86">
        <f t="shared" si="211"/>
        <v>0</v>
      </c>
      <c r="T340" s="87">
        <f t="shared" si="212"/>
        <v>0</v>
      </c>
    </row>
    <row r="341" spans="2:31" ht="20.100000000000001" hidden="1" customHeight="1">
      <c r="B341" s="77">
        <v>3</v>
      </c>
      <c r="C341" s="78" t="s">
        <v>354</v>
      </c>
      <c r="D341" s="79" t="s">
        <v>677</v>
      </c>
      <c r="E341" s="80" t="s">
        <v>678</v>
      </c>
      <c r="F341" s="81">
        <v>49.1</v>
      </c>
      <c r="G341" s="222">
        <v>2</v>
      </c>
      <c r="H341" s="186"/>
      <c r="I341" s="186"/>
      <c r="J341" s="308"/>
      <c r="K341" s="227">
        <v>2</v>
      </c>
      <c r="L341" s="82">
        <f t="shared" si="206"/>
        <v>0</v>
      </c>
      <c r="M341" s="331"/>
      <c r="N341" s="161">
        <f t="shared" si="207"/>
        <v>0</v>
      </c>
      <c r="O341" s="161">
        <f t="shared" si="208"/>
        <v>0</v>
      </c>
      <c r="P341" s="187">
        <f t="shared" si="209"/>
        <v>0</v>
      </c>
      <c r="Q341" s="161">
        <f t="shared" si="210"/>
        <v>0</v>
      </c>
      <c r="R341" s="85"/>
      <c r="S341" s="86">
        <f t="shared" si="211"/>
        <v>2</v>
      </c>
      <c r="T341" s="87">
        <f t="shared" si="212"/>
        <v>-2</v>
      </c>
      <c r="U341">
        <v>2</v>
      </c>
    </row>
    <row r="342" spans="2:31" ht="20.100000000000001" hidden="1" customHeight="1">
      <c r="B342" s="77">
        <v>3</v>
      </c>
      <c r="C342" s="78" t="s">
        <v>354</v>
      </c>
      <c r="D342" s="79" t="s">
        <v>679</v>
      </c>
      <c r="E342" s="80" t="s">
        <v>680</v>
      </c>
      <c r="F342" s="81">
        <v>49.1</v>
      </c>
      <c r="G342" s="222"/>
      <c r="H342" s="186"/>
      <c r="I342" s="186"/>
      <c r="J342" s="308"/>
      <c r="K342" s="227"/>
      <c r="L342" s="82">
        <f t="shared" si="206"/>
        <v>0</v>
      </c>
      <c r="M342" s="331"/>
      <c r="N342" s="161">
        <f t="shared" si="207"/>
        <v>0</v>
      </c>
      <c r="O342" s="161">
        <f t="shared" si="208"/>
        <v>0</v>
      </c>
      <c r="P342" s="187">
        <f t="shared" si="209"/>
        <v>0</v>
      </c>
      <c r="Q342" s="161">
        <f t="shared" si="210"/>
        <v>0</v>
      </c>
      <c r="R342" s="85"/>
      <c r="S342" s="86">
        <f t="shared" si="211"/>
        <v>1</v>
      </c>
      <c r="T342" s="87">
        <f t="shared" si="212"/>
        <v>-1</v>
      </c>
      <c r="U342">
        <v>1</v>
      </c>
    </row>
    <row r="343" spans="2:31" ht="20.100000000000001" hidden="1" customHeight="1">
      <c r="B343" s="77">
        <v>3</v>
      </c>
      <c r="C343" s="78" t="s">
        <v>354</v>
      </c>
      <c r="D343" s="79" t="s">
        <v>681</v>
      </c>
      <c r="E343" s="80" t="s">
        <v>682</v>
      </c>
      <c r="F343" s="81">
        <v>68.56</v>
      </c>
      <c r="G343" s="222"/>
      <c r="H343" s="186"/>
      <c r="I343" s="186"/>
      <c r="J343" s="308"/>
      <c r="K343" s="227"/>
      <c r="L343" s="82">
        <f t="shared" si="206"/>
        <v>0</v>
      </c>
      <c r="M343" s="331"/>
      <c r="N343" s="161">
        <f t="shared" si="207"/>
        <v>0</v>
      </c>
      <c r="O343" s="161">
        <f t="shared" si="208"/>
        <v>0</v>
      </c>
      <c r="P343" s="187">
        <f t="shared" si="209"/>
        <v>0</v>
      </c>
      <c r="Q343" s="161">
        <f t="shared" si="210"/>
        <v>0</v>
      </c>
      <c r="R343" s="85"/>
      <c r="S343" s="86">
        <f t="shared" si="211"/>
        <v>0</v>
      </c>
      <c r="T343" s="87">
        <f t="shared" si="212"/>
        <v>0</v>
      </c>
    </row>
    <row r="344" spans="2:31" ht="20.100000000000001" hidden="1" customHeight="1">
      <c r="B344" s="77">
        <v>3</v>
      </c>
      <c r="C344" s="78" t="s">
        <v>354</v>
      </c>
      <c r="D344" s="79" t="s">
        <v>683</v>
      </c>
      <c r="E344" s="80" t="s">
        <v>684</v>
      </c>
      <c r="F344" s="81">
        <v>58.4</v>
      </c>
      <c r="G344" s="222"/>
      <c r="H344" s="186"/>
      <c r="I344" s="186"/>
      <c r="J344" s="308"/>
      <c r="K344" s="227"/>
      <c r="L344" s="82">
        <f t="shared" si="206"/>
        <v>0</v>
      </c>
      <c r="M344" s="331"/>
      <c r="N344" s="161">
        <f t="shared" si="207"/>
        <v>0</v>
      </c>
      <c r="O344" s="161">
        <f t="shared" si="208"/>
        <v>0</v>
      </c>
      <c r="P344" s="187">
        <f t="shared" si="209"/>
        <v>0</v>
      </c>
      <c r="Q344" s="161">
        <f t="shared" si="210"/>
        <v>0</v>
      </c>
      <c r="R344" s="85"/>
      <c r="S344" s="86">
        <f t="shared" si="211"/>
        <v>0</v>
      </c>
      <c r="T344" s="87">
        <f t="shared" si="212"/>
        <v>0</v>
      </c>
    </row>
    <row r="345" spans="2:31" ht="20.100000000000001" hidden="1" customHeight="1">
      <c r="B345" s="77">
        <v>3</v>
      </c>
      <c r="C345" s="78" t="s">
        <v>354</v>
      </c>
      <c r="D345" s="79" t="s">
        <v>685</v>
      </c>
      <c r="E345" s="80" t="s">
        <v>686</v>
      </c>
      <c r="F345" s="81">
        <v>58.4</v>
      </c>
      <c r="G345" s="222"/>
      <c r="H345" s="186"/>
      <c r="I345" s="186"/>
      <c r="J345" s="308"/>
      <c r="K345" s="227"/>
      <c r="L345" s="82">
        <f t="shared" si="206"/>
        <v>0</v>
      </c>
      <c r="M345" s="331"/>
      <c r="N345" s="161">
        <f t="shared" si="207"/>
        <v>0</v>
      </c>
      <c r="O345" s="161">
        <f t="shared" si="208"/>
        <v>0</v>
      </c>
      <c r="P345" s="187">
        <f t="shared" si="209"/>
        <v>0</v>
      </c>
      <c r="Q345" s="161">
        <f t="shared" si="210"/>
        <v>0</v>
      </c>
      <c r="R345" s="85"/>
      <c r="S345" s="86">
        <f t="shared" si="211"/>
        <v>0</v>
      </c>
      <c r="T345" s="87">
        <f t="shared" si="212"/>
        <v>0</v>
      </c>
    </row>
    <row r="346" spans="2:31" ht="20.100000000000001" hidden="1" customHeight="1">
      <c r="B346" s="77">
        <v>4</v>
      </c>
      <c r="C346" s="78" t="s">
        <v>687</v>
      </c>
      <c r="D346" s="79" t="s">
        <v>688</v>
      </c>
      <c r="E346" s="80" t="s">
        <v>689</v>
      </c>
      <c r="F346" s="81">
        <v>7.5</v>
      </c>
      <c r="G346" s="222">
        <v>161</v>
      </c>
      <c r="H346" s="186"/>
      <c r="I346" s="186"/>
      <c r="J346" s="308"/>
      <c r="K346" s="227"/>
      <c r="L346" s="82">
        <f t="shared" si="206"/>
        <v>161</v>
      </c>
      <c r="M346" s="331">
        <v>161</v>
      </c>
      <c r="N346" s="161">
        <f t="shared" si="207"/>
        <v>1207.5</v>
      </c>
      <c r="O346" s="161">
        <f t="shared" si="208"/>
        <v>1207.5</v>
      </c>
      <c r="P346" s="187">
        <f t="shared" si="209"/>
        <v>0</v>
      </c>
      <c r="Q346" s="161">
        <f t="shared" si="210"/>
        <v>0</v>
      </c>
      <c r="R346" s="85" t="s">
        <v>690</v>
      </c>
      <c r="S346" s="86">
        <f t="shared" si="211"/>
        <v>191</v>
      </c>
      <c r="T346" s="87">
        <f t="shared" si="212"/>
        <v>-30</v>
      </c>
      <c r="U346">
        <v>30</v>
      </c>
      <c r="W346">
        <v>161</v>
      </c>
      <c r="X346" t="s">
        <v>115</v>
      </c>
      <c r="AD346">
        <f>W346</f>
        <v>161</v>
      </c>
      <c r="AE346" s="89">
        <f>AD346*F346</f>
        <v>1207.5</v>
      </c>
    </row>
    <row r="347" spans="2:31" ht="20.100000000000001" hidden="1" customHeight="1">
      <c r="B347" s="77">
        <v>4</v>
      </c>
      <c r="C347" s="78" t="s">
        <v>687</v>
      </c>
      <c r="D347" s="79" t="s">
        <v>688</v>
      </c>
      <c r="E347" s="80" t="s">
        <v>689</v>
      </c>
      <c r="F347" s="81">
        <v>8</v>
      </c>
      <c r="G347" s="222"/>
      <c r="H347" s="186"/>
      <c r="I347" s="186"/>
      <c r="J347" s="308"/>
      <c r="K347" s="227"/>
      <c r="L347" s="82">
        <f t="shared" si="206"/>
        <v>0</v>
      </c>
      <c r="M347" s="331"/>
      <c r="N347" s="161">
        <f t="shared" si="207"/>
        <v>0</v>
      </c>
      <c r="O347" s="161">
        <f t="shared" si="208"/>
        <v>0</v>
      </c>
      <c r="P347" s="187">
        <f t="shared" si="209"/>
        <v>0</v>
      </c>
      <c r="Q347" s="161">
        <f t="shared" si="210"/>
        <v>0</v>
      </c>
      <c r="R347" s="85"/>
      <c r="S347" s="86">
        <f t="shared" si="211"/>
        <v>0</v>
      </c>
      <c r="T347" s="87">
        <f t="shared" si="212"/>
        <v>0</v>
      </c>
    </row>
    <row r="348" spans="2:31" ht="20.100000000000001" hidden="1" customHeight="1">
      <c r="B348" s="77">
        <v>4</v>
      </c>
      <c r="C348" s="78" t="s">
        <v>687</v>
      </c>
      <c r="D348" s="79" t="s">
        <v>688</v>
      </c>
      <c r="E348" s="80" t="s">
        <v>689</v>
      </c>
      <c r="F348" s="81">
        <v>6.67</v>
      </c>
      <c r="G348" s="222"/>
      <c r="H348" s="186"/>
      <c r="I348" s="186"/>
      <c r="J348" s="308"/>
      <c r="K348" s="227"/>
      <c r="L348" s="82">
        <f t="shared" si="206"/>
        <v>0</v>
      </c>
      <c r="M348" s="331"/>
      <c r="N348" s="161">
        <f t="shared" si="207"/>
        <v>0</v>
      </c>
      <c r="O348" s="161">
        <f t="shared" si="208"/>
        <v>0</v>
      </c>
      <c r="P348" s="187">
        <f t="shared" si="209"/>
        <v>0</v>
      </c>
      <c r="Q348" s="161">
        <f t="shared" si="210"/>
        <v>0</v>
      </c>
      <c r="R348" s="85"/>
      <c r="S348" s="86">
        <f t="shared" si="211"/>
        <v>0</v>
      </c>
      <c r="T348" s="87">
        <f t="shared" si="212"/>
        <v>0</v>
      </c>
    </row>
    <row r="349" spans="2:31" ht="20.100000000000001" hidden="1" customHeight="1">
      <c r="B349" s="77">
        <v>4</v>
      </c>
      <c r="C349" s="78" t="s">
        <v>687</v>
      </c>
      <c r="D349" s="79" t="s">
        <v>691</v>
      </c>
      <c r="E349" s="80" t="s">
        <v>692</v>
      </c>
      <c r="F349" s="81">
        <v>36.11</v>
      </c>
      <c r="G349" s="222">
        <v>2</v>
      </c>
      <c r="H349" s="186"/>
      <c r="I349" s="186"/>
      <c r="J349" s="308"/>
      <c r="K349" s="227">
        <v>1</v>
      </c>
      <c r="L349" s="82">
        <f t="shared" si="206"/>
        <v>1</v>
      </c>
      <c r="M349" s="331">
        <v>1</v>
      </c>
      <c r="N349" s="161">
        <f t="shared" si="207"/>
        <v>36.11</v>
      </c>
      <c r="O349" s="161">
        <f t="shared" si="208"/>
        <v>36.11</v>
      </c>
      <c r="P349" s="187">
        <f t="shared" si="209"/>
        <v>0</v>
      </c>
      <c r="Q349" s="161">
        <f t="shared" si="210"/>
        <v>0</v>
      </c>
      <c r="R349" s="232"/>
      <c r="S349" s="86">
        <f t="shared" si="211"/>
        <v>3</v>
      </c>
      <c r="T349" s="87">
        <f t="shared" si="212"/>
        <v>-2</v>
      </c>
      <c r="U349">
        <v>3</v>
      </c>
    </row>
    <row r="350" spans="2:31" ht="20.100000000000001" hidden="1" customHeight="1">
      <c r="B350" s="77">
        <v>4</v>
      </c>
      <c r="C350" s="78" t="s">
        <v>687</v>
      </c>
      <c r="D350" s="79" t="s">
        <v>693</v>
      </c>
      <c r="E350" s="80" t="s">
        <v>694</v>
      </c>
      <c r="F350" s="81">
        <v>7.28</v>
      </c>
      <c r="G350" s="222"/>
      <c r="H350" s="186"/>
      <c r="I350" s="186"/>
      <c r="J350" s="308"/>
      <c r="K350" s="227"/>
      <c r="L350" s="82">
        <f t="shared" si="206"/>
        <v>0</v>
      </c>
      <c r="M350" s="331"/>
      <c r="N350" s="161">
        <f t="shared" si="207"/>
        <v>0</v>
      </c>
      <c r="O350" s="161">
        <f t="shared" si="208"/>
        <v>0</v>
      </c>
      <c r="P350" s="187">
        <f t="shared" si="209"/>
        <v>0</v>
      </c>
      <c r="Q350" s="161">
        <f t="shared" si="210"/>
        <v>0</v>
      </c>
      <c r="R350" s="232"/>
      <c r="S350" s="86">
        <f t="shared" si="211"/>
        <v>0</v>
      </c>
      <c r="T350" s="87">
        <f t="shared" si="212"/>
        <v>0</v>
      </c>
    </row>
    <row r="351" spans="2:31" ht="20.100000000000001" hidden="1" customHeight="1">
      <c r="B351" s="77">
        <v>4</v>
      </c>
      <c r="C351" s="78" t="s">
        <v>687</v>
      </c>
      <c r="D351" s="79" t="s">
        <v>695</v>
      </c>
      <c r="E351" s="80" t="s">
        <v>696</v>
      </c>
      <c r="F351" s="81">
        <v>8.3800000000000008</v>
      </c>
      <c r="G351" s="222">
        <v>101</v>
      </c>
      <c r="H351" s="186"/>
      <c r="I351" s="186"/>
      <c r="J351" s="308"/>
      <c r="K351" s="227">
        <v>6</v>
      </c>
      <c r="L351" s="82">
        <f t="shared" si="206"/>
        <v>95</v>
      </c>
      <c r="M351" s="331">
        <v>95</v>
      </c>
      <c r="N351" s="161">
        <f t="shared" si="207"/>
        <v>796.1</v>
      </c>
      <c r="O351" s="161">
        <f t="shared" si="208"/>
        <v>796.1</v>
      </c>
      <c r="P351" s="187">
        <f t="shared" si="209"/>
        <v>0</v>
      </c>
      <c r="Q351" s="161">
        <f t="shared" si="210"/>
        <v>0</v>
      </c>
      <c r="R351" s="85"/>
      <c r="S351" s="86">
        <f t="shared" si="211"/>
        <v>5</v>
      </c>
      <c r="T351" s="87">
        <f t="shared" si="212"/>
        <v>90</v>
      </c>
      <c r="U351">
        <v>5</v>
      </c>
    </row>
    <row r="352" spans="2:31" ht="20.100000000000001" hidden="1" customHeight="1">
      <c r="B352" s="77">
        <v>4</v>
      </c>
      <c r="C352" s="78" t="s">
        <v>687</v>
      </c>
      <c r="D352" s="79" t="s">
        <v>699</v>
      </c>
      <c r="E352" s="80" t="s">
        <v>700</v>
      </c>
      <c r="F352" s="81">
        <v>107.5</v>
      </c>
      <c r="G352" s="222"/>
      <c r="H352" s="186"/>
      <c r="I352" s="186"/>
      <c r="J352" s="308"/>
      <c r="K352" s="227"/>
      <c r="L352" s="82">
        <f t="shared" si="206"/>
        <v>0</v>
      </c>
      <c r="M352" s="331"/>
      <c r="N352" s="161">
        <f t="shared" si="207"/>
        <v>0</v>
      </c>
      <c r="O352" s="161">
        <f t="shared" si="208"/>
        <v>0</v>
      </c>
      <c r="P352" s="187">
        <f t="shared" si="209"/>
        <v>0</v>
      </c>
      <c r="Q352" s="161">
        <f t="shared" si="210"/>
        <v>0</v>
      </c>
      <c r="R352" s="85"/>
      <c r="S352" s="86">
        <f t="shared" si="211"/>
        <v>0</v>
      </c>
      <c r="T352" s="87">
        <f t="shared" si="212"/>
        <v>0</v>
      </c>
    </row>
    <row r="353" spans="2:31" ht="20.100000000000001" hidden="1" customHeight="1">
      <c r="B353" s="77">
        <v>4</v>
      </c>
      <c r="C353" s="78" t="s">
        <v>687</v>
      </c>
      <c r="D353" s="79" t="s">
        <v>701</v>
      </c>
      <c r="E353" s="80" t="s">
        <v>702</v>
      </c>
      <c r="F353" s="81">
        <v>36</v>
      </c>
      <c r="G353" s="222">
        <v>4</v>
      </c>
      <c r="H353" s="186"/>
      <c r="I353" s="186">
        <v>2</v>
      </c>
      <c r="J353" s="308">
        <v>2</v>
      </c>
      <c r="K353" s="227"/>
      <c r="L353" s="82">
        <f t="shared" si="206"/>
        <v>4</v>
      </c>
      <c r="M353" s="331">
        <v>4</v>
      </c>
      <c r="N353" s="161">
        <f t="shared" si="207"/>
        <v>144</v>
      </c>
      <c r="O353" s="161">
        <f t="shared" si="208"/>
        <v>144</v>
      </c>
      <c r="P353" s="187">
        <f t="shared" si="209"/>
        <v>0</v>
      </c>
      <c r="Q353" s="161">
        <f t="shared" si="210"/>
        <v>0</v>
      </c>
      <c r="R353" s="85"/>
      <c r="S353" s="86">
        <f t="shared" si="211"/>
        <v>0</v>
      </c>
      <c r="T353" s="87">
        <f t="shared" si="212"/>
        <v>4</v>
      </c>
    </row>
    <row r="354" spans="2:31" ht="20.100000000000001" hidden="1" customHeight="1">
      <c r="B354" s="77">
        <v>4</v>
      </c>
      <c r="C354" s="78" t="s">
        <v>687</v>
      </c>
      <c r="D354" s="219" t="s">
        <v>697</v>
      </c>
      <c r="E354" s="276" t="s">
        <v>698</v>
      </c>
      <c r="F354" s="81">
        <v>36</v>
      </c>
      <c r="G354" s="222">
        <v>1</v>
      </c>
      <c r="H354" s="186"/>
      <c r="I354" s="186">
        <v>2</v>
      </c>
      <c r="J354" s="308">
        <v>2</v>
      </c>
      <c r="K354" s="227"/>
      <c r="L354" s="82">
        <f t="shared" si="206"/>
        <v>1</v>
      </c>
      <c r="M354" s="331">
        <v>1</v>
      </c>
      <c r="N354" s="161">
        <f t="shared" si="207"/>
        <v>36</v>
      </c>
      <c r="O354" s="161">
        <f t="shared" si="208"/>
        <v>36</v>
      </c>
      <c r="P354" s="187">
        <f t="shared" si="209"/>
        <v>0</v>
      </c>
      <c r="Q354" s="161">
        <f t="shared" si="210"/>
        <v>0</v>
      </c>
      <c r="R354" s="85"/>
      <c r="S354" s="86">
        <f t="shared" si="211"/>
        <v>0</v>
      </c>
      <c r="T354" s="87">
        <f t="shared" si="212"/>
        <v>1</v>
      </c>
    </row>
    <row r="355" spans="2:31" ht="20.100000000000001" hidden="1" customHeight="1">
      <c r="B355" s="77">
        <v>4</v>
      </c>
      <c r="C355" s="78" t="s">
        <v>687</v>
      </c>
      <c r="D355" s="79" t="s">
        <v>703</v>
      </c>
      <c r="E355" s="80" t="s">
        <v>704</v>
      </c>
      <c r="F355" s="81">
        <v>7.25</v>
      </c>
      <c r="G355" s="222"/>
      <c r="H355" s="186"/>
      <c r="I355" s="186"/>
      <c r="J355" s="308"/>
      <c r="K355" s="227"/>
      <c r="L355" s="82">
        <f t="shared" si="206"/>
        <v>0</v>
      </c>
      <c r="M355" s="331"/>
      <c r="N355" s="161">
        <f t="shared" si="207"/>
        <v>0</v>
      </c>
      <c r="O355" s="161">
        <f t="shared" si="208"/>
        <v>0</v>
      </c>
      <c r="P355" s="187">
        <f t="shared" si="209"/>
        <v>0</v>
      </c>
      <c r="Q355" s="161">
        <f t="shared" si="210"/>
        <v>0</v>
      </c>
      <c r="R355" s="85"/>
      <c r="S355" s="86">
        <f t="shared" si="211"/>
        <v>0</v>
      </c>
      <c r="T355" s="87">
        <f t="shared" si="212"/>
        <v>0</v>
      </c>
    </row>
    <row r="356" spans="2:31" ht="20.100000000000001" hidden="1" customHeight="1">
      <c r="B356" s="77">
        <v>4</v>
      </c>
      <c r="C356" s="78" t="s">
        <v>687</v>
      </c>
      <c r="D356" s="79" t="s">
        <v>705</v>
      </c>
      <c r="E356" s="80" t="s">
        <v>706</v>
      </c>
      <c r="F356" s="81">
        <v>7.7</v>
      </c>
      <c r="G356" s="222"/>
      <c r="H356" s="186"/>
      <c r="I356" s="186"/>
      <c r="J356" s="308"/>
      <c r="K356" s="227"/>
      <c r="L356" s="82">
        <f t="shared" si="206"/>
        <v>0</v>
      </c>
      <c r="M356" s="331"/>
      <c r="N356" s="161">
        <f t="shared" si="207"/>
        <v>0</v>
      </c>
      <c r="O356" s="161">
        <f t="shared" si="208"/>
        <v>0</v>
      </c>
      <c r="P356" s="187">
        <f t="shared" si="209"/>
        <v>0</v>
      </c>
      <c r="Q356" s="161">
        <f t="shared" si="210"/>
        <v>0</v>
      </c>
      <c r="R356" s="85"/>
      <c r="S356" s="86">
        <f t="shared" si="211"/>
        <v>0</v>
      </c>
      <c r="T356" s="87">
        <f t="shared" si="212"/>
        <v>0</v>
      </c>
    </row>
    <row r="357" spans="2:31" ht="20.100000000000001" hidden="1" customHeight="1">
      <c r="B357" s="77">
        <v>4</v>
      </c>
      <c r="C357" s="78" t="s">
        <v>687</v>
      </c>
      <c r="D357" s="79" t="s">
        <v>707</v>
      </c>
      <c r="E357" s="80" t="s">
        <v>708</v>
      </c>
      <c r="F357" s="81">
        <v>14.65</v>
      </c>
      <c r="G357" s="222">
        <v>60</v>
      </c>
      <c r="H357" s="186"/>
      <c r="I357" s="186"/>
      <c r="J357" s="308"/>
      <c r="K357" s="227"/>
      <c r="L357" s="82">
        <f t="shared" si="206"/>
        <v>60</v>
      </c>
      <c r="M357" s="331">
        <v>60</v>
      </c>
      <c r="N357" s="161">
        <f t="shared" si="207"/>
        <v>879</v>
      </c>
      <c r="O357" s="161">
        <f t="shared" si="208"/>
        <v>879</v>
      </c>
      <c r="P357" s="187">
        <f t="shared" si="209"/>
        <v>0</v>
      </c>
      <c r="Q357" s="161">
        <f t="shared" si="210"/>
        <v>0</v>
      </c>
      <c r="R357" s="232" t="s">
        <v>3830</v>
      </c>
      <c r="S357" s="86">
        <f t="shared" si="211"/>
        <v>69</v>
      </c>
      <c r="T357" s="87">
        <f t="shared" si="212"/>
        <v>-9</v>
      </c>
      <c r="U357">
        <v>9</v>
      </c>
      <c r="W357">
        <f>12*5</f>
        <v>60</v>
      </c>
      <c r="X357" t="s">
        <v>709</v>
      </c>
      <c r="AD357">
        <f>W357</f>
        <v>60</v>
      </c>
      <c r="AE357" s="89">
        <f>AD357*F357</f>
        <v>879</v>
      </c>
    </row>
    <row r="358" spans="2:31" ht="20.100000000000001" hidden="1" customHeight="1">
      <c r="B358" s="77">
        <v>4</v>
      </c>
      <c r="C358" s="78" t="s">
        <v>687</v>
      </c>
      <c r="D358" s="79" t="s">
        <v>710</v>
      </c>
      <c r="E358" s="80" t="s">
        <v>711</v>
      </c>
      <c r="F358" s="81">
        <v>5.81</v>
      </c>
      <c r="G358" s="222"/>
      <c r="H358" s="186"/>
      <c r="I358" s="186"/>
      <c r="J358" s="308"/>
      <c r="K358" s="227"/>
      <c r="L358" s="82">
        <f t="shared" si="206"/>
        <v>0</v>
      </c>
      <c r="M358" s="331"/>
      <c r="N358" s="161">
        <f t="shared" si="207"/>
        <v>0</v>
      </c>
      <c r="O358" s="161">
        <f t="shared" si="208"/>
        <v>0</v>
      </c>
      <c r="P358" s="187">
        <f t="shared" si="209"/>
        <v>0</v>
      </c>
      <c r="Q358" s="161">
        <f t="shared" si="210"/>
        <v>0</v>
      </c>
      <c r="R358" s="85"/>
      <c r="S358" s="86">
        <f t="shared" si="211"/>
        <v>0</v>
      </c>
      <c r="T358" s="87">
        <f t="shared" si="212"/>
        <v>0</v>
      </c>
    </row>
    <row r="359" spans="2:31" ht="20.100000000000001" hidden="1" customHeight="1">
      <c r="B359" s="77">
        <v>4</v>
      </c>
      <c r="C359" s="78" t="s">
        <v>687</v>
      </c>
      <c r="D359" s="79" t="s">
        <v>712</v>
      </c>
      <c r="E359" s="80" t="s">
        <v>713</v>
      </c>
      <c r="F359" s="81">
        <v>28.94</v>
      </c>
      <c r="G359" s="222">
        <v>29</v>
      </c>
      <c r="H359" s="186"/>
      <c r="I359" s="186"/>
      <c r="J359" s="308"/>
      <c r="K359" s="227">
        <v>2</v>
      </c>
      <c r="L359" s="82">
        <f t="shared" si="206"/>
        <v>27</v>
      </c>
      <c r="M359" s="331">
        <v>27</v>
      </c>
      <c r="N359" s="161">
        <f t="shared" si="207"/>
        <v>781.38</v>
      </c>
      <c r="O359" s="161">
        <f t="shared" si="208"/>
        <v>781.38</v>
      </c>
      <c r="P359" s="187">
        <f t="shared" si="209"/>
        <v>0</v>
      </c>
      <c r="Q359" s="161">
        <f t="shared" si="210"/>
        <v>0</v>
      </c>
      <c r="R359" s="85"/>
      <c r="S359" s="86">
        <f t="shared" si="211"/>
        <v>29</v>
      </c>
      <c r="T359" s="87">
        <f t="shared" si="212"/>
        <v>-2</v>
      </c>
      <c r="U359">
        <v>29</v>
      </c>
    </row>
    <row r="360" spans="2:31" ht="20.100000000000001" hidden="1" customHeight="1">
      <c r="B360" s="77">
        <v>4</v>
      </c>
      <c r="C360" s="78" t="s">
        <v>687</v>
      </c>
      <c r="D360" s="79" t="s">
        <v>714</v>
      </c>
      <c r="E360" s="80" t="s">
        <v>715</v>
      </c>
      <c r="F360" s="81">
        <v>109.97</v>
      </c>
      <c r="G360" s="222">
        <v>9</v>
      </c>
      <c r="H360" s="186"/>
      <c r="I360" s="186"/>
      <c r="J360" s="308"/>
      <c r="K360" s="227"/>
      <c r="L360" s="82">
        <f t="shared" si="206"/>
        <v>9</v>
      </c>
      <c r="M360" s="331">
        <v>9</v>
      </c>
      <c r="N360" s="161">
        <f t="shared" si="207"/>
        <v>989.73</v>
      </c>
      <c r="O360" s="161">
        <f t="shared" si="208"/>
        <v>989.73</v>
      </c>
      <c r="P360" s="187">
        <f t="shared" si="209"/>
        <v>0</v>
      </c>
      <c r="Q360" s="161">
        <f t="shared" si="210"/>
        <v>0</v>
      </c>
      <c r="R360" s="85"/>
      <c r="S360" s="86">
        <f t="shared" si="211"/>
        <v>3</v>
      </c>
      <c r="T360" s="87">
        <f t="shared" si="212"/>
        <v>6</v>
      </c>
      <c r="U360">
        <v>3</v>
      </c>
    </row>
    <row r="361" spans="2:31" ht="20.100000000000001" hidden="1" customHeight="1">
      <c r="B361" s="77">
        <v>4</v>
      </c>
      <c r="C361" s="78" t="s">
        <v>687</v>
      </c>
      <c r="D361" s="79" t="s">
        <v>716</v>
      </c>
      <c r="E361" s="80" t="s">
        <v>717</v>
      </c>
      <c r="F361" s="81">
        <v>33.76</v>
      </c>
      <c r="G361" s="222">
        <v>2</v>
      </c>
      <c r="H361" s="186"/>
      <c r="I361" s="186"/>
      <c r="J361" s="308"/>
      <c r="K361" s="227"/>
      <c r="L361" s="82">
        <f t="shared" si="206"/>
        <v>2</v>
      </c>
      <c r="M361" s="331">
        <v>2</v>
      </c>
      <c r="N361" s="161">
        <f t="shared" si="207"/>
        <v>67.52</v>
      </c>
      <c r="O361" s="161">
        <f t="shared" si="208"/>
        <v>67.52</v>
      </c>
      <c r="P361" s="187">
        <f t="shared" si="209"/>
        <v>0</v>
      </c>
      <c r="Q361" s="161">
        <f t="shared" si="210"/>
        <v>0</v>
      </c>
      <c r="R361" s="85"/>
      <c r="S361" s="86">
        <f t="shared" si="211"/>
        <v>3</v>
      </c>
      <c r="T361" s="87">
        <f t="shared" si="212"/>
        <v>-1</v>
      </c>
      <c r="U361">
        <v>3</v>
      </c>
    </row>
    <row r="362" spans="2:31" ht="20.100000000000001" hidden="1" customHeight="1">
      <c r="B362" s="77">
        <v>4</v>
      </c>
      <c r="C362" s="78" t="s">
        <v>687</v>
      </c>
      <c r="D362" s="79" t="s">
        <v>718</v>
      </c>
      <c r="E362" s="80" t="s">
        <v>719</v>
      </c>
      <c r="F362" s="81">
        <v>38</v>
      </c>
      <c r="G362" s="222">
        <v>2</v>
      </c>
      <c r="H362" s="186"/>
      <c r="I362" s="186"/>
      <c r="J362" s="308">
        <v>1</v>
      </c>
      <c r="K362" s="227">
        <v>1</v>
      </c>
      <c r="L362" s="82">
        <f t="shared" si="206"/>
        <v>0</v>
      </c>
      <c r="M362" s="331"/>
      <c r="N362" s="161">
        <f t="shared" si="207"/>
        <v>0</v>
      </c>
      <c r="O362" s="161">
        <f t="shared" si="208"/>
        <v>0</v>
      </c>
      <c r="P362" s="187">
        <f t="shared" si="209"/>
        <v>0</v>
      </c>
      <c r="Q362" s="161">
        <f t="shared" si="210"/>
        <v>0</v>
      </c>
      <c r="R362" s="85" t="s">
        <v>720</v>
      </c>
      <c r="S362" s="86">
        <f t="shared" si="211"/>
        <v>20</v>
      </c>
      <c r="T362" s="87">
        <f t="shared" si="212"/>
        <v>-20</v>
      </c>
      <c r="U362">
        <v>5</v>
      </c>
      <c r="W362">
        <v>15</v>
      </c>
      <c r="X362" t="s">
        <v>115</v>
      </c>
      <c r="AD362">
        <f>W362</f>
        <v>15</v>
      </c>
      <c r="AE362" s="89">
        <f>AD362*F362</f>
        <v>570</v>
      </c>
    </row>
    <row r="363" spans="2:31" ht="20.100000000000001" hidden="1" customHeight="1">
      <c r="B363" s="77">
        <v>4</v>
      </c>
      <c r="C363" s="78" t="s">
        <v>687</v>
      </c>
      <c r="D363" s="79" t="s">
        <v>721</v>
      </c>
      <c r="E363" s="80" t="s">
        <v>722</v>
      </c>
      <c r="F363" s="81">
        <v>38</v>
      </c>
      <c r="G363" s="222">
        <v>12</v>
      </c>
      <c r="H363" s="186"/>
      <c r="I363" s="186"/>
      <c r="J363" s="308">
        <v>1</v>
      </c>
      <c r="K363" s="227"/>
      <c r="L363" s="82">
        <f t="shared" si="206"/>
        <v>11</v>
      </c>
      <c r="M363" s="331">
        <v>11</v>
      </c>
      <c r="N363" s="161">
        <f t="shared" si="207"/>
        <v>418</v>
      </c>
      <c r="O363" s="161">
        <f t="shared" si="208"/>
        <v>418</v>
      </c>
      <c r="P363" s="187">
        <f t="shared" si="209"/>
        <v>0</v>
      </c>
      <c r="Q363" s="161">
        <f t="shared" si="210"/>
        <v>0</v>
      </c>
      <c r="R363" s="85" t="s">
        <v>723</v>
      </c>
      <c r="S363" s="86">
        <f t="shared" si="211"/>
        <v>15</v>
      </c>
      <c r="T363" s="87">
        <f t="shared" si="212"/>
        <v>-4</v>
      </c>
      <c r="U363">
        <v>4</v>
      </c>
      <c r="W363">
        <v>11</v>
      </c>
      <c r="X363" t="s">
        <v>115</v>
      </c>
      <c r="AD363">
        <f>W363</f>
        <v>11</v>
      </c>
      <c r="AE363" s="89">
        <f>AD363*F363</f>
        <v>418</v>
      </c>
    </row>
    <row r="364" spans="2:31" ht="20.100000000000001" hidden="1" customHeight="1">
      <c r="B364" s="77">
        <v>4</v>
      </c>
      <c r="C364" s="78" t="s">
        <v>687</v>
      </c>
      <c r="D364" s="79" t="s">
        <v>724</v>
      </c>
      <c r="E364" s="80" t="s">
        <v>725</v>
      </c>
      <c r="F364" s="81">
        <v>28.76</v>
      </c>
      <c r="G364" s="222">
        <v>3</v>
      </c>
      <c r="H364" s="186"/>
      <c r="I364" s="186"/>
      <c r="J364" s="308"/>
      <c r="K364" s="227"/>
      <c r="L364" s="82">
        <f t="shared" si="206"/>
        <v>3</v>
      </c>
      <c r="M364" s="331">
        <v>3</v>
      </c>
      <c r="N364" s="161">
        <f t="shared" si="207"/>
        <v>86.28</v>
      </c>
      <c r="O364" s="161">
        <f t="shared" si="208"/>
        <v>86.28</v>
      </c>
      <c r="P364" s="187">
        <f t="shared" si="209"/>
        <v>0</v>
      </c>
      <c r="Q364" s="161">
        <f t="shared" si="210"/>
        <v>0</v>
      </c>
      <c r="R364" s="85"/>
      <c r="S364" s="86">
        <f t="shared" si="211"/>
        <v>3</v>
      </c>
      <c r="T364" s="87">
        <f t="shared" si="212"/>
        <v>0</v>
      </c>
      <c r="U364">
        <v>3</v>
      </c>
    </row>
    <row r="365" spans="2:31" ht="20.100000000000001" hidden="1" customHeight="1">
      <c r="B365" s="77">
        <v>4</v>
      </c>
      <c r="C365" s="78" t="s">
        <v>687</v>
      </c>
      <c r="D365" s="79" t="s">
        <v>726</v>
      </c>
      <c r="E365" s="80" t="s">
        <v>727</v>
      </c>
      <c r="F365" s="81">
        <v>34.270000000000003</v>
      </c>
      <c r="G365" s="222"/>
      <c r="H365" s="186"/>
      <c r="I365" s="186"/>
      <c r="J365" s="308"/>
      <c r="K365" s="227"/>
      <c r="L365" s="82">
        <f t="shared" si="206"/>
        <v>0</v>
      </c>
      <c r="M365" s="331"/>
      <c r="N365" s="161">
        <f t="shared" si="207"/>
        <v>0</v>
      </c>
      <c r="O365" s="161">
        <f t="shared" si="208"/>
        <v>0</v>
      </c>
      <c r="P365" s="187">
        <f t="shared" si="209"/>
        <v>0</v>
      </c>
      <c r="Q365" s="161">
        <f t="shared" si="210"/>
        <v>0</v>
      </c>
      <c r="R365" s="85"/>
      <c r="S365" s="86">
        <f t="shared" si="211"/>
        <v>0</v>
      </c>
      <c r="T365" s="87">
        <f t="shared" si="212"/>
        <v>0</v>
      </c>
    </row>
    <row r="366" spans="2:31" ht="20.100000000000001" hidden="1" customHeight="1">
      <c r="B366" s="77">
        <v>4</v>
      </c>
      <c r="C366" s="78" t="s">
        <v>687</v>
      </c>
      <c r="D366" s="79" t="s">
        <v>728</v>
      </c>
      <c r="E366" s="80" t="s">
        <v>729</v>
      </c>
      <c r="F366" s="81">
        <v>34.270000000000003</v>
      </c>
      <c r="G366" s="222"/>
      <c r="H366" s="186"/>
      <c r="I366" s="186"/>
      <c r="J366" s="308"/>
      <c r="K366" s="227"/>
      <c r="L366" s="82">
        <f t="shared" si="206"/>
        <v>0</v>
      </c>
      <c r="M366" s="331"/>
      <c r="N366" s="161">
        <f t="shared" si="207"/>
        <v>0</v>
      </c>
      <c r="O366" s="161">
        <f t="shared" si="208"/>
        <v>0</v>
      </c>
      <c r="P366" s="187">
        <f t="shared" si="209"/>
        <v>0</v>
      </c>
      <c r="Q366" s="161">
        <f t="shared" si="210"/>
        <v>0</v>
      </c>
      <c r="R366" s="85"/>
      <c r="S366" s="86">
        <f t="shared" si="211"/>
        <v>0</v>
      </c>
      <c r="T366" s="87">
        <f t="shared" si="212"/>
        <v>0</v>
      </c>
    </row>
    <row r="367" spans="2:31" ht="20.100000000000001" hidden="1" customHeight="1">
      <c r="B367" s="77">
        <v>4</v>
      </c>
      <c r="C367" s="78" t="s">
        <v>687</v>
      </c>
      <c r="D367" s="79" t="s">
        <v>730</v>
      </c>
      <c r="E367" s="80" t="s">
        <v>731</v>
      </c>
      <c r="F367" s="81">
        <v>1.77</v>
      </c>
      <c r="G367" s="222"/>
      <c r="H367" s="186"/>
      <c r="I367" s="186"/>
      <c r="J367" s="308"/>
      <c r="K367" s="227"/>
      <c r="L367" s="82">
        <f t="shared" si="206"/>
        <v>0</v>
      </c>
      <c r="M367" s="331"/>
      <c r="N367" s="161">
        <f t="shared" si="207"/>
        <v>0</v>
      </c>
      <c r="O367" s="161">
        <f t="shared" si="208"/>
        <v>0</v>
      </c>
      <c r="P367" s="187">
        <f t="shared" si="209"/>
        <v>0</v>
      </c>
      <c r="Q367" s="161">
        <f t="shared" si="210"/>
        <v>0</v>
      </c>
      <c r="R367" s="85"/>
      <c r="S367" s="86">
        <f t="shared" si="211"/>
        <v>2</v>
      </c>
      <c r="T367" s="87">
        <f t="shared" si="212"/>
        <v>-2</v>
      </c>
      <c r="W367">
        <v>2</v>
      </c>
      <c r="X367" t="s">
        <v>121</v>
      </c>
      <c r="AD367">
        <f>W367</f>
        <v>2</v>
      </c>
      <c r="AE367" s="89">
        <f>AD367*F367</f>
        <v>3.54</v>
      </c>
    </row>
    <row r="368" spans="2:31" ht="20.100000000000001" hidden="1" customHeight="1">
      <c r="B368" s="77">
        <v>4</v>
      </c>
      <c r="C368" s="78" t="s">
        <v>687</v>
      </c>
      <c r="D368" s="79" t="s">
        <v>732</v>
      </c>
      <c r="E368" s="80" t="s">
        <v>733</v>
      </c>
      <c r="F368" s="81">
        <v>22.19</v>
      </c>
      <c r="G368" s="222">
        <v>24</v>
      </c>
      <c r="H368" s="186"/>
      <c r="I368" s="186"/>
      <c r="J368" s="308"/>
      <c r="K368" s="227">
        <v>2</v>
      </c>
      <c r="L368" s="82">
        <f t="shared" si="206"/>
        <v>22</v>
      </c>
      <c r="M368" s="331">
        <v>22</v>
      </c>
      <c r="N368" s="161">
        <f t="shared" si="207"/>
        <v>488.18</v>
      </c>
      <c r="O368" s="161">
        <f t="shared" si="208"/>
        <v>488.18</v>
      </c>
      <c r="P368" s="187">
        <f t="shared" si="209"/>
        <v>0</v>
      </c>
      <c r="Q368" s="161">
        <f t="shared" si="210"/>
        <v>0</v>
      </c>
      <c r="R368" s="85"/>
      <c r="S368" s="86">
        <f t="shared" si="211"/>
        <v>0</v>
      </c>
      <c r="T368" s="87">
        <f t="shared" si="212"/>
        <v>22</v>
      </c>
    </row>
    <row r="369" spans="2:31" ht="20.100000000000001" hidden="1" customHeight="1">
      <c r="B369" s="77">
        <v>4</v>
      </c>
      <c r="C369" s="78" t="s">
        <v>687</v>
      </c>
      <c r="D369" s="79" t="s">
        <v>734</v>
      </c>
      <c r="E369" s="80" t="s">
        <v>735</v>
      </c>
      <c r="F369" s="81">
        <v>44.37</v>
      </c>
      <c r="G369" s="222"/>
      <c r="H369" s="186"/>
      <c r="I369" s="186"/>
      <c r="J369" s="308"/>
      <c r="K369" s="227"/>
      <c r="L369" s="82">
        <f t="shared" si="206"/>
        <v>0</v>
      </c>
      <c r="M369" s="331"/>
      <c r="N369" s="161">
        <f t="shared" si="207"/>
        <v>0</v>
      </c>
      <c r="O369" s="161">
        <f t="shared" si="208"/>
        <v>0</v>
      </c>
      <c r="P369" s="187">
        <f t="shared" si="209"/>
        <v>0</v>
      </c>
      <c r="Q369" s="161">
        <f t="shared" si="210"/>
        <v>0</v>
      </c>
      <c r="R369" s="85"/>
      <c r="S369" s="86">
        <f t="shared" si="211"/>
        <v>0</v>
      </c>
      <c r="T369" s="87">
        <f t="shared" si="212"/>
        <v>0</v>
      </c>
    </row>
    <row r="370" spans="2:31" ht="20.100000000000001" hidden="1" customHeight="1">
      <c r="B370" s="77">
        <v>4</v>
      </c>
      <c r="C370" s="78" t="s">
        <v>687</v>
      </c>
      <c r="D370" s="79" t="s">
        <v>736</v>
      </c>
      <c r="E370" s="80" t="s">
        <v>737</v>
      </c>
      <c r="F370" s="81">
        <v>22.19</v>
      </c>
      <c r="G370" s="222">
        <v>16</v>
      </c>
      <c r="H370" s="186"/>
      <c r="I370" s="186"/>
      <c r="J370" s="308"/>
      <c r="K370" s="227">
        <v>1</v>
      </c>
      <c r="L370" s="82">
        <f t="shared" si="206"/>
        <v>15</v>
      </c>
      <c r="M370" s="331">
        <v>15</v>
      </c>
      <c r="N370" s="161">
        <f t="shared" si="207"/>
        <v>332.85</v>
      </c>
      <c r="O370" s="161">
        <f t="shared" si="208"/>
        <v>332.85</v>
      </c>
      <c r="P370" s="187">
        <f t="shared" si="209"/>
        <v>0</v>
      </c>
      <c r="Q370" s="161">
        <f t="shared" si="210"/>
        <v>0</v>
      </c>
      <c r="R370" s="85"/>
      <c r="S370" s="86">
        <f t="shared" si="211"/>
        <v>0</v>
      </c>
      <c r="T370" s="87">
        <f t="shared" si="212"/>
        <v>15</v>
      </c>
    </row>
    <row r="371" spans="2:31" ht="20.100000000000001" hidden="1" customHeight="1">
      <c r="B371" s="77">
        <v>4</v>
      </c>
      <c r="C371" s="78" t="s">
        <v>687</v>
      </c>
      <c r="D371" s="79" t="s">
        <v>738</v>
      </c>
      <c r="E371" s="80" t="s">
        <v>739</v>
      </c>
      <c r="F371" s="81">
        <v>47.27</v>
      </c>
      <c r="G371" s="222"/>
      <c r="H371" s="186"/>
      <c r="I371" s="186"/>
      <c r="J371" s="308"/>
      <c r="K371" s="227"/>
      <c r="L371" s="82">
        <f t="shared" si="206"/>
        <v>0</v>
      </c>
      <c r="M371" s="331"/>
      <c r="N371" s="161">
        <f t="shared" si="207"/>
        <v>0</v>
      </c>
      <c r="O371" s="161">
        <f t="shared" si="208"/>
        <v>0</v>
      </c>
      <c r="P371" s="187">
        <f t="shared" si="209"/>
        <v>0</v>
      </c>
      <c r="Q371" s="161">
        <f t="shared" si="210"/>
        <v>0</v>
      </c>
      <c r="R371" s="85"/>
      <c r="S371" s="86">
        <f t="shared" si="211"/>
        <v>0</v>
      </c>
      <c r="T371" s="87">
        <f t="shared" si="212"/>
        <v>0</v>
      </c>
    </row>
    <row r="372" spans="2:31" ht="20.100000000000001" hidden="1" customHeight="1">
      <c r="B372" s="77">
        <v>4</v>
      </c>
      <c r="C372" s="78" t="s">
        <v>687</v>
      </c>
      <c r="D372" s="79" t="s">
        <v>740</v>
      </c>
      <c r="E372" s="80" t="s">
        <v>741</v>
      </c>
      <c r="F372" s="81">
        <v>23.63</v>
      </c>
      <c r="G372" s="222">
        <v>19</v>
      </c>
      <c r="H372" s="186"/>
      <c r="I372" s="186"/>
      <c r="J372" s="308"/>
      <c r="K372" s="227">
        <v>11</v>
      </c>
      <c r="L372" s="82">
        <f t="shared" si="206"/>
        <v>8</v>
      </c>
      <c r="M372" s="331">
        <v>8</v>
      </c>
      <c r="N372" s="161">
        <f t="shared" si="207"/>
        <v>189.04</v>
      </c>
      <c r="O372" s="161">
        <f t="shared" si="208"/>
        <v>189.04</v>
      </c>
      <c r="P372" s="187">
        <f t="shared" si="209"/>
        <v>0</v>
      </c>
      <c r="Q372" s="161">
        <f t="shared" si="210"/>
        <v>0</v>
      </c>
      <c r="R372" s="85"/>
      <c r="S372" s="86">
        <f t="shared" si="211"/>
        <v>0</v>
      </c>
      <c r="T372" s="87">
        <f t="shared" si="212"/>
        <v>8</v>
      </c>
    </row>
    <row r="373" spans="2:31" ht="20.100000000000001" hidden="1" customHeight="1">
      <c r="B373" s="77">
        <v>4</v>
      </c>
      <c r="C373" s="78" t="s">
        <v>687</v>
      </c>
      <c r="D373" s="79" t="s">
        <v>742</v>
      </c>
      <c r="E373" s="80" t="s">
        <v>743</v>
      </c>
      <c r="F373" s="81">
        <v>22.19</v>
      </c>
      <c r="G373" s="222">
        <v>21</v>
      </c>
      <c r="H373" s="186"/>
      <c r="I373" s="186"/>
      <c r="J373" s="308"/>
      <c r="K373" s="227">
        <v>2</v>
      </c>
      <c r="L373" s="82">
        <f t="shared" si="206"/>
        <v>19</v>
      </c>
      <c r="M373" s="331">
        <v>19</v>
      </c>
      <c r="N373" s="161">
        <f t="shared" si="207"/>
        <v>421.61</v>
      </c>
      <c r="O373" s="161">
        <f t="shared" si="208"/>
        <v>421.61</v>
      </c>
      <c r="P373" s="187">
        <f t="shared" si="209"/>
        <v>0</v>
      </c>
      <c r="Q373" s="161">
        <f t="shared" si="210"/>
        <v>0</v>
      </c>
      <c r="R373" s="85"/>
      <c r="S373" s="86">
        <f t="shared" si="211"/>
        <v>0</v>
      </c>
      <c r="T373" s="87">
        <f t="shared" si="212"/>
        <v>19</v>
      </c>
    </row>
    <row r="374" spans="2:31" ht="20.100000000000001" hidden="1" customHeight="1">
      <c r="B374" s="77">
        <v>4</v>
      </c>
      <c r="C374" s="78" t="s">
        <v>687</v>
      </c>
      <c r="D374" s="79" t="s">
        <v>3735</v>
      </c>
      <c r="E374" s="80" t="s">
        <v>3736</v>
      </c>
      <c r="F374" s="81">
        <v>22.19</v>
      </c>
      <c r="G374" s="222">
        <v>23</v>
      </c>
      <c r="H374" s="186"/>
      <c r="I374" s="186"/>
      <c r="J374" s="308"/>
      <c r="K374" s="227">
        <v>1</v>
      </c>
      <c r="L374" s="82">
        <f t="shared" si="206"/>
        <v>22</v>
      </c>
      <c r="M374" s="331">
        <v>22</v>
      </c>
      <c r="N374" s="161">
        <f t="shared" ref="N374" si="213">F374*L374</f>
        <v>488.18</v>
      </c>
      <c r="O374" s="161">
        <f t="shared" ref="O374" si="214">M374*F374</f>
        <v>488.18</v>
      </c>
      <c r="P374" s="187">
        <f t="shared" ref="P374" si="215">L374-M374</f>
        <v>0</v>
      </c>
      <c r="Q374" s="161">
        <f t="shared" ref="Q374" si="216">N374-O374</f>
        <v>0</v>
      </c>
      <c r="R374" s="85"/>
      <c r="S374" s="86">
        <f t="shared" ref="S374" si="217">U374+Y374+W374+AA374</f>
        <v>0</v>
      </c>
      <c r="T374" s="87">
        <f t="shared" ref="T374" si="218">M374-S374</f>
        <v>22</v>
      </c>
    </row>
    <row r="375" spans="2:31" ht="20.100000000000001" hidden="1" customHeight="1">
      <c r="B375" s="77">
        <v>4</v>
      </c>
      <c r="C375" s="78" t="s">
        <v>687</v>
      </c>
      <c r="D375" s="79" t="s">
        <v>744</v>
      </c>
      <c r="E375" s="80" t="s">
        <v>745</v>
      </c>
      <c r="F375" s="81">
        <v>44.37</v>
      </c>
      <c r="G375" s="222"/>
      <c r="H375" s="186"/>
      <c r="I375" s="186"/>
      <c r="J375" s="308"/>
      <c r="K375" s="227"/>
      <c r="L375" s="82">
        <f t="shared" si="206"/>
        <v>0</v>
      </c>
      <c r="M375" s="331"/>
      <c r="N375" s="161">
        <f t="shared" si="207"/>
        <v>0</v>
      </c>
      <c r="O375" s="161">
        <f t="shared" si="208"/>
        <v>0</v>
      </c>
      <c r="P375" s="187">
        <f t="shared" si="209"/>
        <v>0</v>
      </c>
      <c r="Q375" s="161">
        <f t="shared" si="210"/>
        <v>0</v>
      </c>
      <c r="R375" s="85"/>
      <c r="S375" s="86">
        <f t="shared" si="211"/>
        <v>0</v>
      </c>
      <c r="T375" s="87">
        <f t="shared" si="212"/>
        <v>0</v>
      </c>
    </row>
    <row r="376" spans="2:31" ht="20.100000000000001" hidden="1" customHeight="1">
      <c r="B376" s="77">
        <v>4</v>
      </c>
      <c r="C376" s="78" t="s">
        <v>687</v>
      </c>
      <c r="D376" s="79" t="s">
        <v>746</v>
      </c>
      <c r="E376" s="80" t="s">
        <v>747</v>
      </c>
      <c r="F376" s="81">
        <v>44.37</v>
      </c>
      <c r="G376" s="222"/>
      <c r="H376" s="186"/>
      <c r="I376" s="186"/>
      <c r="J376" s="308"/>
      <c r="K376" s="227"/>
      <c r="L376" s="82">
        <f t="shared" si="206"/>
        <v>0</v>
      </c>
      <c r="M376" s="331"/>
      <c r="N376" s="161">
        <f t="shared" si="207"/>
        <v>0</v>
      </c>
      <c r="O376" s="161">
        <f t="shared" si="208"/>
        <v>0</v>
      </c>
      <c r="P376" s="187">
        <f t="shared" si="209"/>
        <v>0</v>
      </c>
      <c r="Q376" s="161">
        <f t="shared" si="210"/>
        <v>0</v>
      </c>
      <c r="R376" s="85"/>
      <c r="S376" s="86">
        <f t="shared" si="211"/>
        <v>0</v>
      </c>
      <c r="T376" s="87">
        <f t="shared" si="212"/>
        <v>0</v>
      </c>
    </row>
    <row r="377" spans="2:31" ht="20.100000000000001" hidden="1" customHeight="1">
      <c r="B377" s="77">
        <v>4</v>
      </c>
      <c r="C377" s="78" t="s">
        <v>687</v>
      </c>
      <c r="D377" s="79" t="s">
        <v>748</v>
      </c>
      <c r="E377" s="80" t="s">
        <v>749</v>
      </c>
      <c r="F377" s="81">
        <v>25.72</v>
      </c>
      <c r="G377" s="222"/>
      <c r="H377" s="186"/>
      <c r="I377" s="186"/>
      <c r="J377" s="308"/>
      <c r="K377" s="227"/>
      <c r="L377" s="82">
        <f t="shared" si="206"/>
        <v>0</v>
      </c>
      <c r="M377" s="331"/>
      <c r="N377" s="161">
        <f t="shared" si="207"/>
        <v>0</v>
      </c>
      <c r="O377" s="161">
        <f t="shared" si="208"/>
        <v>0</v>
      </c>
      <c r="P377" s="187">
        <f t="shared" si="209"/>
        <v>0</v>
      </c>
      <c r="Q377" s="161">
        <f t="shared" si="210"/>
        <v>0</v>
      </c>
      <c r="R377" s="85"/>
      <c r="S377" s="86">
        <f t="shared" si="211"/>
        <v>0</v>
      </c>
      <c r="T377" s="87">
        <f t="shared" si="212"/>
        <v>0</v>
      </c>
    </row>
    <row r="378" spans="2:31" ht="20.100000000000001" hidden="1" customHeight="1">
      <c r="B378" s="77">
        <v>4</v>
      </c>
      <c r="C378" s="78" t="s">
        <v>687</v>
      </c>
      <c r="D378" s="79" t="s">
        <v>750</v>
      </c>
      <c r="E378" s="80" t="s">
        <v>751</v>
      </c>
      <c r="F378" s="81">
        <v>44.37</v>
      </c>
      <c r="G378" s="222"/>
      <c r="H378" s="186"/>
      <c r="I378" s="186"/>
      <c r="J378" s="308"/>
      <c r="K378" s="227"/>
      <c r="L378" s="82">
        <f t="shared" si="206"/>
        <v>0</v>
      </c>
      <c r="M378" s="331">
        <v>0</v>
      </c>
      <c r="N378" s="161">
        <f t="shared" si="207"/>
        <v>0</v>
      </c>
      <c r="O378" s="161">
        <f t="shared" si="208"/>
        <v>0</v>
      </c>
      <c r="P378" s="187">
        <f t="shared" si="209"/>
        <v>0</v>
      </c>
      <c r="Q378" s="161">
        <f t="shared" si="210"/>
        <v>0</v>
      </c>
      <c r="R378" s="85"/>
      <c r="S378" s="86">
        <f t="shared" si="211"/>
        <v>0</v>
      </c>
      <c r="T378" s="87">
        <f t="shared" si="212"/>
        <v>0</v>
      </c>
    </row>
    <row r="379" spans="2:31" ht="20.100000000000001" hidden="1" customHeight="1">
      <c r="B379" s="77">
        <v>4</v>
      </c>
      <c r="C379" s="78" t="s">
        <v>687</v>
      </c>
      <c r="D379" s="79" t="s">
        <v>752</v>
      </c>
      <c r="E379" s="80" t="s">
        <v>753</v>
      </c>
      <c r="F379" s="81">
        <v>33.76</v>
      </c>
      <c r="G379" s="222">
        <v>9</v>
      </c>
      <c r="H379" s="186"/>
      <c r="I379" s="186"/>
      <c r="J379" s="308"/>
      <c r="K379" s="227"/>
      <c r="L379" s="82">
        <f t="shared" si="206"/>
        <v>9</v>
      </c>
      <c r="M379" s="331">
        <v>9</v>
      </c>
      <c r="N379" s="161">
        <f t="shared" si="207"/>
        <v>303.83999999999997</v>
      </c>
      <c r="O379" s="161">
        <f t="shared" si="208"/>
        <v>303.83999999999997</v>
      </c>
      <c r="P379" s="187">
        <f t="shared" si="209"/>
        <v>0</v>
      </c>
      <c r="Q379" s="161">
        <f t="shared" si="210"/>
        <v>0</v>
      </c>
      <c r="R379" s="85"/>
      <c r="S379" s="86">
        <f t="shared" si="211"/>
        <v>1</v>
      </c>
      <c r="T379" s="87">
        <f t="shared" si="212"/>
        <v>8</v>
      </c>
      <c r="AA379">
        <v>1</v>
      </c>
      <c r="AB379" s="88" t="s">
        <v>260</v>
      </c>
    </row>
    <row r="380" spans="2:31" ht="20.100000000000001" hidden="1" customHeight="1">
      <c r="B380" s="77">
        <v>4</v>
      </c>
      <c r="C380" s="78" t="s">
        <v>687</v>
      </c>
      <c r="D380" s="79" t="s">
        <v>754</v>
      </c>
      <c r="E380" s="80" t="s">
        <v>755</v>
      </c>
      <c r="F380" s="81">
        <v>29.9</v>
      </c>
      <c r="G380" s="222">
        <v>12</v>
      </c>
      <c r="H380" s="186"/>
      <c r="I380" s="186"/>
      <c r="J380" s="308"/>
      <c r="K380" s="227"/>
      <c r="L380" s="82">
        <f t="shared" si="206"/>
        <v>12</v>
      </c>
      <c r="M380" s="331">
        <v>12</v>
      </c>
      <c r="N380" s="161">
        <f t="shared" si="207"/>
        <v>358.79999999999995</v>
      </c>
      <c r="O380" s="161">
        <f t="shared" si="208"/>
        <v>358.79999999999995</v>
      </c>
      <c r="P380" s="187">
        <f t="shared" si="209"/>
        <v>0</v>
      </c>
      <c r="Q380" s="161">
        <f t="shared" si="210"/>
        <v>0</v>
      </c>
      <c r="R380" s="85"/>
      <c r="S380" s="86">
        <f t="shared" si="211"/>
        <v>4</v>
      </c>
      <c r="T380" s="87">
        <f t="shared" si="212"/>
        <v>8</v>
      </c>
      <c r="U380">
        <v>4</v>
      </c>
    </row>
    <row r="381" spans="2:31" ht="20.100000000000001" hidden="1" customHeight="1">
      <c r="B381" s="77">
        <v>4</v>
      </c>
      <c r="C381" s="78" t="s">
        <v>687</v>
      </c>
      <c r="D381" s="79" t="s">
        <v>756</v>
      </c>
      <c r="E381" s="80" t="s">
        <v>757</v>
      </c>
      <c r="F381" s="81">
        <v>54.98</v>
      </c>
      <c r="G381" s="222"/>
      <c r="H381" s="186"/>
      <c r="I381" s="186"/>
      <c r="J381" s="308"/>
      <c r="K381" s="227"/>
      <c r="L381" s="82">
        <f t="shared" si="206"/>
        <v>0</v>
      </c>
      <c r="M381" s="331"/>
      <c r="N381" s="161">
        <f t="shared" si="207"/>
        <v>0</v>
      </c>
      <c r="O381" s="161">
        <f t="shared" si="208"/>
        <v>0</v>
      </c>
      <c r="P381" s="187">
        <f t="shared" si="209"/>
        <v>0</v>
      </c>
      <c r="Q381" s="161">
        <f t="shared" si="210"/>
        <v>0</v>
      </c>
      <c r="R381" s="85"/>
      <c r="S381" s="86">
        <f t="shared" si="211"/>
        <v>0</v>
      </c>
      <c r="T381" s="87">
        <f t="shared" si="212"/>
        <v>0</v>
      </c>
    </row>
    <row r="382" spans="2:31" ht="20.100000000000001" hidden="1" customHeight="1">
      <c r="B382" s="77">
        <v>4</v>
      </c>
      <c r="C382" s="78" t="s">
        <v>687</v>
      </c>
      <c r="D382" s="79" t="s">
        <v>758</v>
      </c>
      <c r="E382" s="80" t="s">
        <v>759</v>
      </c>
      <c r="F382" s="81">
        <v>32.67</v>
      </c>
      <c r="G382" s="222"/>
      <c r="H382" s="186"/>
      <c r="I382" s="186"/>
      <c r="J382" s="308"/>
      <c r="K382" s="227"/>
      <c r="L382" s="82">
        <f t="shared" si="206"/>
        <v>0</v>
      </c>
      <c r="M382" s="331"/>
      <c r="N382" s="161">
        <f t="shared" si="207"/>
        <v>0</v>
      </c>
      <c r="O382" s="161">
        <f t="shared" si="208"/>
        <v>0</v>
      </c>
      <c r="P382" s="187">
        <f t="shared" si="209"/>
        <v>0</v>
      </c>
      <c r="Q382" s="161">
        <f t="shared" si="210"/>
        <v>0</v>
      </c>
      <c r="R382" s="85"/>
      <c r="S382" s="86">
        <f t="shared" si="211"/>
        <v>0</v>
      </c>
      <c r="T382" s="87">
        <f t="shared" si="212"/>
        <v>0</v>
      </c>
    </row>
    <row r="383" spans="2:31" ht="20.100000000000001" hidden="1" customHeight="1">
      <c r="B383" s="77">
        <v>4</v>
      </c>
      <c r="C383" s="78" t="s">
        <v>687</v>
      </c>
      <c r="D383" s="79" t="s">
        <v>760</v>
      </c>
      <c r="E383" s="80" t="s">
        <v>761</v>
      </c>
      <c r="F383" s="81">
        <v>41.46</v>
      </c>
      <c r="G383" s="222">
        <v>1</v>
      </c>
      <c r="H383" s="186"/>
      <c r="I383" s="186"/>
      <c r="J383" s="308"/>
      <c r="K383" s="227"/>
      <c r="L383" s="82">
        <f t="shared" si="206"/>
        <v>1</v>
      </c>
      <c r="M383" s="331">
        <v>1</v>
      </c>
      <c r="N383" s="161">
        <f t="shared" si="207"/>
        <v>41.46</v>
      </c>
      <c r="O383" s="161">
        <f t="shared" si="208"/>
        <v>41.46</v>
      </c>
      <c r="P383" s="187">
        <f t="shared" si="209"/>
        <v>0</v>
      </c>
      <c r="Q383" s="161">
        <f t="shared" si="210"/>
        <v>0</v>
      </c>
      <c r="R383" s="85"/>
      <c r="S383" s="86">
        <f t="shared" si="211"/>
        <v>1</v>
      </c>
      <c r="T383" s="87">
        <f t="shared" si="212"/>
        <v>0</v>
      </c>
      <c r="AA383">
        <v>1</v>
      </c>
      <c r="AB383" s="88" t="s">
        <v>171</v>
      </c>
      <c r="AD383">
        <f>AA383</f>
        <v>1</v>
      </c>
      <c r="AE383" s="89">
        <f>AD383*F383</f>
        <v>41.46</v>
      </c>
    </row>
    <row r="384" spans="2:31" ht="20.100000000000001" hidden="1" customHeight="1">
      <c r="B384" s="77">
        <v>4</v>
      </c>
      <c r="C384" s="78" t="s">
        <v>687</v>
      </c>
      <c r="D384" s="79" t="s">
        <v>762</v>
      </c>
      <c r="E384" s="80" t="s">
        <v>763</v>
      </c>
      <c r="F384" s="193">
        <v>31.04</v>
      </c>
      <c r="G384" s="222">
        <v>8</v>
      </c>
      <c r="H384" s="186"/>
      <c r="I384" s="186"/>
      <c r="J384" s="308"/>
      <c r="K384" s="227">
        <v>2</v>
      </c>
      <c r="L384" s="82">
        <f t="shared" si="206"/>
        <v>6</v>
      </c>
      <c r="M384" s="331">
        <v>6</v>
      </c>
      <c r="N384" s="161">
        <f t="shared" si="207"/>
        <v>186.24</v>
      </c>
      <c r="O384" s="161">
        <f t="shared" si="208"/>
        <v>186.24</v>
      </c>
      <c r="P384" s="187">
        <f t="shared" si="209"/>
        <v>0</v>
      </c>
      <c r="Q384" s="161">
        <f t="shared" si="210"/>
        <v>0</v>
      </c>
      <c r="R384" s="85"/>
      <c r="S384" s="86">
        <f t="shared" si="211"/>
        <v>5</v>
      </c>
      <c r="T384" s="87">
        <f t="shared" si="212"/>
        <v>1</v>
      </c>
      <c r="U384">
        <v>5</v>
      </c>
    </row>
    <row r="385" spans="2:31" ht="20.100000000000001" hidden="1" customHeight="1">
      <c r="B385" s="77">
        <v>4</v>
      </c>
      <c r="C385" s="78" t="s">
        <v>687</v>
      </c>
      <c r="D385" s="79" t="s">
        <v>764</v>
      </c>
      <c r="E385" s="80" t="s">
        <v>765</v>
      </c>
      <c r="F385" s="81">
        <v>34.270000000000003</v>
      </c>
      <c r="G385" s="222">
        <v>1</v>
      </c>
      <c r="H385" s="186"/>
      <c r="I385" s="186"/>
      <c r="J385" s="308"/>
      <c r="K385" s="227"/>
      <c r="L385" s="82">
        <f t="shared" si="206"/>
        <v>1</v>
      </c>
      <c r="M385" s="331">
        <v>1</v>
      </c>
      <c r="N385" s="161">
        <f t="shared" si="207"/>
        <v>34.270000000000003</v>
      </c>
      <c r="O385" s="161">
        <f t="shared" si="208"/>
        <v>34.270000000000003</v>
      </c>
      <c r="P385" s="187">
        <f t="shared" si="209"/>
        <v>0</v>
      </c>
      <c r="Q385" s="161">
        <f t="shared" si="210"/>
        <v>0</v>
      </c>
      <c r="R385" s="85"/>
      <c r="S385" s="86">
        <f t="shared" si="211"/>
        <v>1</v>
      </c>
      <c r="T385" s="87">
        <f t="shared" si="212"/>
        <v>0</v>
      </c>
      <c r="U385">
        <v>1</v>
      </c>
    </row>
    <row r="386" spans="2:31" ht="20.100000000000001" hidden="1" customHeight="1">
      <c r="B386" s="77">
        <v>4</v>
      </c>
      <c r="C386" s="78" t="s">
        <v>687</v>
      </c>
      <c r="D386" s="79" t="s">
        <v>766</v>
      </c>
      <c r="E386" s="80" t="s">
        <v>767</v>
      </c>
      <c r="F386" s="81">
        <v>15.5</v>
      </c>
      <c r="G386" s="222">
        <v>5</v>
      </c>
      <c r="H386" s="186"/>
      <c r="I386" s="186"/>
      <c r="J386" s="308"/>
      <c r="K386" s="227"/>
      <c r="L386" s="82">
        <f t="shared" si="206"/>
        <v>5</v>
      </c>
      <c r="M386" s="331">
        <v>5</v>
      </c>
      <c r="N386" s="161">
        <f t="shared" si="207"/>
        <v>77.5</v>
      </c>
      <c r="O386" s="161">
        <f t="shared" si="208"/>
        <v>77.5</v>
      </c>
      <c r="P386" s="187">
        <f t="shared" si="209"/>
        <v>0</v>
      </c>
      <c r="Q386" s="161">
        <f t="shared" si="210"/>
        <v>0</v>
      </c>
      <c r="R386" s="85"/>
      <c r="S386" s="86">
        <f t="shared" si="211"/>
        <v>0</v>
      </c>
      <c r="T386" s="87">
        <f t="shared" si="212"/>
        <v>5</v>
      </c>
    </row>
    <row r="387" spans="2:31" ht="20.100000000000001" hidden="1" customHeight="1">
      <c r="B387" s="77">
        <v>4</v>
      </c>
      <c r="C387" s="78" t="s">
        <v>687</v>
      </c>
      <c r="D387" s="79" t="s">
        <v>768</v>
      </c>
      <c r="E387" s="80" t="s">
        <v>769</v>
      </c>
      <c r="F387" s="81">
        <v>38</v>
      </c>
      <c r="G387" s="222">
        <v>3</v>
      </c>
      <c r="H387" s="186"/>
      <c r="I387" s="186"/>
      <c r="J387" s="308"/>
      <c r="K387" s="227"/>
      <c r="L387" s="82">
        <f t="shared" si="206"/>
        <v>3</v>
      </c>
      <c r="M387" s="331">
        <v>3</v>
      </c>
      <c r="N387" s="161">
        <f t="shared" si="207"/>
        <v>114</v>
      </c>
      <c r="O387" s="161">
        <f t="shared" si="208"/>
        <v>114</v>
      </c>
      <c r="P387" s="187">
        <f t="shared" si="209"/>
        <v>0</v>
      </c>
      <c r="Q387" s="161">
        <f t="shared" si="210"/>
        <v>0</v>
      </c>
      <c r="R387" s="85"/>
      <c r="S387" s="86">
        <f t="shared" si="211"/>
        <v>3</v>
      </c>
      <c r="T387" s="87">
        <f t="shared" si="212"/>
        <v>0</v>
      </c>
      <c r="U387">
        <v>3</v>
      </c>
    </row>
    <row r="388" spans="2:31" ht="20.100000000000001" hidden="1" customHeight="1">
      <c r="B388" s="77">
        <v>4</v>
      </c>
      <c r="C388" s="78" t="s">
        <v>687</v>
      </c>
      <c r="D388" s="79" t="s">
        <v>770</v>
      </c>
      <c r="E388" s="80" t="s">
        <v>771</v>
      </c>
      <c r="F388" s="81">
        <v>38</v>
      </c>
      <c r="G388" s="222">
        <v>3</v>
      </c>
      <c r="H388" s="186"/>
      <c r="I388" s="186"/>
      <c r="J388" s="308"/>
      <c r="K388" s="227"/>
      <c r="L388" s="82">
        <f t="shared" si="206"/>
        <v>3</v>
      </c>
      <c r="M388" s="331">
        <v>3</v>
      </c>
      <c r="N388" s="161">
        <f t="shared" si="207"/>
        <v>114</v>
      </c>
      <c r="O388" s="161">
        <f t="shared" si="208"/>
        <v>114</v>
      </c>
      <c r="P388" s="187">
        <f t="shared" si="209"/>
        <v>0</v>
      </c>
      <c r="Q388" s="161">
        <f t="shared" si="210"/>
        <v>0</v>
      </c>
      <c r="R388" s="85"/>
      <c r="S388" s="86">
        <f t="shared" si="211"/>
        <v>3</v>
      </c>
      <c r="T388" s="87">
        <f t="shared" si="212"/>
        <v>0</v>
      </c>
      <c r="U388">
        <v>3</v>
      </c>
    </row>
    <row r="389" spans="2:31" ht="20.100000000000001" hidden="1" customHeight="1">
      <c r="B389" s="77">
        <v>4</v>
      </c>
      <c r="C389" s="78" t="s">
        <v>687</v>
      </c>
      <c r="D389" s="79" t="s">
        <v>772</v>
      </c>
      <c r="E389" s="80" t="s">
        <v>773</v>
      </c>
      <c r="F389" s="81">
        <v>58.14</v>
      </c>
      <c r="G389" s="222">
        <v>1</v>
      </c>
      <c r="H389" s="186"/>
      <c r="I389" s="186"/>
      <c r="J389" s="308"/>
      <c r="K389" s="227"/>
      <c r="L389" s="82">
        <f t="shared" si="206"/>
        <v>1</v>
      </c>
      <c r="M389" s="331">
        <v>1</v>
      </c>
      <c r="N389" s="161">
        <f t="shared" si="207"/>
        <v>58.14</v>
      </c>
      <c r="O389" s="161">
        <f t="shared" si="208"/>
        <v>58.14</v>
      </c>
      <c r="P389" s="187">
        <f t="shared" si="209"/>
        <v>0</v>
      </c>
      <c r="Q389" s="161">
        <f t="shared" si="210"/>
        <v>0</v>
      </c>
      <c r="R389" s="85"/>
      <c r="S389" s="86">
        <f t="shared" si="211"/>
        <v>2</v>
      </c>
      <c r="T389" s="87">
        <f t="shared" si="212"/>
        <v>-1</v>
      </c>
      <c r="U389">
        <v>2</v>
      </c>
    </row>
    <row r="390" spans="2:31" ht="20.100000000000001" hidden="1" customHeight="1">
      <c r="B390" s="77">
        <v>4</v>
      </c>
      <c r="C390" s="78" t="s">
        <v>687</v>
      </c>
      <c r="D390" s="79" t="s">
        <v>774</v>
      </c>
      <c r="E390" s="80" t="s">
        <v>775</v>
      </c>
      <c r="F390" s="81">
        <v>58.14</v>
      </c>
      <c r="G390" s="222"/>
      <c r="H390" s="186"/>
      <c r="I390" s="186"/>
      <c r="J390" s="308"/>
      <c r="K390" s="227"/>
      <c r="L390" s="82">
        <f t="shared" si="206"/>
        <v>0</v>
      </c>
      <c r="M390" s="331"/>
      <c r="N390" s="161">
        <f t="shared" si="207"/>
        <v>0</v>
      </c>
      <c r="O390" s="161">
        <f t="shared" si="208"/>
        <v>0</v>
      </c>
      <c r="P390" s="187">
        <f t="shared" si="209"/>
        <v>0</v>
      </c>
      <c r="Q390" s="161">
        <f t="shared" si="210"/>
        <v>0</v>
      </c>
      <c r="R390" s="85"/>
      <c r="S390" s="86">
        <f t="shared" si="211"/>
        <v>0</v>
      </c>
      <c r="T390" s="87">
        <f t="shared" si="212"/>
        <v>0</v>
      </c>
    </row>
    <row r="391" spans="2:31" ht="20.100000000000001" hidden="1" customHeight="1">
      <c r="B391" s="77">
        <v>4</v>
      </c>
      <c r="C391" s="78" t="s">
        <v>687</v>
      </c>
      <c r="D391" s="79" t="s">
        <v>776</v>
      </c>
      <c r="E391" s="80" t="s">
        <v>777</v>
      </c>
      <c r="F391" s="81">
        <v>58.14</v>
      </c>
      <c r="G391" s="222"/>
      <c r="H391" s="186"/>
      <c r="I391" s="186"/>
      <c r="J391" s="308"/>
      <c r="K391" s="227"/>
      <c r="L391" s="82">
        <f t="shared" si="206"/>
        <v>0</v>
      </c>
      <c r="M391" s="331"/>
      <c r="N391" s="161">
        <f t="shared" si="207"/>
        <v>0</v>
      </c>
      <c r="O391" s="161">
        <f t="shared" si="208"/>
        <v>0</v>
      </c>
      <c r="P391" s="187">
        <f t="shared" si="209"/>
        <v>0</v>
      </c>
      <c r="Q391" s="161">
        <f t="shared" si="210"/>
        <v>0</v>
      </c>
      <c r="R391" s="85"/>
      <c r="S391" s="86">
        <f t="shared" si="211"/>
        <v>0</v>
      </c>
      <c r="T391" s="87">
        <f t="shared" si="212"/>
        <v>0</v>
      </c>
    </row>
    <row r="392" spans="2:31" ht="20.100000000000001" hidden="1" customHeight="1">
      <c r="B392" s="77">
        <v>4</v>
      </c>
      <c r="C392" s="78" t="s">
        <v>687</v>
      </c>
      <c r="D392" s="79" t="s">
        <v>778</v>
      </c>
      <c r="E392" s="80" t="s">
        <v>779</v>
      </c>
      <c r="F392" s="81">
        <v>10.09</v>
      </c>
      <c r="G392" s="222"/>
      <c r="H392" s="186"/>
      <c r="I392" s="186"/>
      <c r="J392" s="308"/>
      <c r="K392" s="227"/>
      <c r="L392" s="82">
        <f t="shared" si="206"/>
        <v>0</v>
      </c>
      <c r="M392" s="331"/>
      <c r="N392" s="161">
        <f t="shared" si="207"/>
        <v>0</v>
      </c>
      <c r="O392" s="161">
        <f t="shared" si="208"/>
        <v>0</v>
      </c>
      <c r="P392" s="187">
        <f t="shared" si="209"/>
        <v>0</v>
      </c>
      <c r="Q392" s="161">
        <f t="shared" si="210"/>
        <v>0</v>
      </c>
      <c r="R392" s="85"/>
      <c r="S392" s="86">
        <f t="shared" si="211"/>
        <v>0</v>
      </c>
      <c r="T392" s="87">
        <f t="shared" si="212"/>
        <v>0</v>
      </c>
    </row>
    <row r="393" spans="2:31" ht="20.100000000000001" hidden="1" customHeight="1">
      <c r="B393" s="77">
        <v>4</v>
      </c>
      <c r="C393" s="78" t="s">
        <v>687</v>
      </c>
      <c r="D393" s="79" t="s">
        <v>3747</v>
      </c>
      <c r="E393" s="80" t="s">
        <v>3784</v>
      </c>
      <c r="F393" s="81">
        <v>50.88</v>
      </c>
      <c r="G393" s="222">
        <v>23</v>
      </c>
      <c r="H393" s="186"/>
      <c r="I393" s="186"/>
      <c r="J393" s="308"/>
      <c r="K393" s="227">
        <v>4</v>
      </c>
      <c r="L393" s="82">
        <f t="shared" si="206"/>
        <v>19</v>
      </c>
      <c r="M393" s="331">
        <v>19</v>
      </c>
      <c r="N393" s="161">
        <f t="shared" ref="N393" si="219">F393*L393</f>
        <v>966.72</v>
      </c>
      <c r="O393" s="161">
        <f t="shared" ref="O393" si="220">M393*F393</f>
        <v>966.72</v>
      </c>
      <c r="P393" s="187">
        <f t="shared" ref="P393" si="221">L393-M393</f>
        <v>0</v>
      </c>
      <c r="Q393" s="161">
        <f t="shared" ref="Q393" si="222">N393-O393</f>
        <v>0</v>
      </c>
      <c r="R393" s="85"/>
      <c r="S393" s="86">
        <f t="shared" ref="S393" si="223">U393+Y393+W393+AA393</f>
        <v>0</v>
      </c>
      <c r="T393" s="87">
        <f t="shared" ref="T393" si="224">M393-S393</f>
        <v>19</v>
      </c>
    </row>
    <row r="394" spans="2:31" ht="20.100000000000001" hidden="1" customHeight="1">
      <c r="B394" s="77">
        <v>4</v>
      </c>
      <c r="C394" s="78" t="s">
        <v>687</v>
      </c>
      <c r="D394" s="79" t="s">
        <v>3749</v>
      </c>
      <c r="E394" s="80" t="s">
        <v>3783</v>
      </c>
      <c r="F394" s="81">
        <v>50.88</v>
      </c>
      <c r="G394" s="222">
        <v>23</v>
      </c>
      <c r="H394" s="186"/>
      <c r="I394" s="186"/>
      <c r="J394" s="308"/>
      <c r="K394" s="227">
        <v>4</v>
      </c>
      <c r="L394" s="82">
        <f t="shared" si="206"/>
        <v>19</v>
      </c>
      <c r="M394" s="331">
        <v>19</v>
      </c>
      <c r="N394" s="161">
        <f t="shared" ref="N394" si="225">F394*L394</f>
        <v>966.72</v>
      </c>
      <c r="O394" s="161">
        <f t="shared" ref="O394" si="226">M394*F394</f>
        <v>966.72</v>
      </c>
      <c r="P394" s="187">
        <f t="shared" ref="P394" si="227">L394-M394</f>
        <v>0</v>
      </c>
      <c r="Q394" s="161">
        <f t="shared" ref="Q394" si="228">N394-O394</f>
        <v>0</v>
      </c>
      <c r="R394" s="85"/>
      <c r="S394" s="86">
        <f t="shared" ref="S394" si="229">U394+Y394+W394+AA394</f>
        <v>0</v>
      </c>
      <c r="T394" s="87">
        <f t="shared" ref="T394" si="230">M394-S394</f>
        <v>19</v>
      </c>
    </row>
    <row r="395" spans="2:31" ht="20.100000000000001" hidden="1" customHeight="1">
      <c r="B395" s="77">
        <v>4</v>
      </c>
      <c r="C395" s="78" t="s">
        <v>687</v>
      </c>
      <c r="D395" s="79" t="s">
        <v>780</v>
      </c>
      <c r="E395" s="80" t="s">
        <v>781</v>
      </c>
      <c r="F395" s="81">
        <v>38</v>
      </c>
      <c r="G395" s="222">
        <v>5</v>
      </c>
      <c r="H395" s="186"/>
      <c r="I395" s="186"/>
      <c r="J395" s="308"/>
      <c r="K395" s="227"/>
      <c r="L395" s="82">
        <f t="shared" si="206"/>
        <v>5</v>
      </c>
      <c r="M395" s="331">
        <v>5</v>
      </c>
      <c r="N395" s="161">
        <f t="shared" si="207"/>
        <v>190</v>
      </c>
      <c r="O395" s="161">
        <f t="shared" si="208"/>
        <v>190</v>
      </c>
      <c r="P395" s="187">
        <f t="shared" si="209"/>
        <v>0</v>
      </c>
      <c r="Q395" s="161">
        <f t="shared" si="210"/>
        <v>0</v>
      </c>
      <c r="R395" s="85"/>
      <c r="S395" s="86">
        <f t="shared" si="211"/>
        <v>7</v>
      </c>
      <c r="T395" s="87">
        <f t="shared" si="212"/>
        <v>-2</v>
      </c>
      <c r="U395">
        <v>7</v>
      </c>
    </row>
    <row r="396" spans="2:31" ht="20.100000000000001" hidden="1" customHeight="1">
      <c r="B396" s="77">
        <v>4</v>
      </c>
      <c r="C396" s="78" t="s">
        <v>687</v>
      </c>
      <c r="D396" s="79" t="s">
        <v>780</v>
      </c>
      <c r="E396" s="80" t="s">
        <v>781</v>
      </c>
      <c r="F396" s="81">
        <v>38</v>
      </c>
      <c r="G396" s="222"/>
      <c r="H396" s="186"/>
      <c r="I396" s="186"/>
      <c r="J396" s="308"/>
      <c r="K396" s="227"/>
      <c r="L396" s="82">
        <f t="shared" si="206"/>
        <v>0</v>
      </c>
      <c r="M396" s="331"/>
      <c r="N396" s="161">
        <f t="shared" si="207"/>
        <v>0</v>
      </c>
      <c r="O396" s="161">
        <f t="shared" si="208"/>
        <v>0</v>
      </c>
      <c r="P396" s="187">
        <f t="shared" si="209"/>
        <v>0</v>
      </c>
      <c r="Q396" s="161">
        <f t="shared" si="210"/>
        <v>0</v>
      </c>
      <c r="R396" s="85"/>
      <c r="S396" s="86">
        <f t="shared" si="211"/>
        <v>0</v>
      </c>
      <c r="T396" s="87">
        <f t="shared" si="212"/>
        <v>0</v>
      </c>
    </row>
    <row r="397" spans="2:31" ht="20.100000000000001" hidden="1" customHeight="1">
      <c r="B397" s="77">
        <v>4</v>
      </c>
      <c r="C397" s="78" t="s">
        <v>687</v>
      </c>
      <c r="D397" s="79" t="s">
        <v>782</v>
      </c>
      <c r="E397" s="80" t="s">
        <v>783</v>
      </c>
      <c r="F397" s="81">
        <v>38</v>
      </c>
      <c r="G397" s="222">
        <v>12</v>
      </c>
      <c r="H397" s="186"/>
      <c r="I397" s="186"/>
      <c r="J397" s="308"/>
      <c r="K397" s="227"/>
      <c r="L397" s="82">
        <f t="shared" ref="L397:L460" si="231">G397+I397-J397-K397+H397</f>
        <v>12</v>
      </c>
      <c r="M397" s="331">
        <f>4+8</f>
        <v>12</v>
      </c>
      <c r="N397" s="161">
        <f t="shared" si="207"/>
        <v>456</v>
      </c>
      <c r="O397" s="161">
        <f t="shared" si="208"/>
        <v>456</v>
      </c>
      <c r="P397" s="187">
        <f t="shared" si="209"/>
        <v>0</v>
      </c>
      <c r="Q397" s="161">
        <f t="shared" si="210"/>
        <v>0</v>
      </c>
      <c r="R397" s="85" t="s">
        <v>784</v>
      </c>
      <c r="S397" s="86">
        <f t="shared" si="211"/>
        <v>12</v>
      </c>
      <c r="T397" s="87">
        <f t="shared" si="212"/>
        <v>0</v>
      </c>
      <c r="U397">
        <v>4</v>
      </c>
      <c r="W397">
        <v>8</v>
      </c>
      <c r="X397" t="s">
        <v>115</v>
      </c>
      <c r="AD397">
        <f>W397</f>
        <v>8</v>
      </c>
      <c r="AE397" s="89">
        <f>AD397*F397</f>
        <v>304</v>
      </c>
    </row>
    <row r="398" spans="2:31" ht="20.100000000000001" hidden="1" customHeight="1">
      <c r="B398" s="77">
        <v>4</v>
      </c>
      <c r="C398" s="78" t="s">
        <v>687</v>
      </c>
      <c r="D398" s="79" t="s">
        <v>785</v>
      </c>
      <c r="E398" s="80" t="s">
        <v>786</v>
      </c>
      <c r="F398" s="81">
        <v>38</v>
      </c>
      <c r="G398" s="222">
        <v>8</v>
      </c>
      <c r="H398" s="186"/>
      <c r="I398" s="186"/>
      <c r="J398" s="308"/>
      <c r="K398" s="227"/>
      <c r="L398" s="82">
        <f t="shared" si="231"/>
        <v>8</v>
      </c>
      <c r="M398" s="331">
        <v>8</v>
      </c>
      <c r="N398" s="161">
        <f t="shared" ref="N398:N456" si="232">F398*L398</f>
        <v>304</v>
      </c>
      <c r="O398" s="161">
        <f t="shared" ref="O398:O456" si="233">M398*F398</f>
        <v>304</v>
      </c>
      <c r="P398" s="187">
        <f t="shared" ref="P398:P456" si="234">L398-M398</f>
        <v>0</v>
      </c>
      <c r="Q398" s="161">
        <f t="shared" ref="Q398:Q456" si="235">N398-O398</f>
        <v>0</v>
      </c>
      <c r="R398" s="85" t="s">
        <v>787</v>
      </c>
      <c r="S398" s="86">
        <f t="shared" ref="S398:S456" si="236">U398+Y398+W398+AA398</f>
        <v>11</v>
      </c>
      <c r="T398" s="87">
        <f t="shared" ref="T398:T455" si="237">M398-S398</f>
        <v>-3</v>
      </c>
      <c r="U398">
        <v>3</v>
      </c>
      <c r="W398">
        <v>8</v>
      </c>
      <c r="X398" t="s">
        <v>115</v>
      </c>
      <c r="AD398">
        <f>W398</f>
        <v>8</v>
      </c>
      <c r="AE398" s="89">
        <f>AD398*F398</f>
        <v>304</v>
      </c>
    </row>
    <row r="399" spans="2:31" ht="20.100000000000001" hidden="1" customHeight="1">
      <c r="B399" s="77">
        <v>4</v>
      </c>
      <c r="C399" s="78" t="s">
        <v>687</v>
      </c>
      <c r="D399" s="79" t="s">
        <v>788</v>
      </c>
      <c r="E399" s="80" t="s">
        <v>789</v>
      </c>
      <c r="F399" s="81">
        <v>38</v>
      </c>
      <c r="G399" s="222">
        <v>4</v>
      </c>
      <c r="H399" s="186"/>
      <c r="I399" s="186"/>
      <c r="J399" s="308"/>
      <c r="K399" s="227"/>
      <c r="L399" s="82">
        <f t="shared" si="231"/>
        <v>4</v>
      </c>
      <c r="M399" s="331">
        <v>4</v>
      </c>
      <c r="N399" s="161">
        <f t="shared" si="232"/>
        <v>152</v>
      </c>
      <c r="O399" s="161">
        <f t="shared" si="233"/>
        <v>152</v>
      </c>
      <c r="P399" s="187">
        <f t="shared" si="234"/>
        <v>0</v>
      </c>
      <c r="Q399" s="161">
        <f t="shared" si="235"/>
        <v>0</v>
      </c>
      <c r="R399" s="85" t="s">
        <v>790</v>
      </c>
      <c r="S399" s="86">
        <f t="shared" si="236"/>
        <v>8</v>
      </c>
      <c r="T399" s="87">
        <f t="shared" si="237"/>
        <v>-4</v>
      </c>
      <c r="U399">
        <v>4</v>
      </c>
      <c r="W399">
        <v>4</v>
      </c>
      <c r="X399" t="s">
        <v>523</v>
      </c>
      <c r="AD399">
        <f>W399</f>
        <v>4</v>
      </c>
      <c r="AE399" s="89">
        <f>AD399*F399</f>
        <v>152</v>
      </c>
    </row>
    <row r="400" spans="2:31" ht="20.100000000000001" hidden="1" customHeight="1">
      <c r="B400" s="77">
        <v>4</v>
      </c>
      <c r="C400" s="78" t="s">
        <v>687</v>
      </c>
      <c r="D400" s="79" t="s">
        <v>791</v>
      </c>
      <c r="E400" s="80" t="s">
        <v>792</v>
      </c>
      <c r="F400" s="81">
        <v>38</v>
      </c>
      <c r="G400" s="222">
        <v>1</v>
      </c>
      <c r="H400" s="186"/>
      <c r="I400" s="186"/>
      <c r="J400" s="308"/>
      <c r="K400" s="227"/>
      <c r="L400" s="82">
        <f t="shared" si="231"/>
        <v>1</v>
      </c>
      <c r="M400" s="331">
        <v>1</v>
      </c>
      <c r="N400" s="161">
        <f t="shared" si="232"/>
        <v>38</v>
      </c>
      <c r="O400" s="161">
        <f t="shared" si="233"/>
        <v>38</v>
      </c>
      <c r="P400" s="187">
        <f t="shared" si="234"/>
        <v>0</v>
      </c>
      <c r="Q400" s="161">
        <f t="shared" si="235"/>
        <v>0</v>
      </c>
      <c r="R400" s="91">
        <v>45427</v>
      </c>
      <c r="S400" s="86">
        <f t="shared" si="236"/>
        <v>1</v>
      </c>
      <c r="T400" s="87">
        <f t="shared" si="237"/>
        <v>0</v>
      </c>
      <c r="W400">
        <v>1</v>
      </c>
      <c r="X400" t="s">
        <v>115</v>
      </c>
      <c r="AD400">
        <f>W400</f>
        <v>1</v>
      </c>
      <c r="AE400" s="89">
        <f>AD400*F400</f>
        <v>38</v>
      </c>
    </row>
    <row r="401" spans="2:31" ht="20.100000000000001" hidden="1" customHeight="1">
      <c r="B401" s="77">
        <v>4</v>
      </c>
      <c r="C401" s="78" t="s">
        <v>687</v>
      </c>
      <c r="D401" s="79" t="s">
        <v>793</v>
      </c>
      <c r="E401" s="80" t="s">
        <v>794</v>
      </c>
      <c r="F401" s="81">
        <v>38</v>
      </c>
      <c r="G401" s="222"/>
      <c r="H401" s="186"/>
      <c r="I401" s="186"/>
      <c r="J401" s="308"/>
      <c r="K401" s="227"/>
      <c r="L401" s="82">
        <f t="shared" si="231"/>
        <v>0</v>
      </c>
      <c r="M401" s="331"/>
      <c r="N401" s="161">
        <f t="shared" si="232"/>
        <v>0</v>
      </c>
      <c r="O401" s="161">
        <f t="shared" si="233"/>
        <v>0</v>
      </c>
      <c r="P401" s="187">
        <f t="shared" si="234"/>
        <v>0</v>
      </c>
      <c r="Q401" s="161">
        <f t="shared" si="235"/>
        <v>0</v>
      </c>
      <c r="R401" s="85"/>
      <c r="S401" s="86">
        <f t="shared" si="236"/>
        <v>1</v>
      </c>
      <c r="T401" s="87">
        <f t="shared" si="237"/>
        <v>-1</v>
      </c>
      <c r="U401">
        <v>1</v>
      </c>
    </row>
    <row r="402" spans="2:31" ht="20.100000000000001" hidden="1" customHeight="1">
      <c r="B402" s="77">
        <v>4</v>
      </c>
      <c r="C402" s="78" t="s">
        <v>687</v>
      </c>
      <c r="D402" s="79" t="s">
        <v>795</v>
      </c>
      <c r="E402" s="80" t="s">
        <v>796</v>
      </c>
      <c r="F402" s="81">
        <v>38</v>
      </c>
      <c r="G402" s="222">
        <v>4</v>
      </c>
      <c r="H402" s="186"/>
      <c r="I402" s="186"/>
      <c r="J402" s="308"/>
      <c r="K402" s="227">
        <v>1</v>
      </c>
      <c r="L402" s="82">
        <f t="shared" si="231"/>
        <v>3</v>
      </c>
      <c r="M402" s="331">
        <v>3</v>
      </c>
      <c r="N402" s="161">
        <f t="shared" si="232"/>
        <v>114</v>
      </c>
      <c r="O402" s="161">
        <f t="shared" si="233"/>
        <v>114</v>
      </c>
      <c r="P402" s="187">
        <f t="shared" si="234"/>
        <v>0</v>
      </c>
      <c r="Q402" s="161">
        <f t="shared" si="235"/>
        <v>0</v>
      </c>
      <c r="R402" s="85" t="s">
        <v>797</v>
      </c>
      <c r="S402" s="86">
        <f t="shared" si="236"/>
        <v>6</v>
      </c>
      <c r="T402" s="87">
        <f t="shared" si="237"/>
        <v>-3</v>
      </c>
      <c r="U402">
        <v>5</v>
      </c>
      <c r="W402">
        <v>1</v>
      </c>
      <c r="X402" t="s">
        <v>121</v>
      </c>
      <c r="AD402">
        <f>W402</f>
        <v>1</v>
      </c>
      <c r="AE402" s="89">
        <f>AD402*F402</f>
        <v>38</v>
      </c>
    </row>
    <row r="403" spans="2:31" ht="20.100000000000001" hidden="1" customHeight="1">
      <c r="B403" s="77">
        <v>4</v>
      </c>
      <c r="C403" s="78" t="s">
        <v>687</v>
      </c>
      <c r="D403" s="79" t="s">
        <v>798</v>
      </c>
      <c r="E403" s="80" t="s">
        <v>799</v>
      </c>
      <c r="F403" s="81">
        <v>38</v>
      </c>
      <c r="G403" s="222"/>
      <c r="H403" s="186"/>
      <c r="I403" s="186"/>
      <c r="J403" s="308"/>
      <c r="K403" s="227"/>
      <c r="L403" s="82">
        <f t="shared" si="231"/>
        <v>0</v>
      </c>
      <c r="M403" s="331"/>
      <c r="N403" s="161">
        <f t="shared" si="232"/>
        <v>0</v>
      </c>
      <c r="O403" s="161">
        <f t="shared" si="233"/>
        <v>0</v>
      </c>
      <c r="P403" s="187">
        <f t="shared" si="234"/>
        <v>0</v>
      </c>
      <c r="Q403" s="161">
        <f t="shared" si="235"/>
        <v>0</v>
      </c>
      <c r="R403" s="85"/>
      <c r="S403" s="86">
        <f t="shared" si="236"/>
        <v>0</v>
      </c>
      <c r="T403" s="87">
        <f t="shared" si="237"/>
        <v>0</v>
      </c>
    </row>
    <row r="404" spans="2:31" ht="20.100000000000001" hidden="1" customHeight="1">
      <c r="B404" s="77">
        <v>4</v>
      </c>
      <c r="C404" s="78" t="s">
        <v>687</v>
      </c>
      <c r="D404" s="79" t="s">
        <v>800</v>
      </c>
      <c r="E404" s="80" t="s">
        <v>801</v>
      </c>
      <c r="F404" s="81">
        <v>3.94</v>
      </c>
      <c r="G404" s="222">
        <v>10</v>
      </c>
      <c r="H404" s="186"/>
      <c r="I404" s="186"/>
      <c r="J404" s="308"/>
      <c r="K404" s="227">
        <v>2</v>
      </c>
      <c r="L404" s="82">
        <f t="shared" si="231"/>
        <v>8</v>
      </c>
      <c r="M404" s="331">
        <v>8</v>
      </c>
      <c r="N404" s="161">
        <f t="shared" si="232"/>
        <v>31.52</v>
      </c>
      <c r="O404" s="161">
        <f t="shared" si="233"/>
        <v>31.52</v>
      </c>
      <c r="P404" s="187">
        <f t="shared" si="234"/>
        <v>0</v>
      </c>
      <c r="Q404" s="161">
        <f t="shared" si="235"/>
        <v>0</v>
      </c>
      <c r="R404" s="85"/>
      <c r="S404" s="86">
        <f t="shared" si="236"/>
        <v>16</v>
      </c>
      <c r="T404" s="87">
        <f t="shared" si="237"/>
        <v>-8</v>
      </c>
      <c r="U404">
        <v>16</v>
      </c>
    </row>
    <row r="405" spans="2:31" ht="20.100000000000001" hidden="1" customHeight="1">
      <c r="B405" s="77">
        <v>4</v>
      </c>
      <c r="C405" s="78" t="s">
        <v>687</v>
      </c>
      <c r="D405" s="79" t="s">
        <v>802</v>
      </c>
      <c r="E405" s="80" t="s">
        <v>803</v>
      </c>
      <c r="F405" s="81">
        <v>31.52</v>
      </c>
      <c r="G405" s="222"/>
      <c r="H405" s="186"/>
      <c r="I405" s="186"/>
      <c r="J405" s="308"/>
      <c r="K405" s="227"/>
      <c r="L405" s="82">
        <f t="shared" si="231"/>
        <v>0</v>
      </c>
      <c r="M405" s="331"/>
      <c r="N405" s="161">
        <f t="shared" si="232"/>
        <v>0</v>
      </c>
      <c r="O405" s="161">
        <f t="shared" si="233"/>
        <v>0</v>
      </c>
      <c r="P405" s="187">
        <f t="shared" si="234"/>
        <v>0</v>
      </c>
      <c r="Q405" s="161">
        <f t="shared" si="235"/>
        <v>0</v>
      </c>
      <c r="R405" s="85"/>
      <c r="S405" s="86">
        <f t="shared" si="236"/>
        <v>2</v>
      </c>
      <c r="T405" s="87">
        <f t="shared" si="237"/>
        <v>-2</v>
      </c>
      <c r="U405">
        <v>2</v>
      </c>
    </row>
    <row r="406" spans="2:31" ht="20.100000000000001" hidden="1" customHeight="1">
      <c r="B406" s="77">
        <v>4</v>
      </c>
      <c r="C406" s="78" t="s">
        <v>687</v>
      </c>
      <c r="D406" s="79" t="s">
        <v>804</v>
      </c>
      <c r="E406" s="80" t="s">
        <v>805</v>
      </c>
      <c r="F406" s="81">
        <v>21.48</v>
      </c>
      <c r="G406" s="222">
        <v>2</v>
      </c>
      <c r="H406" s="186"/>
      <c r="I406" s="186"/>
      <c r="J406" s="308"/>
      <c r="K406" s="227"/>
      <c r="L406" s="82">
        <f t="shared" si="231"/>
        <v>2</v>
      </c>
      <c r="M406" s="331">
        <v>2</v>
      </c>
      <c r="N406" s="161">
        <f t="shared" si="232"/>
        <v>42.96</v>
      </c>
      <c r="O406" s="161">
        <f t="shared" si="233"/>
        <v>42.96</v>
      </c>
      <c r="P406" s="187">
        <f t="shared" si="234"/>
        <v>0</v>
      </c>
      <c r="Q406" s="161">
        <f t="shared" si="235"/>
        <v>0</v>
      </c>
      <c r="R406" s="85" t="s">
        <v>806</v>
      </c>
      <c r="S406" s="86">
        <f t="shared" si="236"/>
        <v>2</v>
      </c>
      <c r="T406" s="87">
        <f t="shared" si="237"/>
        <v>0</v>
      </c>
      <c r="W406">
        <f>1+1</f>
        <v>2</v>
      </c>
      <c r="X406" t="s">
        <v>121</v>
      </c>
      <c r="AD406">
        <f t="shared" ref="AD406:AD407" si="238">W406</f>
        <v>2</v>
      </c>
      <c r="AE406" s="89">
        <f>AD406*F406</f>
        <v>42.96</v>
      </c>
    </row>
    <row r="407" spans="2:31" ht="20.100000000000001" hidden="1" customHeight="1">
      <c r="B407" s="77">
        <v>4</v>
      </c>
      <c r="C407" s="78" t="s">
        <v>687</v>
      </c>
      <c r="D407" s="79" t="s">
        <v>807</v>
      </c>
      <c r="E407" s="80" t="s">
        <v>808</v>
      </c>
      <c r="F407" s="81">
        <v>21.48</v>
      </c>
      <c r="G407" s="222">
        <v>14</v>
      </c>
      <c r="H407" s="186"/>
      <c r="I407" s="186"/>
      <c r="J407" s="308"/>
      <c r="K407" s="227"/>
      <c r="L407" s="82">
        <f t="shared" si="231"/>
        <v>14</v>
      </c>
      <c r="M407" s="331">
        <v>14</v>
      </c>
      <c r="N407" s="161">
        <f t="shared" si="232"/>
        <v>300.72000000000003</v>
      </c>
      <c r="O407" s="161">
        <f t="shared" si="233"/>
        <v>300.72000000000003</v>
      </c>
      <c r="P407" s="187">
        <f t="shared" si="234"/>
        <v>0</v>
      </c>
      <c r="Q407" s="161">
        <f t="shared" si="235"/>
        <v>0</v>
      </c>
      <c r="R407" s="91">
        <v>45421</v>
      </c>
      <c r="S407" s="86">
        <f t="shared" si="236"/>
        <v>14</v>
      </c>
      <c r="T407" s="87">
        <f t="shared" si="237"/>
        <v>0</v>
      </c>
      <c r="W407">
        <v>14</v>
      </c>
      <c r="X407" t="s">
        <v>115</v>
      </c>
      <c r="AD407">
        <f t="shared" si="238"/>
        <v>14</v>
      </c>
      <c r="AE407" s="89">
        <f>AD407*F407</f>
        <v>300.72000000000003</v>
      </c>
    </row>
    <row r="408" spans="2:31" ht="20.100000000000001" hidden="1" customHeight="1">
      <c r="B408" s="77">
        <v>4</v>
      </c>
      <c r="C408" s="78" t="s">
        <v>687</v>
      </c>
      <c r="D408" s="79" t="s">
        <v>809</v>
      </c>
      <c r="E408" s="80" t="s">
        <v>810</v>
      </c>
      <c r="F408" s="81">
        <v>15.5</v>
      </c>
      <c r="G408" s="222"/>
      <c r="H408" s="186"/>
      <c r="I408" s="186"/>
      <c r="J408" s="308"/>
      <c r="K408" s="227"/>
      <c r="L408" s="82">
        <f t="shared" si="231"/>
        <v>0</v>
      </c>
      <c r="M408" s="331"/>
      <c r="N408" s="161">
        <f t="shared" si="232"/>
        <v>0</v>
      </c>
      <c r="O408" s="161">
        <f t="shared" si="233"/>
        <v>0</v>
      </c>
      <c r="P408" s="187">
        <f t="shared" si="234"/>
        <v>0</v>
      </c>
      <c r="Q408" s="161">
        <f t="shared" si="235"/>
        <v>0</v>
      </c>
      <c r="R408" s="85"/>
      <c r="S408" s="86">
        <f t="shared" si="236"/>
        <v>0</v>
      </c>
      <c r="T408" s="87">
        <f t="shared" si="237"/>
        <v>0</v>
      </c>
    </row>
    <row r="409" spans="2:31" ht="20.100000000000001" hidden="1" customHeight="1">
      <c r="B409" s="77">
        <v>4</v>
      </c>
      <c r="C409" s="78" t="s">
        <v>687</v>
      </c>
      <c r="D409" s="79" t="s">
        <v>811</v>
      </c>
      <c r="E409" s="80" t="s">
        <v>812</v>
      </c>
      <c r="F409" s="81">
        <v>23.97</v>
      </c>
      <c r="G409" s="222"/>
      <c r="H409" s="186"/>
      <c r="I409" s="186"/>
      <c r="J409" s="308"/>
      <c r="K409" s="227"/>
      <c r="L409" s="82">
        <f t="shared" si="231"/>
        <v>0</v>
      </c>
      <c r="M409" s="331"/>
      <c r="N409" s="161">
        <f t="shared" si="232"/>
        <v>0</v>
      </c>
      <c r="O409" s="161">
        <f t="shared" si="233"/>
        <v>0</v>
      </c>
      <c r="P409" s="187">
        <f t="shared" si="234"/>
        <v>0</v>
      </c>
      <c r="Q409" s="161">
        <f t="shared" si="235"/>
        <v>0</v>
      </c>
      <c r="R409" s="85"/>
      <c r="S409" s="86">
        <f t="shared" si="236"/>
        <v>1</v>
      </c>
      <c r="T409" s="87">
        <f t="shared" si="237"/>
        <v>-1</v>
      </c>
      <c r="U409">
        <v>1</v>
      </c>
    </row>
    <row r="410" spans="2:31" ht="20.100000000000001" hidden="1" customHeight="1">
      <c r="B410" s="77">
        <v>4</v>
      </c>
      <c r="C410" s="78" t="s">
        <v>687</v>
      </c>
      <c r="D410" s="79" t="s">
        <v>813</v>
      </c>
      <c r="E410" s="80" t="s">
        <v>814</v>
      </c>
      <c r="F410" s="81">
        <v>23.72</v>
      </c>
      <c r="G410" s="222"/>
      <c r="H410" s="186"/>
      <c r="I410" s="186"/>
      <c r="J410" s="308"/>
      <c r="K410" s="227"/>
      <c r="L410" s="82">
        <f t="shared" si="231"/>
        <v>0</v>
      </c>
      <c r="M410" s="331"/>
      <c r="N410" s="161">
        <f t="shared" si="232"/>
        <v>0</v>
      </c>
      <c r="O410" s="161">
        <f t="shared" si="233"/>
        <v>0</v>
      </c>
      <c r="P410" s="187">
        <f t="shared" si="234"/>
        <v>0</v>
      </c>
      <c r="Q410" s="161">
        <f t="shared" si="235"/>
        <v>0</v>
      </c>
      <c r="R410" s="85"/>
      <c r="S410" s="86">
        <f t="shared" si="236"/>
        <v>0</v>
      </c>
      <c r="T410" s="87">
        <f t="shared" si="237"/>
        <v>0</v>
      </c>
    </row>
    <row r="411" spans="2:31" ht="20.100000000000001" hidden="1" customHeight="1">
      <c r="B411" s="77">
        <v>4</v>
      </c>
      <c r="C411" s="78" t="s">
        <v>687</v>
      </c>
      <c r="D411" s="79" t="s">
        <v>815</v>
      </c>
      <c r="E411" s="80" t="s">
        <v>816</v>
      </c>
      <c r="F411" s="81">
        <v>23.72</v>
      </c>
      <c r="G411" s="222"/>
      <c r="H411" s="186"/>
      <c r="I411" s="186"/>
      <c r="J411" s="308"/>
      <c r="K411" s="227"/>
      <c r="L411" s="82">
        <f t="shared" si="231"/>
        <v>0</v>
      </c>
      <c r="M411" s="331"/>
      <c r="N411" s="161">
        <f t="shared" si="232"/>
        <v>0</v>
      </c>
      <c r="O411" s="161">
        <f t="shared" si="233"/>
        <v>0</v>
      </c>
      <c r="P411" s="187">
        <f t="shared" si="234"/>
        <v>0</v>
      </c>
      <c r="Q411" s="161">
        <f t="shared" si="235"/>
        <v>0</v>
      </c>
      <c r="R411" s="85"/>
      <c r="S411" s="86">
        <f t="shared" si="236"/>
        <v>0</v>
      </c>
      <c r="T411" s="87">
        <f t="shared" si="237"/>
        <v>0</v>
      </c>
    </row>
    <row r="412" spans="2:31" ht="20.100000000000001" hidden="1" customHeight="1">
      <c r="B412" s="77">
        <v>4</v>
      </c>
      <c r="C412" s="78" t="s">
        <v>687</v>
      </c>
      <c r="D412" s="79" t="s">
        <v>817</v>
      </c>
      <c r="E412" s="80" t="s">
        <v>818</v>
      </c>
      <c r="F412" s="81">
        <v>34.270000000000003</v>
      </c>
      <c r="G412" s="222">
        <v>1</v>
      </c>
      <c r="H412" s="186"/>
      <c r="I412" s="186"/>
      <c r="J412" s="308"/>
      <c r="K412" s="227">
        <v>1</v>
      </c>
      <c r="L412" s="82">
        <f t="shared" si="231"/>
        <v>0</v>
      </c>
      <c r="M412" s="331"/>
      <c r="N412" s="161">
        <f t="shared" si="232"/>
        <v>0</v>
      </c>
      <c r="O412" s="161">
        <f t="shared" si="233"/>
        <v>0</v>
      </c>
      <c r="P412" s="187">
        <f t="shared" si="234"/>
        <v>0</v>
      </c>
      <c r="Q412" s="161">
        <f t="shared" si="235"/>
        <v>0</v>
      </c>
      <c r="R412" s="85"/>
      <c r="S412" s="86">
        <f t="shared" si="236"/>
        <v>3</v>
      </c>
      <c r="T412" s="87">
        <f t="shared" si="237"/>
        <v>-3</v>
      </c>
      <c r="U412">
        <v>3</v>
      </c>
    </row>
    <row r="413" spans="2:31" ht="20.100000000000001" hidden="1" customHeight="1">
      <c r="B413" s="77">
        <v>4</v>
      </c>
      <c r="C413" s="78" t="s">
        <v>687</v>
      </c>
      <c r="D413" s="79" t="s">
        <v>819</v>
      </c>
      <c r="E413" s="80" t="s">
        <v>820</v>
      </c>
      <c r="F413" s="81">
        <v>11.32</v>
      </c>
      <c r="G413" s="222"/>
      <c r="H413" s="186"/>
      <c r="I413" s="186"/>
      <c r="J413" s="308"/>
      <c r="K413" s="227"/>
      <c r="L413" s="82">
        <f t="shared" si="231"/>
        <v>0</v>
      </c>
      <c r="M413" s="331"/>
      <c r="N413" s="161">
        <f t="shared" si="232"/>
        <v>0</v>
      </c>
      <c r="O413" s="161">
        <f t="shared" si="233"/>
        <v>0</v>
      </c>
      <c r="P413" s="187">
        <f t="shared" si="234"/>
        <v>0</v>
      </c>
      <c r="Q413" s="161">
        <f t="shared" si="235"/>
        <v>0</v>
      </c>
      <c r="R413" s="85"/>
      <c r="S413" s="86">
        <f t="shared" si="236"/>
        <v>0</v>
      </c>
      <c r="T413" s="87">
        <f t="shared" si="237"/>
        <v>0</v>
      </c>
    </row>
    <row r="414" spans="2:31" ht="20.100000000000001" hidden="1" customHeight="1">
      <c r="B414" s="77">
        <v>4</v>
      </c>
      <c r="C414" s="78" t="s">
        <v>687</v>
      </c>
      <c r="D414" s="79" t="s">
        <v>821</v>
      </c>
      <c r="E414" s="80" t="s">
        <v>822</v>
      </c>
      <c r="F414" s="81">
        <v>29.9</v>
      </c>
      <c r="G414" s="222">
        <v>12</v>
      </c>
      <c r="H414" s="186"/>
      <c r="I414" s="186"/>
      <c r="J414" s="308"/>
      <c r="K414" s="227">
        <v>4</v>
      </c>
      <c r="L414" s="82">
        <f t="shared" si="231"/>
        <v>8</v>
      </c>
      <c r="M414" s="331">
        <v>8</v>
      </c>
      <c r="N414" s="161">
        <f t="shared" si="232"/>
        <v>239.2</v>
      </c>
      <c r="O414" s="161">
        <f t="shared" si="233"/>
        <v>239.2</v>
      </c>
      <c r="P414" s="187">
        <f t="shared" si="234"/>
        <v>0</v>
      </c>
      <c r="Q414" s="161">
        <f t="shared" si="235"/>
        <v>0</v>
      </c>
      <c r="R414" s="85"/>
      <c r="S414" s="86">
        <f t="shared" si="236"/>
        <v>25</v>
      </c>
      <c r="T414" s="87">
        <f t="shared" si="237"/>
        <v>-17</v>
      </c>
      <c r="U414">
        <v>25</v>
      </c>
    </row>
    <row r="415" spans="2:31" ht="20.100000000000001" hidden="1" customHeight="1">
      <c r="B415" s="77">
        <v>4</v>
      </c>
      <c r="C415" s="78" t="s">
        <v>687</v>
      </c>
      <c r="D415" s="79" t="s">
        <v>823</v>
      </c>
      <c r="E415" s="80" t="s">
        <v>824</v>
      </c>
      <c r="F415" s="81">
        <v>46.3</v>
      </c>
      <c r="G415" s="222">
        <v>18</v>
      </c>
      <c r="H415" s="186"/>
      <c r="I415" s="186"/>
      <c r="J415" s="308"/>
      <c r="K415" s="227">
        <v>3</v>
      </c>
      <c r="L415" s="82">
        <f t="shared" si="231"/>
        <v>15</v>
      </c>
      <c r="M415" s="331">
        <v>15</v>
      </c>
      <c r="N415" s="161">
        <f t="shared" si="232"/>
        <v>694.5</v>
      </c>
      <c r="O415" s="161">
        <f t="shared" si="233"/>
        <v>694.5</v>
      </c>
      <c r="P415" s="187">
        <f t="shared" si="234"/>
        <v>0</v>
      </c>
      <c r="Q415" s="161">
        <f t="shared" si="235"/>
        <v>0</v>
      </c>
      <c r="R415" s="85"/>
      <c r="S415" s="86">
        <f t="shared" si="236"/>
        <v>20</v>
      </c>
      <c r="T415" s="87">
        <f t="shared" si="237"/>
        <v>-5</v>
      </c>
      <c r="U415">
        <v>20</v>
      </c>
    </row>
    <row r="416" spans="2:31" ht="20.100000000000001" hidden="1" customHeight="1">
      <c r="B416" s="77">
        <v>4</v>
      </c>
      <c r="C416" s="78" t="s">
        <v>687</v>
      </c>
      <c r="D416" s="79" t="s">
        <v>825</v>
      </c>
      <c r="E416" s="80" t="s">
        <v>826</v>
      </c>
      <c r="F416" s="81">
        <v>58.84</v>
      </c>
      <c r="G416" s="222">
        <v>13</v>
      </c>
      <c r="H416" s="186"/>
      <c r="I416" s="186"/>
      <c r="J416" s="308"/>
      <c r="K416" s="227"/>
      <c r="L416" s="82">
        <f t="shared" si="231"/>
        <v>13</v>
      </c>
      <c r="M416" s="331">
        <v>13</v>
      </c>
      <c r="N416" s="161">
        <f t="shared" si="232"/>
        <v>764.92000000000007</v>
      </c>
      <c r="O416" s="161">
        <f t="shared" si="233"/>
        <v>764.92000000000007</v>
      </c>
      <c r="P416" s="187">
        <f t="shared" si="234"/>
        <v>0</v>
      </c>
      <c r="Q416" s="161">
        <f t="shared" si="235"/>
        <v>0</v>
      </c>
      <c r="R416" s="85"/>
      <c r="S416" s="86">
        <f t="shared" si="236"/>
        <v>9</v>
      </c>
      <c r="T416" s="87">
        <f t="shared" si="237"/>
        <v>4</v>
      </c>
      <c r="U416">
        <v>9</v>
      </c>
    </row>
    <row r="417" spans="2:31" ht="20.100000000000001" hidden="1" customHeight="1">
      <c r="B417" s="77">
        <v>4</v>
      </c>
      <c r="C417" s="78" t="s">
        <v>687</v>
      </c>
      <c r="D417" s="219" t="s">
        <v>4805</v>
      </c>
      <c r="E417" s="276" t="s">
        <v>4750</v>
      </c>
      <c r="F417" s="81">
        <v>32</v>
      </c>
      <c r="G417" s="222"/>
      <c r="H417" s="186"/>
      <c r="I417" s="186">
        <v>10</v>
      </c>
      <c r="J417" s="308"/>
      <c r="K417" s="227"/>
      <c r="L417" s="82">
        <f t="shared" ref="L417" si="239">G417+I417-J417-K417+H417</f>
        <v>10</v>
      </c>
      <c r="M417" s="331">
        <v>10</v>
      </c>
      <c r="N417" s="161">
        <f t="shared" ref="N417" si="240">F417*L417</f>
        <v>320</v>
      </c>
      <c r="O417" s="161">
        <f t="shared" ref="O417" si="241">M417*F417</f>
        <v>320</v>
      </c>
      <c r="P417" s="187">
        <f t="shared" ref="P417" si="242">L417-M417</f>
        <v>0</v>
      </c>
      <c r="Q417" s="161">
        <f t="shared" ref="Q417" si="243">N417-O417</f>
        <v>0</v>
      </c>
      <c r="R417" s="85"/>
      <c r="S417" s="86">
        <f t="shared" ref="S417" si="244">U417+Y417+W417+AA417</f>
        <v>9</v>
      </c>
      <c r="T417" s="87">
        <f t="shared" ref="T417" si="245">M417-S417</f>
        <v>1</v>
      </c>
      <c r="U417">
        <v>9</v>
      </c>
    </row>
    <row r="418" spans="2:31" ht="20.100000000000001" hidden="1" customHeight="1">
      <c r="B418" s="77">
        <v>4</v>
      </c>
      <c r="C418" s="78" t="s">
        <v>687</v>
      </c>
      <c r="D418" s="79" t="s">
        <v>827</v>
      </c>
      <c r="E418" s="80" t="s">
        <v>828</v>
      </c>
      <c r="F418" s="315">
        <v>14.31</v>
      </c>
      <c r="G418" s="222">
        <v>12</v>
      </c>
      <c r="H418" s="186"/>
      <c r="I418" s="186"/>
      <c r="J418" s="308"/>
      <c r="K418" s="227">
        <v>7</v>
      </c>
      <c r="L418" s="82">
        <f t="shared" si="231"/>
        <v>5</v>
      </c>
      <c r="M418" s="332">
        <v>5</v>
      </c>
      <c r="N418" s="161">
        <f t="shared" si="232"/>
        <v>71.55</v>
      </c>
      <c r="O418" s="161">
        <f t="shared" si="233"/>
        <v>71.55</v>
      </c>
      <c r="P418" s="187">
        <f t="shared" si="234"/>
        <v>0</v>
      </c>
      <c r="Q418" s="161">
        <f t="shared" si="235"/>
        <v>0</v>
      </c>
      <c r="R418" s="85"/>
      <c r="S418" s="86">
        <f t="shared" si="236"/>
        <v>18</v>
      </c>
      <c r="T418" s="87">
        <f t="shared" si="237"/>
        <v>-13</v>
      </c>
      <c r="U418">
        <v>18</v>
      </c>
    </row>
    <row r="419" spans="2:31" ht="20.100000000000001" hidden="1" customHeight="1">
      <c r="B419" s="77">
        <v>4</v>
      </c>
      <c r="C419" s="78" t="s">
        <v>687</v>
      </c>
      <c r="D419" s="79" t="s">
        <v>3798</v>
      </c>
      <c r="E419" s="80" t="s">
        <v>3782</v>
      </c>
      <c r="F419" s="81">
        <v>35.35</v>
      </c>
      <c r="G419" s="222">
        <v>24</v>
      </c>
      <c r="H419" s="186"/>
      <c r="I419" s="186"/>
      <c r="J419" s="308"/>
      <c r="K419" s="227">
        <v>1</v>
      </c>
      <c r="L419" s="82">
        <f t="shared" si="231"/>
        <v>23</v>
      </c>
      <c r="M419" s="331">
        <v>23</v>
      </c>
      <c r="N419" s="161">
        <f t="shared" ref="N419" si="246">F419*L419</f>
        <v>813.05000000000007</v>
      </c>
      <c r="O419" s="161">
        <f t="shared" ref="O419" si="247">M419*F419</f>
        <v>813.05000000000007</v>
      </c>
      <c r="P419" s="187">
        <f t="shared" ref="P419" si="248">L419-M419</f>
        <v>0</v>
      </c>
      <c r="Q419" s="161">
        <f t="shared" ref="Q419" si="249">N419-O419</f>
        <v>0</v>
      </c>
      <c r="R419" s="85"/>
      <c r="S419" s="86">
        <f t="shared" ref="S419" si="250">U419+Y419+W419+AA419</f>
        <v>18</v>
      </c>
      <c r="T419" s="87">
        <f t="shared" ref="T419" si="251">M419-S419</f>
        <v>5</v>
      </c>
      <c r="U419">
        <v>18</v>
      </c>
    </row>
    <row r="420" spans="2:31" ht="20.100000000000001" hidden="1" customHeight="1">
      <c r="B420" s="77">
        <v>4</v>
      </c>
      <c r="C420" s="78" t="s">
        <v>687</v>
      </c>
      <c r="D420" s="79" t="s">
        <v>3761</v>
      </c>
      <c r="E420" s="80" t="s">
        <v>3762</v>
      </c>
      <c r="F420" s="81">
        <v>79.95</v>
      </c>
      <c r="G420" s="222">
        <v>10</v>
      </c>
      <c r="H420" s="186"/>
      <c r="I420" s="186"/>
      <c r="J420" s="308"/>
      <c r="K420" s="227">
        <v>1</v>
      </c>
      <c r="L420" s="82">
        <f t="shared" si="231"/>
        <v>9</v>
      </c>
      <c r="M420" s="331">
        <v>9</v>
      </c>
      <c r="N420" s="161">
        <f t="shared" ref="N420" si="252">F420*L420</f>
        <v>719.55000000000007</v>
      </c>
      <c r="O420" s="161">
        <f t="shared" ref="O420" si="253">M420*F420</f>
        <v>719.55000000000007</v>
      </c>
      <c r="P420" s="187">
        <f t="shared" ref="P420" si="254">L420-M420</f>
        <v>0</v>
      </c>
      <c r="Q420" s="161">
        <f t="shared" ref="Q420" si="255">N420-O420</f>
        <v>0</v>
      </c>
      <c r="R420" s="85"/>
      <c r="S420" s="86">
        <f t="shared" ref="S420" si="256">U420+Y420+W420+AA420</f>
        <v>18</v>
      </c>
      <c r="T420" s="87">
        <f t="shared" ref="T420" si="257">M420-S420</f>
        <v>-9</v>
      </c>
      <c r="U420">
        <v>18</v>
      </c>
    </row>
    <row r="421" spans="2:31" ht="20.100000000000001" hidden="1" customHeight="1">
      <c r="B421" s="77">
        <v>4</v>
      </c>
      <c r="C421" s="78" t="s">
        <v>687</v>
      </c>
      <c r="D421" s="79" t="s">
        <v>829</v>
      </c>
      <c r="E421" s="80" t="s">
        <v>830</v>
      </c>
      <c r="F421" s="81">
        <v>42</v>
      </c>
      <c r="G421" s="222">
        <v>9</v>
      </c>
      <c r="H421" s="186"/>
      <c r="I421" s="186"/>
      <c r="J421" s="308"/>
      <c r="K421" s="227"/>
      <c r="L421" s="82">
        <f t="shared" si="231"/>
        <v>9</v>
      </c>
      <c r="M421" s="331">
        <v>9</v>
      </c>
      <c r="N421" s="161">
        <f t="shared" si="232"/>
        <v>378</v>
      </c>
      <c r="O421" s="161">
        <f t="shared" si="233"/>
        <v>378</v>
      </c>
      <c r="P421" s="187">
        <f t="shared" si="234"/>
        <v>0</v>
      </c>
      <c r="Q421" s="161">
        <f t="shared" si="235"/>
        <v>0</v>
      </c>
      <c r="R421" s="85"/>
      <c r="S421" s="86">
        <f t="shared" si="236"/>
        <v>6</v>
      </c>
      <c r="T421" s="87">
        <f t="shared" si="237"/>
        <v>3</v>
      </c>
      <c r="U421">
        <v>6</v>
      </c>
    </row>
    <row r="422" spans="2:31" ht="20.100000000000001" hidden="1" customHeight="1">
      <c r="B422" s="77">
        <v>4</v>
      </c>
      <c r="C422" s="78" t="s">
        <v>687</v>
      </c>
      <c r="D422" s="79" t="s">
        <v>831</v>
      </c>
      <c r="E422" s="80" t="s">
        <v>832</v>
      </c>
      <c r="F422" s="81">
        <v>37</v>
      </c>
      <c r="G422" s="222">
        <v>4</v>
      </c>
      <c r="H422" s="186"/>
      <c r="I422" s="186"/>
      <c r="J422" s="308"/>
      <c r="K422" s="227">
        <v>1</v>
      </c>
      <c r="L422" s="82">
        <f t="shared" ref="L422" si="258">G422+I422-J422-K422+H422</f>
        <v>3</v>
      </c>
      <c r="M422" s="331">
        <v>3</v>
      </c>
      <c r="N422" s="161">
        <f t="shared" ref="N422" si="259">F422*L422</f>
        <v>111</v>
      </c>
      <c r="O422" s="161">
        <f t="shared" ref="O422" si="260">M422*F422</f>
        <v>111</v>
      </c>
      <c r="P422" s="187">
        <f t="shared" ref="P422" si="261">L422-M422</f>
        <v>0</v>
      </c>
      <c r="Q422" s="161">
        <f t="shared" ref="Q422" si="262">N422-O422</f>
        <v>0</v>
      </c>
      <c r="R422" s="85"/>
      <c r="S422" s="86">
        <f t="shared" ref="S422" si="263">U422+Y422+W422+AA422</f>
        <v>0</v>
      </c>
      <c r="T422" s="87">
        <f t="shared" ref="T422" si="264">M422-S422</f>
        <v>3</v>
      </c>
    </row>
    <row r="423" spans="2:31" ht="20.100000000000001" hidden="1" customHeight="1">
      <c r="B423" s="77">
        <v>4</v>
      </c>
      <c r="C423" s="78" t="s">
        <v>687</v>
      </c>
      <c r="D423" s="79" t="s">
        <v>831</v>
      </c>
      <c r="E423" s="80" t="s">
        <v>832</v>
      </c>
      <c r="F423" s="81">
        <v>42</v>
      </c>
      <c r="G423" s="222"/>
      <c r="H423" s="186"/>
      <c r="I423" s="186">
        <v>5</v>
      </c>
      <c r="J423" s="308"/>
      <c r="K423" s="227">
        <v>1</v>
      </c>
      <c r="L423" s="82">
        <f t="shared" si="231"/>
        <v>4</v>
      </c>
      <c r="M423" s="331">
        <v>4</v>
      </c>
      <c r="N423" s="161">
        <f t="shared" si="232"/>
        <v>168</v>
      </c>
      <c r="O423" s="161">
        <f t="shared" si="233"/>
        <v>168</v>
      </c>
      <c r="P423" s="187">
        <f t="shared" si="234"/>
        <v>0</v>
      </c>
      <c r="Q423" s="161">
        <f t="shared" si="235"/>
        <v>0</v>
      </c>
      <c r="R423" s="85"/>
      <c r="S423" s="86">
        <f t="shared" si="236"/>
        <v>0</v>
      </c>
      <c r="T423" s="87">
        <f t="shared" si="237"/>
        <v>4</v>
      </c>
    </row>
    <row r="424" spans="2:31" ht="20.100000000000001" hidden="1" customHeight="1">
      <c r="B424" s="77">
        <v>4</v>
      </c>
      <c r="C424" s="78" t="s">
        <v>687</v>
      </c>
      <c r="D424" s="79" t="s">
        <v>833</v>
      </c>
      <c r="E424" s="80" t="s">
        <v>834</v>
      </c>
      <c r="F424" s="81">
        <v>102.9</v>
      </c>
      <c r="G424" s="222">
        <v>1</v>
      </c>
      <c r="H424" s="186"/>
      <c r="I424" s="186"/>
      <c r="J424" s="308"/>
      <c r="K424" s="227"/>
      <c r="L424" s="82">
        <f t="shared" si="231"/>
        <v>1</v>
      </c>
      <c r="M424" s="331">
        <v>1</v>
      </c>
      <c r="N424" s="161">
        <f t="shared" si="232"/>
        <v>102.9</v>
      </c>
      <c r="O424" s="161">
        <f t="shared" si="233"/>
        <v>102.9</v>
      </c>
      <c r="P424" s="187">
        <f t="shared" si="234"/>
        <v>0</v>
      </c>
      <c r="Q424" s="161">
        <f t="shared" si="235"/>
        <v>0</v>
      </c>
      <c r="R424" s="85"/>
      <c r="S424" s="86">
        <f t="shared" si="236"/>
        <v>0</v>
      </c>
      <c r="T424" s="87">
        <f t="shared" si="237"/>
        <v>1</v>
      </c>
    </row>
    <row r="425" spans="2:31" ht="20.100000000000001" hidden="1" customHeight="1">
      <c r="B425" s="77">
        <v>4</v>
      </c>
      <c r="C425" s="78" t="s">
        <v>687</v>
      </c>
      <c r="D425" s="79" t="s">
        <v>835</v>
      </c>
      <c r="E425" s="80" t="s">
        <v>836</v>
      </c>
      <c r="F425" s="81">
        <v>34.270000000000003</v>
      </c>
      <c r="G425" s="222"/>
      <c r="H425" s="186"/>
      <c r="I425" s="186"/>
      <c r="J425" s="308"/>
      <c r="K425" s="227"/>
      <c r="L425" s="82">
        <f t="shared" si="231"/>
        <v>0</v>
      </c>
      <c r="M425" s="331"/>
      <c r="N425" s="161">
        <f t="shared" si="232"/>
        <v>0</v>
      </c>
      <c r="O425" s="161">
        <f t="shared" si="233"/>
        <v>0</v>
      </c>
      <c r="P425" s="187">
        <f t="shared" si="234"/>
        <v>0</v>
      </c>
      <c r="Q425" s="161">
        <f t="shared" si="235"/>
        <v>0</v>
      </c>
      <c r="R425" s="85"/>
      <c r="S425" s="86">
        <f t="shared" si="236"/>
        <v>0</v>
      </c>
      <c r="T425" s="87">
        <f t="shared" si="237"/>
        <v>0</v>
      </c>
    </row>
    <row r="426" spans="2:31" ht="20.100000000000001" hidden="1" customHeight="1">
      <c r="B426" s="77">
        <v>4</v>
      </c>
      <c r="C426" s="78" t="s">
        <v>687</v>
      </c>
      <c r="D426" s="79" t="s">
        <v>837</v>
      </c>
      <c r="E426" s="80" t="s">
        <v>838</v>
      </c>
      <c r="F426" s="81">
        <v>38</v>
      </c>
      <c r="G426" s="222">
        <v>10</v>
      </c>
      <c r="H426" s="186"/>
      <c r="I426" s="186"/>
      <c r="J426" s="308"/>
      <c r="K426" s="227"/>
      <c r="L426" s="82">
        <f t="shared" si="231"/>
        <v>10</v>
      </c>
      <c r="M426" s="331">
        <v>10</v>
      </c>
      <c r="N426" s="161">
        <f t="shared" si="232"/>
        <v>380</v>
      </c>
      <c r="O426" s="161">
        <f t="shared" si="233"/>
        <v>380</v>
      </c>
      <c r="P426" s="187">
        <f t="shared" si="234"/>
        <v>0</v>
      </c>
      <c r="Q426" s="161">
        <f t="shared" si="235"/>
        <v>0</v>
      </c>
      <c r="R426" s="85" t="s">
        <v>839</v>
      </c>
      <c r="S426" s="86">
        <f t="shared" si="236"/>
        <v>11</v>
      </c>
      <c r="T426" s="87">
        <f t="shared" si="237"/>
        <v>-1</v>
      </c>
      <c r="U426">
        <v>1</v>
      </c>
      <c r="W426">
        <v>10</v>
      </c>
      <c r="X426" t="s">
        <v>115</v>
      </c>
      <c r="AD426">
        <f>W426</f>
        <v>10</v>
      </c>
      <c r="AE426" s="89">
        <f>AD426*F426</f>
        <v>380</v>
      </c>
    </row>
    <row r="427" spans="2:31" ht="20.100000000000001" hidden="1" customHeight="1">
      <c r="B427" s="77">
        <v>4</v>
      </c>
      <c r="C427" s="78" t="s">
        <v>687</v>
      </c>
      <c r="D427" s="79" t="s">
        <v>840</v>
      </c>
      <c r="E427" s="80" t="s">
        <v>841</v>
      </c>
      <c r="F427" s="81">
        <v>38</v>
      </c>
      <c r="G427" s="222">
        <v>5</v>
      </c>
      <c r="H427" s="186"/>
      <c r="I427" s="186"/>
      <c r="J427" s="308"/>
      <c r="K427" s="227"/>
      <c r="L427" s="82">
        <f t="shared" si="231"/>
        <v>5</v>
      </c>
      <c r="M427" s="331">
        <v>5</v>
      </c>
      <c r="N427" s="161">
        <f t="shared" si="232"/>
        <v>190</v>
      </c>
      <c r="O427" s="161">
        <f t="shared" si="233"/>
        <v>190</v>
      </c>
      <c r="P427" s="187">
        <f t="shared" si="234"/>
        <v>0</v>
      </c>
      <c r="Q427" s="161">
        <f t="shared" si="235"/>
        <v>0</v>
      </c>
      <c r="R427" s="91">
        <v>45426</v>
      </c>
      <c r="S427" s="86">
        <f t="shared" si="236"/>
        <v>5</v>
      </c>
      <c r="T427" s="87">
        <f t="shared" si="237"/>
        <v>0</v>
      </c>
      <c r="W427">
        <v>5</v>
      </c>
      <c r="X427" t="s">
        <v>115</v>
      </c>
      <c r="AD427">
        <f>W427</f>
        <v>5</v>
      </c>
      <c r="AE427" s="89">
        <f>AD427*F427</f>
        <v>190</v>
      </c>
    </row>
    <row r="428" spans="2:31" ht="20.100000000000001" hidden="1" customHeight="1">
      <c r="B428" s="77">
        <v>5</v>
      </c>
      <c r="C428" s="78" t="s">
        <v>842</v>
      </c>
      <c r="D428" s="79" t="s">
        <v>843</v>
      </c>
      <c r="E428" s="80" t="s">
        <v>844</v>
      </c>
      <c r="F428" s="81">
        <v>35.880000000000003</v>
      </c>
      <c r="G428" s="222"/>
      <c r="H428" s="186"/>
      <c r="I428" s="186"/>
      <c r="J428" s="308"/>
      <c r="K428" s="227"/>
      <c r="L428" s="82">
        <f t="shared" si="231"/>
        <v>0</v>
      </c>
      <c r="M428" s="331"/>
      <c r="N428" s="161">
        <f t="shared" si="232"/>
        <v>0</v>
      </c>
      <c r="O428" s="161">
        <f t="shared" si="233"/>
        <v>0</v>
      </c>
      <c r="P428" s="187">
        <f t="shared" si="234"/>
        <v>0</v>
      </c>
      <c r="Q428" s="161">
        <f t="shared" si="235"/>
        <v>0</v>
      </c>
      <c r="R428" s="85"/>
      <c r="S428" s="86">
        <f t="shared" si="236"/>
        <v>0</v>
      </c>
      <c r="T428" s="87">
        <f t="shared" si="237"/>
        <v>0</v>
      </c>
    </row>
    <row r="429" spans="2:31" ht="20.100000000000001" hidden="1" customHeight="1">
      <c r="B429" s="77">
        <v>5</v>
      </c>
      <c r="C429" s="78" t="s">
        <v>842</v>
      </c>
      <c r="D429" s="79" t="s">
        <v>845</v>
      </c>
      <c r="E429" s="80" t="s">
        <v>846</v>
      </c>
      <c r="F429" s="81">
        <v>99.12</v>
      </c>
      <c r="G429" s="222">
        <v>9</v>
      </c>
      <c r="H429" s="186"/>
      <c r="I429" s="186"/>
      <c r="J429" s="308"/>
      <c r="K429" s="227"/>
      <c r="L429" s="82">
        <f t="shared" si="231"/>
        <v>9</v>
      </c>
      <c r="M429" s="331">
        <v>9</v>
      </c>
      <c r="N429" s="161">
        <f t="shared" si="232"/>
        <v>892.08</v>
      </c>
      <c r="O429" s="161">
        <f t="shared" si="233"/>
        <v>892.08</v>
      </c>
      <c r="P429" s="187">
        <f t="shared" si="234"/>
        <v>0</v>
      </c>
      <c r="Q429" s="161">
        <f t="shared" si="235"/>
        <v>0</v>
      </c>
      <c r="R429" s="85"/>
      <c r="S429" s="86">
        <f t="shared" si="236"/>
        <v>9</v>
      </c>
      <c r="T429" s="87">
        <f t="shared" si="237"/>
        <v>0</v>
      </c>
      <c r="AA429">
        <v>9</v>
      </c>
      <c r="AB429" s="88" t="s">
        <v>847</v>
      </c>
      <c r="AD429">
        <f>AA429</f>
        <v>9</v>
      </c>
      <c r="AE429" s="89">
        <f>AD429*F429</f>
        <v>892.08</v>
      </c>
    </row>
    <row r="430" spans="2:31" ht="20.100000000000001" hidden="1" customHeight="1">
      <c r="B430" s="77">
        <v>5</v>
      </c>
      <c r="C430" s="78" t="s">
        <v>842</v>
      </c>
      <c r="D430" s="79" t="s">
        <v>848</v>
      </c>
      <c r="E430" s="80" t="s">
        <v>849</v>
      </c>
      <c r="F430" s="81">
        <v>8.1999999999999993</v>
      </c>
      <c r="G430" s="222">
        <v>12</v>
      </c>
      <c r="H430" s="186"/>
      <c r="I430" s="186"/>
      <c r="J430" s="308"/>
      <c r="K430" s="227"/>
      <c r="L430" s="82">
        <f t="shared" si="231"/>
        <v>12</v>
      </c>
      <c r="M430" s="331">
        <v>12</v>
      </c>
      <c r="N430" s="161">
        <f t="shared" si="232"/>
        <v>98.399999999999991</v>
      </c>
      <c r="O430" s="161">
        <f t="shared" si="233"/>
        <v>98.399999999999991</v>
      </c>
      <c r="P430" s="187">
        <f t="shared" si="234"/>
        <v>0</v>
      </c>
      <c r="Q430" s="161">
        <f t="shared" si="235"/>
        <v>0</v>
      </c>
      <c r="R430" s="85" t="s">
        <v>850</v>
      </c>
      <c r="S430" s="86">
        <f t="shared" si="236"/>
        <v>12</v>
      </c>
      <c r="T430" s="87">
        <f t="shared" si="237"/>
        <v>0</v>
      </c>
      <c r="W430">
        <v>12</v>
      </c>
      <c r="X430" t="s">
        <v>115</v>
      </c>
    </row>
    <row r="431" spans="2:31" ht="20.100000000000001" hidden="1" customHeight="1">
      <c r="B431" s="77">
        <v>5</v>
      </c>
      <c r="C431" s="78" t="s">
        <v>842</v>
      </c>
      <c r="D431" s="79" t="s">
        <v>851</v>
      </c>
      <c r="E431" s="80" t="s">
        <v>852</v>
      </c>
      <c r="F431" s="81">
        <v>139.44</v>
      </c>
      <c r="G431" s="222"/>
      <c r="H431" s="186"/>
      <c r="I431" s="186"/>
      <c r="J431" s="308"/>
      <c r="K431" s="227"/>
      <c r="L431" s="82">
        <f t="shared" si="231"/>
        <v>0</v>
      </c>
      <c r="M431" s="331"/>
      <c r="N431" s="161">
        <f t="shared" si="232"/>
        <v>0</v>
      </c>
      <c r="O431" s="161">
        <f t="shared" si="233"/>
        <v>0</v>
      </c>
      <c r="P431" s="187">
        <f t="shared" si="234"/>
        <v>0</v>
      </c>
      <c r="Q431" s="161">
        <f t="shared" si="235"/>
        <v>0</v>
      </c>
      <c r="R431" s="85"/>
      <c r="S431" s="86">
        <f t="shared" si="236"/>
        <v>0</v>
      </c>
      <c r="T431" s="87">
        <f t="shared" si="237"/>
        <v>0</v>
      </c>
    </row>
    <row r="432" spans="2:31" ht="20.100000000000001" hidden="1" customHeight="1">
      <c r="B432" s="77">
        <v>5</v>
      </c>
      <c r="C432" s="78" t="s">
        <v>842</v>
      </c>
      <c r="D432" s="79" t="s">
        <v>853</v>
      </c>
      <c r="E432" s="80" t="s">
        <v>854</v>
      </c>
      <c r="F432" s="81">
        <v>262.92</v>
      </c>
      <c r="G432" s="222">
        <v>5</v>
      </c>
      <c r="H432" s="186"/>
      <c r="I432" s="186"/>
      <c r="J432" s="308"/>
      <c r="K432" s="227"/>
      <c r="L432" s="82">
        <f t="shared" si="231"/>
        <v>5</v>
      </c>
      <c r="M432" s="331">
        <v>5</v>
      </c>
      <c r="N432" s="161">
        <f t="shared" si="232"/>
        <v>1314.6000000000001</v>
      </c>
      <c r="O432" s="161">
        <f t="shared" si="233"/>
        <v>1314.6000000000001</v>
      </c>
      <c r="P432" s="187">
        <f t="shared" si="234"/>
        <v>0</v>
      </c>
      <c r="Q432" s="161">
        <f t="shared" si="235"/>
        <v>0</v>
      </c>
      <c r="R432" s="85" t="s">
        <v>855</v>
      </c>
      <c r="S432" s="86">
        <f t="shared" si="236"/>
        <v>5</v>
      </c>
      <c r="T432" s="87">
        <f t="shared" si="237"/>
        <v>0</v>
      </c>
      <c r="W432">
        <v>5</v>
      </c>
      <c r="X432" t="s">
        <v>115</v>
      </c>
      <c r="AD432">
        <f>W432</f>
        <v>5</v>
      </c>
      <c r="AE432" s="89">
        <f>AD432*F432</f>
        <v>1314.6000000000001</v>
      </c>
    </row>
    <row r="433" spans="2:31" ht="20.100000000000001" hidden="1" customHeight="1">
      <c r="B433" s="77">
        <v>5</v>
      </c>
      <c r="C433" s="78" t="s">
        <v>842</v>
      </c>
      <c r="D433" s="79" t="s">
        <v>856</v>
      </c>
      <c r="E433" s="80" t="s">
        <v>857</v>
      </c>
      <c r="F433" s="81">
        <v>409.53</v>
      </c>
      <c r="G433" s="222"/>
      <c r="H433" s="186"/>
      <c r="I433" s="186"/>
      <c r="J433" s="308"/>
      <c r="K433" s="227"/>
      <c r="L433" s="82">
        <f t="shared" si="231"/>
        <v>0</v>
      </c>
      <c r="M433" s="331"/>
      <c r="N433" s="161">
        <f t="shared" si="232"/>
        <v>0</v>
      </c>
      <c r="O433" s="161">
        <f t="shared" si="233"/>
        <v>0</v>
      </c>
      <c r="P433" s="187">
        <f t="shared" si="234"/>
        <v>0</v>
      </c>
      <c r="Q433" s="161">
        <f t="shared" si="235"/>
        <v>0</v>
      </c>
      <c r="R433" s="85"/>
      <c r="S433" s="86">
        <f t="shared" si="236"/>
        <v>0</v>
      </c>
      <c r="T433" s="87">
        <f t="shared" si="237"/>
        <v>0</v>
      </c>
    </row>
    <row r="434" spans="2:31" ht="20.100000000000001" hidden="1" customHeight="1">
      <c r="B434" s="77">
        <v>5</v>
      </c>
      <c r="C434" s="78" t="s">
        <v>842</v>
      </c>
      <c r="D434" s="79" t="s">
        <v>858</v>
      </c>
      <c r="E434" s="80" t="s">
        <v>859</v>
      </c>
      <c r="F434" s="81">
        <v>8.6300000000000008</v>
      </c>
      <c r="G434" s="222">
        <f>96-9</f>
        <v>87</v>
      </c>
      <c r="H434" s="186"/>
      <c r="I434" s="186"/>
      <c r="J434" s="308"/>
      <c r="K434" s="227"/>
      <c r="L434" s="82">
        <f t="shared" ref="L434" si="265">G434+I434-J434-K434+H434</f>
        <v>87</v>
      </c>
      <c r="M434" s="331">
        <v>87</v>
      </c>
      <c r="N434" s="161">
        <f t="shared" ref="N434" si="266">F434*L434</f>
        <v>750.81000000000006</v>
      </c>
      <c r="O434" s="161">
        <f t="shared" ref="O434" si="267">M434*F434</f>
        <v>750.81000000000006</v>
      </c>
      <c r="P434" s="187">
        <f t="shared" ref="P434" si="268">L434-M434</f>
        <v>0</v>
      </c>
      <c r="Q434" s="161">
        <f t="shared" ref="Q434" si="269">N434-O434</f>
        <v>0</v>
      </c>
      <c r="R434" s="85"/>
      <c r="S434" s="86">
        <f t="shared" ref="S434" si="270">U434+Y434+W434+AA434</f>
        <v>0</v>
      </c>
      <c r="T434" s="87">
        <f t="shared" ref="T434" si="271">M434-S434</f>
        <v>87</v>
      </c>
    </row>
    <row r="435" spans="2:31" ht="20.100000000000001" hidden="1" customHeight="1">
      <c r="B435" s="77">
        <v>5</v>
      </c>
      <c r="C435" s="78" t="s">
        <v>842</v>
      </c>
      <c r="D435" s="79" t="s">
        <v>858</v>
      </c>
      <c r="E435" s="80" t="s">
        <v>859</v>
      </c>
      <c r="F435" s="321">
        <v>7.85</v>
      </c>
      <c r="G435" s="222">
        <v>9</v>
      </c>
      <c r="H435" s="186"/>
      <c r="I435" s="186"/>
      <c r="J435" s="308"/>
      <c r="K435" s="227">
        <v>9</v>
      </c>
      <c r="L435" s="82">
        <f t="shared" si="231"/>
        <v>0</v>
      </c>
      <c r="M435" s="331"/>
      <c r="N435" s="161">
        <f t="shared" si="232"/>
        <v>0</v>
      </c>
      <c r="O435" s="161">
        <f t="shared" si="233"/>
        <v>0</v>
      </c>
      <c r="P435" s="187">
        <f t="shared" si="234"/>
        <v>0</v>
      </c>
      <c r="Q435" s="161">
        <f t="shared" si="235"/>
        <v>0</v>
      </c>
      <c r="R435" s="85"/>
      <c r="S435" s="86">
        <f t="shared" si="236"/>
        <v>0</v>
      </c>
      <c r="T435" s="87">
        <f t="shared" si="237"/>
        <v>0</v>
      </c>
    </row>
    <row r="436" spans="2:31" ht="20.100000000000001" hidden="1" customHeight="1">
      <c r="B436" s="77">
        <v>5</v>
      </c>
      <c r="C436" s="78" t="s">
        <v>842</v>
      </c>
      <c r="D436" s="79" t="s">
        <v>860</v>
      </c>
      <c r="E436" s="80" t="s">
        <v>861</v>
      </c>
      <c r="F436" s="81">
        <v>20.83</v>
      </c>
      <c r="G436" s="222">
        <v>40</v>
      </c>
      <c r="H436" s="186"/>
      <c r="I436" s="186"/>
      <c r="J436" s="308"/>
      <c r="K436" s="227"/>
      <c r="L436" s="82">
        <f t="shared" si="231"/>
        <v>40</v>
      </c>
      <c r="M436" s="331">
        <v>40</v>
      </c>
      <c r="N436" s="161">
        <f t="shared" si="232"/>
        <v>833.19999999999993</v>
      </c>
      <c r="O436" s="161">
        <f t="shared" si="233"/>
        <v>833.19999999999993</v>
      </c>
      <c r="P436" s="187">
        <f t="shared" si="234"/>
        <v>0</v>
      </c>
      <c r="Q436" s="161">
        <f t="shared" si="235"/>
        <v>0</v>
      </c>
      <c r="R436" s="85"/>
      <c r="S436" s="86">
        <f t="shared" si="236"/>
        <v>43</v>
      </c>
      <c r="T436" s="87">
        <f t="shared" si="237"/>
        <v>-3</v>
      </c>
      <c r="U436">
        <v>43</v>
      </c>
    </row>
    <row r="437" spans="2:31" ht="20.100000000000001" hidden="1" customHeight="1">
      <c r="B437" s="77">
        <v>5</v>
      </c>
      <c r="C437" s="78" t="s">
        <v>842</v>
      </c>
      <c r="D437" s="79" t="s">
        <v>862</v>
      </c>
      <c r="E437" s="80" t="s">
        <v>863</v>
      </c>
      <c r="F437" s="81">
        <v>7.04</v>
      </c>
      <c r="G437" s="222">
        <v>5</v>
      </c>
      <c r="H437" s="186"/>
      <c r="I437" s="186"/>
      <c r="J437" s="308"/>
      <c r="K437" s="227"/>
      <c r="L437" s="82">
        <f t="shared" si="231"/>
        <v>5</v>
      </c>
      <c r="M437" s="331">
        <v>5</v>
      </c>
      <c r="N437" s="161">
        <f t="shared" si="232"/>
        <v>35.200000000000003</v>
      </c>
      <c r="O437" s="161">
        <f t="shared" si="233"/>
        <v>35.200000000000003</v>
      </c>
      <c r="P437" s="187">
        <f t="shared" si="234"/>
        <v>0</v>
      </c>
      <c r="Q437" s="161">
        <f t="shared" si="235"/>
        <v>0</v>
      </c>
      <c r="R437" s="85"/>
      <c r="S437" s="86">
        <f t="shared" si="236"/>
        <v>5</v>
      </c>
      <c r="T437" s="87">
        <f t="shared" si="237"/>
        <v>0</v>
      </c>
      <c r="U437">
        <v>5</v>
      </c>
    </row>
    <row r="438" spans="2:31" ht="20.100000000000001" hidden="1" customHeight="1">
      <c r="B438" s="77">
        <v>5</v>
      </c>
      <c r="C438" s="78" t="s">
        <v>842</v>
      </c>
      <c r="D438" s="79" t="s">
        <v>864</v>
      </c>
      <c r="E438" s="80" t="s">
        <v>865</v>
      </c>
      <c r="F438" s="81">
        <v>23.82</v>
      </c>
      <c r="G438" s="222">
        <v>63</v>
      </c>
      <c r="H438" s="186"/>
      <c r="I438" s="186"/>
      <c r="J438" s="308"/>
      <c r="K438" s="227">
        <v>1</v>
      </c>
      <c r="L438" s="82">
        <f t="shared" si="231"/>
        <v>62</v>
      </c>
      <c r="M438" s="331">
        <v>62</v>
      </c>
      <c r="N438" s="161">
        <f t="shared" si="232"/>
        <v>1476.84</v>
      </c>
      <c r="O438" s="161">
        <f t="shared" si="233"/>
        <v>1476.84</v>
      </c>
      <c r="P438" s="187">
        <f t="shared" si="234"/>
        <v>0</v>
      </c>
      <c r="Q438" s="161">
        <f t="shared" si="235"/>
        <v>0</v>
      </c>
      <c r="R438" s="85"/>
      <c r="S438" s="86">
        <f t="shared" si="236"/>
        <v>63</v>
      </c>
      <c r="T438" s="87">
        <f t="shared" si="237"/>
        <v>-1</v>
      </c>
      <c r="U438">
        <v>63</v>
      </c>
    </row>
    <row r="439" spans="2:31" ht="20.100000000000001" hidden="1" customHeight="1">
      <c r="B439" s="77">
        <v>5</v>
      </c>
      <c r="C439" s="78" t="s">
        <v>842</v>
      </c>
      <c r="D439" s="79" t="s">
        <v>866</v>
      </c>
      <c r="E439" s="80" t="s">
        <v>867</v>
      </c>
      <c r="F439" s="81">
        <v>15.5</v>
      </c>
      <c r="G439" s="222"/>
      <c r="H439" s="186"/>
      <c r="I439" s="186"/>
      <c r="J439" s="308"/>
      <c r="K439" s="227"/>
      <c r="L439" s="82">
        <f t="shared" si="231"/>
        <v>0</v>
      </c>
      <c r="M439" s="331"/>
      <c r="N439" s="161">
        <f t="shared" si="232"/>
        <v>0</v>
      </c>
      <c r="O439" s="161">
        <f t="shared" si="233"/>
        <v>0</v>
      </c>
      <c r="P439" s="187">
        <f t="shared" si="234"/>
        <v>0</v>
      </c>
      <c r="Q439" s="161">
        <f t="shared" si="235"/>
        <v>0</v>
      </c>
      <c r="R439" s="85"/>
      <c r="S439" s="86">
        <f t="shared" si="236"/>
        <v>0</v>
      </c>
      <c r="T439" s="87">
        <f t="shared" si="237"/>
        <v>0</v>
      </c>
    </row>
    <row r="440" spans="2:31" ht="20.100000000000001" hidden="1" customHeight="1">
      <c r="B440" s="77">
        <v>5</v>
      </c>
      <c r="C440" s="78" t="s">
        <v>842</v>
      </c>
      <c r="D440" s="79" t="s">
        <v>868</v>
      </c>
      <c r="E440" s="80" t="s">
        <v>869</v>
      </c>
      <c r="F440" s="81">
        <v>30.45</v>
      </c>
      <c r="G440" s="222">
        <v>9</v>
      </c>
      <c r="H440" s="186"/>
      <c r="I440" s="186"/>
      <c r="J440" s="308"/>
      <c r="K440" s="227"/>
      <c r="L440" s="82">
        <f t="shared" si="231"/>
        <v>9</v>
      </c>
      <c r="M440" s="331">
        <v>9</v>
      </c>
      <c r="N440" s="161">
        <f t="shared" si="232"/>
        <v>274.05</v>
      </c>
      <c r="O440" s="161">
        <f t="shared" si="233"/>
        <v>274.05</v>
      </c>
      <c r="P440" s="187">
        <f t="shared" si="234"/>
        <v>0</v>
      </c>
      <c r="Q440" s="161">
        <f t="shared" si="235"/>
        <v>0</v>
      </c>
      <c r="R440" s="85"/>
      <c r="S440" s="86">
        <f t="shared" si="236"/>
        <v>11</v>
      </c>
      <c r="T440" s="87">
        <f t="shared" si="237"/>
        <v>-2</v>
      </c>
      <c r="U440">
        <v>11</v>
      </c>
    </row>
    <row r="441" spans="2:31" ht="20.100000000000001" hidden="1" customHeight="1">
      <c r="B441" s="77">
        <v>5</v>
      </c>
      <c r="C441" s="78" t="s">
        <v>842</v>
      </c>
      <c r="D441" s="79" t="s">
        <v>870</v>
      </c>
      <c r="E441" s="80" t="s">
        <v>871</v>
      </c>
      <c r="F441" s="81">
        <v>16.2</v>
      </c>
      <c r="G441" s="222">
        <v>54</v>
      </c>
      <c r="H441" s="186"/>
      <c r="I441" s="186"/>
      <c r="J441" s="308"/>
      <c r="K441" s="227"/>
      <c r="L441" s="82">
        <f t="shared" si="231"/>
        <v>54</v>
      </c>
      <c r="M441" s="331">
        <v>54</v>
      </c>
      <c r="N441" s="161">
        <f t="shared" si="232"/>
        <v>874.8</v>
      </c>
      <c r="O441" s="161">
        <f t="shared" si="233"/>
        <v>874.8</v>
      </c>
      <c r="P441" s="187">
        <f t="shared" si="234"/>
        <v>0</v>
      </c>
      <c r="Q441" s="161">
        <f t="shared" si="235"/>
        <v>0</v>
      </c>
      <c r="R441" s="77"/>
      <c r="S441" s="86">
        <f t="shared" si="236"/>
        <v>54</v>
      </c>
      <c r="T441" s="87">
        <f t="shared" si="237"/>
        <v>0</v>
      </c>
      <c r="U441">
        <v>54</v>
      </c>
    </row>
    <row r="442" spans="2:31" ht="20.100000000000001" hidden="1" customHeight="1">
      <c r="B442" s="77">
        <v>5</v>
      </c>
      <c r="C442" s="78" t="s">
        <v>842</v>
      </c>
      <c r="D442" s="79" t="s">
        <v>872</v>
      </c>
      <c r="E442" s="80" t="s">
        <v>873</v>
      </c>
      <c r="F442" s="81">
        <v>521</v>
      </c>
      <c r="G442" s="222">
        <v>1</v>
      </c>
      <c r="H442" s="186"/>
      <c r="I442" s="186"/>
      <c r="J442" s="308"/>
      <c r="K442" s="227"/>
      <c r="L442" s="82">
        <f t="shared" si="231"/>
        <v>1</v>
      </c>
      <c r="M442" s="331">
        <v>1</v>
      </c>
      <c r="N442" s="161">
        <f t="shared" si="232"/>
        <v>521</v>
      </c>
      <c r="O442" s="161">
        <f t="shared" si="233"/>
        <v>521</v>
      </c>
      <c r="P442" s="187">
        <f t="shared" si="234"/>
        <v>0</v>
      </c>
      <c r="Q442" s="161">
        <f t="shared" si="235"/>
        <v>0</v>
      </c>
      <c r="R442" s="85"/>
      <c r="S442" s="86">
        <f t="shared" si="236"/>
        <v>0</v>
      </c>
      <c r="T442" s="87">
        <f t="shared" si="237"/>
        <v>1</v>
      </c>
    </row>
    <row r="443" spans="2:31" ht="20.100000000000001" hidden="1" customHeight="1">
      <c r="B443" s="77">
        <v>5</v>
      </c>
      <c r="C443" s="78" t="s">
        <v>842</v>
      </c>
      <c r="D443" s="79" t="s">
        <v>874</v>
      </c>
      <c r="E443" s="80" t="s">
        <v>875</v>
      </c>
      <c r="F443" s="317">
        <v>8.1999999999999993</v>
      </c>
      <c r="G443" s="222">
        <v>235</v>
      </c>
      <c r="H443" s="186"/>
      <c r="I443" s="186"/>
      <c r="J443" s="308"/>
      <c r="K443" s="227">
        <v>7</v>
      </c>
      <c r="L443" s="82">
        <f t="shared" si="231"/>
        <v>228</v>
      </c>
      <c r="M443" s="331">
        <v>228</v>
      </c>
      <c r="N443" s="161">
        <f t="shared" si="232"/>
        <v>1869.6</v>
      </c>
      <c r="O443" s="161">
        <f t="shared" si="233"/>
        <v>1869.6</v>
      </c>
      <c r="P443" s="187">
        <f t="shared" si="234"/>
        <v>0</v>
      </c>
      <c r="Q443" s="161">
        <f t="shared" si="235"/>
        <v>0</v>
      </c>
      <c r="R443" s="77" t="s">
        <v>876</v>
      </c>
      <c r="S443" s="86">
        <f t="shared" si="236"/>
        <v>252</v>
      </c>
      <c r="T443" s="87">
        <f t="shared" si="237"/>
        <v>-24</v>
      </c>
      <c r="U443">
        <v>64</v>
      </c>
      <c r="W443">
        <v>188</v>
      </c>
      <c r="X443" t="s">
        <v>523</v>
      </c>
      <c r="AD443">
        <f>W443</f>
        <v>188</v>
      </c>
      <c r="AE443" s="89">
        <f>AD443*F443</f>
        <v>1541.6</v>
      </c>
    </row>
    <row r="444" spans="2:31" ht="20.100000000000001" hidden="1" customHeight="1">
      <c r="B444" s="77">
        <v>5</v>
      </c>
      <c r="C444" s="78" t="s">
        <v>842</v>
      </c>
      <c r="D444" s="79" t="s">
        <v>874</v>
      </c>
      <c r="E444" s="80" t="s">
        <v>875</v>
      </c>
      <c r="F444" s="81">
        <v>8.1999999999999993</v>
      </c>
      <c r="G444" s="222"/>
      <c r="H444" s="186"/>
      <c r="I444" s="186"/>
      <c r="J444" s="308"/>
      <c r="K444" s="227"/>
      <c r="L444" s="82">
        <f t="shared" si="231"/>
        <v>0</v>
      </c>
      <c r="M444" s="331"/>
      <c r="N444" s="161">
        <f t="shared" si="232"/>
        <v>0</v>
      </c>
      <c r="O444" s="161">
        <f t="shared" si="233"/>
        <v>0</v>
      </c>
      <c r="P444" s="187">
        <f t="shared" si="234"/>
        <v>0</v>
      </c>
      <c r="Q444" s="161">
        <f t="shared" si="235"/>
        <v>0</v>
      </c>
      <c r="R444" s="85"/>
      <c r="S444" s="86">
        <f t="shared" si="236"/>
        <v>0</v>
      </c>
      <c r="T444" s="87">
        <f t="shared" si="237"/>
        <v>0</v>
      </c>
    </row>
    <row r="445" spans="2:31" ht="20.100000000000001" hidden="1" customHeight="1">
      <c r="B445" s="77">
        <v>5</v>
      </c>
      <c r="C445" s="78" t="s">
        <v>842</v>
      </c>
      <c r="D445" s="79" t="s">
        <v>877</v>
      </c>
      <c r="E445" s="80" t="s">
        <v>878</v>
      </c>
      <c r="F445" s="317">
        <v>8.1999999999999993</v>
      </c>
      <c r="G445" s="222">
        <v>140</v>
      </c>
      <c r="H445" s="186"/>
      <c r="I445" s="186"/>
      <c r="J445" s="308"/>
      <c r="K445" s="227">
        <v>5</v>
      </c>
      <c r="L445" s="82">
        <f t="shared" si="231"/>
        <v>135</v>
      </c>
      <c r="M445" s="331">
        <v>135</v>
      </c>
      <c r="N445" s="161">
        <f t="shared" si="232"/>
        <v>1107</v>
      </c>
      <c r="O445" s="161">
        <f t="shared" si="233"/>
        <v>1107</v>
      </c>
      <c r="P445" s="187">
        <f t="shared" si="234"/>
        <v>0</v>
      </c>
      <c r="Q445" s="161">
        <f t="shared" si="235"/>
        <v>0</v>
      </c>
      <c r="R445" s="85" t="s">
        <v>879</v>
      </c>
      <c r="S445" s="86">
        <f t="shared" si="236"/>
        <v>165</v>
      </c>
      <c r="T445" s="87">
        <f t="shared" si="237"/>
        <v>-30</v>
      </c>
      <c r="U445">
        <v>94</v>
      </c>
      <c r="W445">
        <v>71</v>
      </c>
      <c r="X445" t="s">
        <v>121</v>
      </c>
      <c r="AD445">
        <f>W445</f>
        <v>71</v>
      </c>
      <c r="AE445" s="89">
        <f>AD445*F445</f>
        <v>582.19999999999993</v>
      </c>
    </row>
    <row r="446" spans="2:31" ht="20.100000000000001" hidden="1" customHeight="1">
      <c r="B446" s="77">
        <v>5</v>
      </c>
      <c r="C446" s="78" t="s">
        <v>842</v>
      </c>
      <c r="D446" s="79" t="s">
        <v>877</v>
      </c>
      <c r="E446" s="80" t="s">
        <v>878</v>
      </c>
      <c r="F446" s="81">
        <v>8.1999999999999993</v>
      </c>
      <c r="G446" s="222"/>
      <c r="H446" s="186"/>
      <c r="I446" s="186"/>
      <c r="J446" s="308"/>
      <c r="K446" s="227"/>
      <c r="L446" s="82">
        <f t="shared" si="231"/>
        <v>0</v>
      </c>
      <c r="M446" s="331"/>
      <c r="N446" s="161">
        <f t="shared" si="232"/>
        <v>0</v>
      </c>
      <c r="O446" s="161">
        <f t="shared" si="233"/>
        <v>0</v>
      </c>
      <c r="P446" s="187">
        <f t="shared" si="234"/>
        <v>0</v>
      </c>
      <c r="Q446" s="161">
        <f t="shared" si="235"/>
        <v>0</v>
      </c>
      <c r="R446" s="85"/>
      <c r="S446" s="86">
        <f t="shared" si="236"/>
        <v>0</v>
      </c>
      <c r="T446" s="87">
        <f t="shared" si="237"/>
        <v>0</v>
      </c>
    </row>
    <row r="447" spans="2:31" ht="20.100000000000001" hidden="1" customHeight="1">
      <c r="B447" s="77">
        <v>5</v>
      </c>
      <c r="C447" s="78" t="s">
        <v>842</v>
      </c>
      <c r="D447" s="79" t="s">
        <v>880</v>
      </c>
      <c r="E447" s="80" t="s">
        <v>881</v>
      </c>
      <c r="F447" s="81">
        <v>14.37</v>
      </c>
      <c r="G447" s="222">
        <v>61</v>
      </c>
      <c r="H447" s="186"/>
      <c r="I447" s="186"/>
      <c r="J447" s="308"/>
      <c r="K447" s="227"/>
      <c r="L447" s="82">
        <f t="shared" si="231"/>
        <v>61</v>
      </c>
      <c r="M447" s="331">
        <v>61</v>
      </c>
      <c r="N447" s="161">
        <f t="shared" si="232"/>
        <v>876.56999999999994</v>
      </c>
      <c r="O447" s="161">
        <f t="shared" si="233"/>
        <v>876.56999999999994</v>
      </c>
      <c r="P447" s="187">
        <f t="shared" si="234"/>
        <v>0</v>
      </c>
      <c r="Q447" s="161">
        <f t="shared" si="235"/>
        <v>0</v>
      </c>
      <c r="R447" s="91">
        <v>45672</v>
      </c>
      <c r="S447" s="86">
        <f t="shared" si="236"/>
        <v>61</v>
      </c>
      <c r="T447" s="87">
        <f t="shared" si="237"/>
        <v>0</v>
      </c>
      <c r="W447">
        <v>61</v>
      </c>
      <c r="X447" t="s">
        <v>121</v>
      </c>
      <c r="AD447">
        <f>W447</f>
        <v>61</v>
      </c>
      <c r="AE447" s="89">
        <f>AD447*F447</f>
        <v>876.56999999999994</v>
      </c>
    </row>
    <row r="448" spans="2:31" ht="20.100000000000001" hidden="1" customHeight="1">
      <c r="B448" s="77">
        <v>5</v>
      </c>
      <c r="C448" s="78" t="s">
        <v>842</v>
      </c>
      <c r="D448" s="79" t="s">
        <v>882</v>
      </c>
      <c r="E448" s="80" t="s">
        <v>883</v>
      </c>
      <c r="F448" s="81">
        <v>6.65</v>
      </c>
      <c r="G448" s="222">
        <v>30</v>
      </c>
      <c r="H448" s="186"/>
      <c r="I448" s="186"/>
      <c r="J448" s="308"/>
      <c r="K448" s="227"/>
      <c r="L448" s="82">
        <f t="shared" si="231"/>
        <v>30</v>
      </c>
      <c r="M448" s="331">
        <v>30</v>
      </c>
      <c r="N448" s="161">
        <f t="shared" si="232"/>
        <v>199.5</v>
      </c>
      <c r="O448" s="161">
        <f t="shared" si="233"/>
        <v>199.5</v>
      </c>
      <c r="P448" s="187">
        <f t="shared" si="234"/>
        <v>0</v>
      </c>
      <c r="Q448" s="161">
        <f t="shared" si="235"/>
        <v>0</v>
      </c>
      <c r="R448" s="85"/>
      <c r="S448" s="86">
        <f t="shared" si="236"/>
        <v>0</v>
      </c>
      <c r="T448" s="87">
        <f t="shared" si="237"/>
        <v>30</v>
      </c>
    </row>
    <row r="449" spans="2:31" ht="20.100000000000001" hidden="1" customHeight="1">
      <c r="B449" s="77">
        <v>5</v>
      </c>
      <c r="C449" s="78" t="s">
        <v>842</v>
      </c>
      <c r="D449" s="79" t="s">
        <v>884</v>
      </c>
      <c r="E449" s="80" t="s">
        <v>885</v>
      </c>
      <c r="F449" s="81">
        <v>7.6</v>
      </c>
      <c r="G449" s="222"/>
      <c r="H449" s="186"/>
      <c r="I449" s="186"/>
      <c r="J449" s="308"/>
      <c r="K449" s="227"/>
      <c r="L449" s="82">
        <f t="shared" si="231"/>
        <v>0</v>
      </c>
      <c r="M449" s="331">
        <v>0</v>
      </c>
      <c r="N449" s="161">
        <f t="shared" si="232"/>
        <v>0</v>
      </c>
      <c r="O449" s="161">
        <f t="shared" si="233"/>
        <v>0</v>
      </c>
      <c r="P449" s="187">
        <f t="shared" si="234"/>
        <v>0</v>
      </c>
      <c r="Q449" s="161">
        <f t="shared" si="235"/>
        <v>0</v>
      </c>
      <c r="R449" s="85"/>
      <c r="S449" s="86">
        <f t="shared" si="236"/>
        <v>0</v>
      </c>
      <c r="T449" s="87">
        <f t="shared" si="237"/>
        <v>0</v>
      </c>
    </row>
    <row r="450" spans="2:31" ht="20.100000000000001" hidden="1" customHeight="1">
      <c r="B450" s="77">
        <v>5</v>
      </c>
      <c r="C450" s="78" t="s">
        <v>842</v>
      </c>
      <c r="D450" s="79" t="s">
        <v>886</v>
      </c>
      <c r="E450" s="80" t="s">
        <v>887</v>
      </c>
      <c r="F450" s="81">
        <v>11.76</v>
      </c>
      <c r="G450" s="222">
        <v>98</v>
      </c>
      <c r="H450" s="186"/>
      <c r="I450" s="186"/>
      <c r="J450" s="308"/>
      <c r="K450" s="227"/>
      <c r="L450" s="82">
        <f t="shared" si="231"/>
        <v>98</v>
      </c>
      <c r="M450" s="331">
        <v>98</v>
      </c>
      <c r="N450" s="161">
        <f t="shared" si="232"/>
        <v>1152.48</v>
      </c>
      <c r="O450" s="161">
        <f t="shared" si="233"/>
        <v>1152.48</v>
      </c>
      <c r="P450" s="187">
        <f t="shared" si="234"/>
        <v>0</v>
      </c>
      <c r="Q450" s="161">
        <f t="shared" si="235"/>
        <v>0</v>
      </c>
      <c r="R450" s="85"/>
      <c r="S450" s="86">
        <f t="shared" si="236"/>
        <v>264</v>
      </c>
      <c r="T450" s="87">
        <f t="shared" si="237"/>
        <v>-166</v>
      </c>
      <c r="U450">
        <f>86+174+2</f>
        <v>262</v>
      </c>
      <c r="AA450">
        <v>2</v>
      </c>
      <c r="AB450" t="s">
        <v>888</v>
      </c>
      <c r="AD450">
        <f>AA450</f>
        <v>2</v>
      </c>
      <c r="AE450" s="89">
        <f>AD450*F450</f>
        <v>23.52</v>
      </c>
    </row>
    <row r="451" spans="2:31" ht="20.100000000000001" hidden="1" customHeight="1">
      <c r="B451" s="77">
        <v>5</v>
      </c>
      <c r="C451" s="78" t="s">
        <v>842</v>
      </c>
      <c r="D451" s="79" t="s">
        <v>889</v>
      </c>
      <c r="E451" s="80" t="s">
        <v>890</v>
      </c>
      <c r="F451" s="81">
        <v>94.6</v>
      </c>
      <c r="G451" s="222">
        <v>2</v>
      </c>
      <c r="H451" s="186"/>
      <c r="I451" s="186"/>
      <c r="J451" s="308"/>
      <c r="K451" s="227"/>
      <c r="L451" s="82">
        <f t="shared" si="231"/>
        <v>2</v>
      </c>
      <c r="M451" s="331">
        <v>2</v>
      </c>
      <c r="N451" s="161">
        <f t="shared" si="232"/>
        <v>189.2</v>
      </c>
      <c r="O451" s="161">
        <f t="shared" si="233"/>
        <v>189.2</v>
      </c>
      <c r="P451" s="187">
        <f t="shared" si="234"/>
        <v>0</v>
      </c>
      <c r="Q451" s="161">
        <f t="shared" si="235"/>
        <v>0</v>
      </c>
      <c r="R451" s="85"/>
      <c r="S451" s="86">
        <f t="shared" si="236"/>
        <v>2</v>
      </c>
      <c r="T451" s="87">
        <f t="shared" si="237"/>
        <v>0</v>
      </c>
      <c r="U451">
        <v>2</v>
      </c>
    </row>
    <row r="452" spans="2:31" ht="20.100000000000001" hidden="1" customHeight="1">
      <c r="B452" s="77">
        <v>5</v>
      </c>
      <c r="C452" s="78" t="s">
        <v>842</v>
      </c>
      <c r="D452" s="79" t="s">
        <v>891</v>
      </c>
      <c r="E452" s="80" t="s">
        <v>892</v>
      </c>
      <c r="F452" s="81">
        <v>39.28</v>
      </c>
      <c r="G452" s="222">
        <v>6</v>
      </c>
      <c r="H452" s="186"/>
      <c r="I452" s="186"/>
      <c r="J452" s="308"/>
      <c r="K452" s="227"/>
      <c r="L452" s="82">
        <f t="shared" si="231"/>
        <v>6</v>
      </c>
      <c r="M452" s="331">
        <v>6</v>
      </c>
      <c r="N452" s="161">
        <f t="shared" si="232"/>
        <v>235.68</v>
      </c>
      <c r="O452" s="161">
        <f t="shared" si="233"/>
        <v>235.68</v>
      </c>
      <c r="P452" s="187">
        <f t="shared" si="234"/>
        <v>0</v>
      </c>
      <c r="Q452" s="161">
        <f t="shared" si="235"/>
        <v>0</v>
      </c>
      <c r="R452" s="85"/>
      <c r="S452" s="86">
        <f t="shared" si="236"/>
        <v>6</v>
      </c>
      <c r="T452" s="87">
        <f t="shared" si="237"/>
        <v>0</v>
      </c>
      <c r="U452">
        <v>6</v>
      </c>
    </row>
    <row r="453" spans="2:31" ht="20.100000000000001" hidden="1" customHeight="1">
      <c r="B453" s="77">
        <v>5</v>
      </c>
      <c r="C453" s="78" t="s">
        <v>842</v>
      </c>
      <c r="D453" s="79" t="s">
        <v>893</v>
      </c>
      <c r="E453" s="80" t="s">
        <v>894</v>
      </c>
      <c r="F453" s="81">
        <v>96.67</v>
      </c>
      <c r="G453" s="222">
        <v>8</v>
      </c>
      <c r="H453" s="186"/>
      <c r="I453" s="186"/>
      <c r="J453" s="308"/>
      <c r="K453" s="227">
        <v>3</v>
      </c>
      <c r="L453" s="82">
        <f t="shared" si="231"/>
        <v>5</v>
      </c>
      <c r="M453" s="331">
        <v>5</v>
      </c>
      <c r="N453" s="161">
        <f t="shared" si="232"/>
        <v>483.35</v>
      </c>
      <c r="O453" s="161">
        <f t="shared" si="233"/>
        <v>483.35</v>
      </c>
      <c r="P453" s="187">
        <f t="shared" si="234"/>
        <v>0</v>
      </c>
      <c r="Q453" s="161">
        <f t="shared" si="235"/>
        <v>0</v>
      </c>
      <c r="R453" s="85"/>
      <c r="S453" s="86">
        <f t="shared" si="236"/>
        <v>16</v>
      </c>
      <c r="T453" s="87">
        <f t="shared" si="237"/>
        <v>-11</v>
      </c>
      <c r="U453">
        <v>16</v>
      </c>
    </row>
    <row r="454" spans="2:31" ht="20.100000000000001" hidden="1" customHeight="1">
      <c r="B454" s="77">
        <v>5</v>
      </c>
      <c r="C454" s="78" t="s">
        <v>842</v>
      </c>
      <c r="D454" s="79" t="s">
        <v>895</v>
      </c>
      <c r="E454" s="80" t="s">
        <v>896</v>
      </c>
      <c r="F454" s="81">
        <v>24.86</v>
      </c>
      <c r="G454" s="222">
        <v>43</v>
      </c>
      <c r="H454" s="186"/>
      <c r="I454" s="186"/>
      <c r="J454" s="308"/>
      <c r="K454" s="227"/>
      <c r="L454" s="82">
        <f t="shared" si="231"/>
        <v>43</v>
      </c>
      <c r="M454" s="331">
        <v>43</v>
      </c>
      <c r="N454" s="161">
        <f t="shared" si="232"/>
        <v>1068.98</v>
      </c>
      <c r="O454" s="161">
        <f t="shared" si="233"/>
        <v>1068.98</v>
      </c>
      <c r="P454" s="187">
        <f t="shared" si="234"/>
        <v>0</v>
      </c>
      <c r="Q454" s="161">
        <f t="shared" si="235"/>
        <v>0</v>
      </c>
      <c r="R454" s="85"/>
      <c r="S454" s="86">
        <f t="shared" si="236"/>
        <v>47</v>
      </c>
      <c r="T454" s="87">
        <f t="shared" si="237"/>
        <v>-4</v>
      </c>
      <c r="U454">
        <v>47</v>
      </c>
    </row>
    <row r="455" spans="2:31" ht="20.100000000000001" hidden="1" customHeight="1">
      <c r="B455" s="77">
        <v>5</v>
      </c>
      <c r="C455" s="78" t="s">
        <v>842</v>
      </c>
      <c r="D455" s="79" t="s">
        <v>897</v>
      </c>
      <c r="E455" s="80" t="s">
        <v>898</v>
      </c>
      <c r="F455" s="81">
        <v>48.8</v>
      </c>
      <c r="G455" s="222">
        <v>17</v>
      </c>
      <c r="H455" s="186"/>
      <c r="I455" s="186"/>
      <c r="J455" s="308"/>
      <c r="K455" s="227">
        <v>3</v>
      </c>
      <c r="L455" s="82">
        <f t="shared" si="231"/>
        <v>14</v>
      </c>
      <c r="M455" s="331">
        <v>14</v>
      </c>
      <c r="N455" s="161">
        <f t="shared" si="232"/>
        <v>683.19999999999993</v>
      </c>
      <c r="O455" s="161">
        <f t="shared" si="233"/>
        <v>683.19999999999993</v>
      </c>
      <c r="P455" s="187">
        <f t="shared" si="234"/>
        <v>0</v>
      </c>
      <c r="Q455" s="161">
        <f t="shared" si="235"/>
        <v>0</v>
      </c>
      <c r="R455" s="85"/>
      <c r="S455" s="86">
        <f t="shared" si="236"/>
        <v>15</v>
      </c>
      <c r="T455" s="87">
        <f t="shared" si="237"/>
        <v>-1</v>
      </c>
      <c r="U455">
        <f>1+14</f>
        <v>15</v>
      </c>
    </row>
    <row r="456" spans="2:31" ht="20.100000000000001" hidden="1" customHeight="1">
      <c r="B456" s="77">
        <v>5</v>
      </c>
      <c r="C456" s="78" t="s">
        <v>842</v>
      </c>
      <c r="D456" s="79" t="s">
        <v>899</v>
      </c>
      <c r="E456" s="80" t="s">
        <v>900</v>
      </c>
      <c r="F456" s="81">
        <v>94.58</v>
      </c>
      <c r="G456" s="222">
        <v>30</v>
      </c>
      <c r="H456" s="186"/>
      <c r="I456" s="186"/>
      <c r="J456" s="308"/>
      <c r="K456" s="227">
        <v>8</v>
      </c>
      <c r="L456" s="82">
        <f t="shared" si="231"/>
        <v>22</v>
      </c>
      <c r="M456" s="331">
        <v>22</v>
      </c>
      <c r="N456" s="161">
        <f t="shared" si="232"/>
        <v>2080.7599999999998</v>
      </c>
      <c r="O456" s="161">
        <f t="shared" si="233"/>
        <v>2080.7599999999998</v>
      </c>
      <c r="P456" s="187">
        <f t="shared" si="234"/>
        <v>0</v>
      </c>
      <c r="Q456" s="161">
        <f t="shared" si="235"/>
        <v>0</v>
      </c>
      <c r="R456" s="232"/>
      <c r="S456" s="86">
        <f t="shared" si="236"/>
        <v>35</v>
      </c>
      <c r="T456" s="87">
        <f t="shared" ref="T456:T509" si="272">M456-S456</f>
        <v>-13</v>
      </c>
      <c r="U456">
        <v>12</v>
      </c>
      <c r="W456">
        <v>23</v>
      </c>
      <c r="X456" t="s">
        <v>901</v>
      </c>
      <c r="AD456">
        <f>W456</f>
        <v>23</v>
      </c>
      <c r="AE456" s="89">
        <f>AD456*F456</f>
        <v>2175.34</v>
      </c>
    </row>
    <row r="457" spans="2:31" ht="20.100000000000001" customHeight="1">
      <c r="B457" s="77">
        <v>5</v>
      </c>
      <c r="C457" s="78" t="s">
        <v>842</v>
      </c>
      <c r="D457" s="79" t="s">
        <v>902</v>
      </c>
      <c r="E457" s="80" t="s">
        <v>903</v>
      </c>
      <c r="F457" s="81">
        <v>24.35</v>
      </c>
      <c r="G457" s="222">
        <v>62</v>
      </c>
      <c r="H457" s="186"/>
      <c r="I457" s="186"/>
      <c r="J457" s="308"/>
      <c r="K457" s="227"/>
      <c r="L457" s="82">
        <f t="shared" si="231"/>
        <v>62</v>
      </c>
      <c r="M457" s="331">
        <v>49</v>
      </c>
      <c r="N457" s="161">
        <f t="shared" ref="N457:N510" si="273">F457*L457</f>
        <v>1509.7</v>
      </c>
      <c r="O457" s="161">
        <f t="shared" ref="O457:O510" si="274">M457*F457</f>
        <v>1193.1500000000001</v>
      </c>
      <c r="P457" s="187">
        <f t="shared" ref="P457:P510" si="275">L457-M457</f>
        <v>13</v>
      </c>
      <c r="Q457" s="161">
        <f t="shared" ref="Q457:Q510" si="276">N457-O457</f>
        <v>316.54999999999995</v>
      </c>
      <c r="R457" s="232"/>
      <c r="S457" s="86">
        <f t="shared" ref="S457:S510" si="277">U457+Y457+W457+AA457</f>
        <v>66</v>
      </c>
      <c r="T457" s="87">
        <f t="shared" si="272"/>
        <v>-17</v>
      </c>
      <c r="U457">
        <f>19+47</f>
        <v>66</v>
      </c>
    </row>
    <row r="458" spans="2:31" ht="20.100000000000001" hidden="1" customHeight="1">
      <c r="B458" s="77">
        <v>5</v>
      </c>
      <c r="C458" s="78" t="s">
        <v>842</v>
      </c>
      <c r="D458" s="79" t="s">
        <v>904</v>
      </c>
      <c r="E458" s="80" t="s">
        <v>905</v>
      </c>
      <c r="F458" s="81">
        <v>47.73</v>
      </c>
      <c r="G458" s="222">
        <v>16</v>
      </c>
      <c r="H458" s="186"/>
      <c r="I458" s="186"/>
      <c r="J458" s="308"/>
      <c r="K458" s="227">
        <v>2</v>
      </c>
      <c r="L458" s="82">
        <f t="shared" si="231"/>
        <v>14</v>
      </c>
      <c r="M458" s="331">
        <v>14</v>
      </c>
      <c r="N458" s="161">
        <f t="shared" si="273"/>
        <v>668.21999999999991</v>
      </c>
      <c r="O458" s="161">
        <f t="shared" si="274"/>
        <v>668.21999999999991</v>
      </c>
      <c r="P458" s="187">
        <f t="shared" si="275"/>
        <v>0</v>
      </c>
      <c r="Q458" s="161">
        <f t="shared" si="276"/>
        <v>0</v>
      </c>
      <c r="R458" s="85"/>
      <c r="S458" s="86">
        <f t="shared" si="277"/>
        <v>18</v>
      </c>
      <c r="T458" s="87">
        <f t="shared" si="272"/>
        <v>-4</v>
      </c>
      <c r="U458">
        <v>18</v>
      </c>
    </row>
    <row r="459" spans="2:31" ht="20.100000000000001" hidden="1" customHeight="1">
      <c r="B459" s="77">
        <v>5</v>
      </c>
      <c r="C459" s="78" t="s">
        <v>842</v>
      </c>
      <c r="D459" s="79" t="s">
        <v>906</v>
      </c>
      <c r="E459" s="80" t="s">
        <v>907</v>
      </c>
      <c r="F459" s="81">
        <v>11.39</v>
      </c>
      <c r="G459" s="222"/>
      <c r="H459" s="186"/>
      <c r="I459" s="186"/>
      <c r="J459" s="308"/>
      <c r="K459" s="227"/>
      <c r="L459" s="82">
        <f t="shared" si="231"/>
        <v>0</v>
      </c>
      <c r="M459" s="331">
        <v>0</v>
      </c>
      <c r="N459" s="161">
        <f t="shared" si="273"/>
        <v>0</v>
      </c>
      <c r="O459" s="161">
        <f t="shared" si="274"/>
        <v>0</v>
      </c>
      <c r="P459" s="187">
        <f t="shared" si="275"/>
        <v>0</v>
      </c>
      <c r="Q459" s="161">
        <f t="shared" si="276"/>
        <v>0</v>
      </c>
      <c r="R459" s="85" t="s">
        <v>908</v>
      </c>
      <c r="S459" s="86">
        <f t="shared" si="277"/>
        <v>223</v>
      </c>
      <c r="T459" s="87">
        <f t="shared" si="272"/>
        <v>-223</v>
      </c>
      <c r="U459">
        <v>103</v>
      </c>
      <c r="W459">
        <v>120</v>
      </c>
      <c r="X459" t="s">
        <v>115</v>
      </c>
      <c r="AD459">
        <f>W459</f>
        <v>120</v>
      </c>
      <c r="AE459" s="89">
        <f>AD459*F459</f>
        <v>1366.8000000000002</v>
      </c>
    </row>
    <row r="460" spans="2:31" ht="20.100000000000001" hidden="1" customHeight="1">
      <c r="B460" s="77">
        <v>5</v>
      </c>
      <c r="C460" s="78" t="s">
        <v>842</v>
      </c>
      <c r="D460" s="79" t="s">
        <v>3757</v>
      </c>
      <c r="E460" s="80" t="s">
        <v>3758</v>
      </c>
      <c r="F460" s="81">
        <v>9.26</v>
      </c>
      <c r="G460" s="222">
        <v>117</v>
      </c>
      <c r="H460" s="186"/>
      <c r="I460" s="186"/>
      <c r="J460" s="308"/>
      <c r="K460" s="227">
        <v>2</v>
      </c>
      <c r="L460" s="82">
        <f t="shared" si="231"/>
        <v>115</v>
      </c>
      <c r="M460" s="331">
        <v>115</v>
      </c>
      <c r="N460" s="161">
        <f t="shared" ref="N460" si="278">F460*L460</f>
        <v>1064.8999999999999</v>
      </c>
      <c r="O460" s="161">
        <f t="shared" ref="O460" si="279">M460*F460</f>
        <v>1064.8999999999999</v>
      </c>
      <c r="P460" s="187">
        <f t="shared" ref="P460" si="280">L460-M460</f>
        <v>0</v>
      </c>
      <c r="Q460" s="161">
        <f t="shared" ref="Q460" si="281">N460-O460</f>
        <v>0</v>
      </c>
      <c r="R460" s="85"/>
      <c r="S460" s="86">
        <f t="shared" ref="S460" si="282">U460+Y460+W460+AA460</f>
        <v>0</v>
      </c>
      <c r="T460" s="87">
        <f t="shared" ref="T460" si="283">M460-S460</f>
        <v>115</v>
      </c>
    </row>
    <row r="461" spans="2:31" ht="20.100000000000001" hidden="1" customHeight="1">
      <c r="B461" s="77">
        <v>5</v>
      </c>
      <c r="C461" s="78" t="s">
        <v>842</v>
      </c>
      <c r="D461" s="79" t="s">
        <v>909</v>
      </c>
      <c r="E461" s="80" t="s">
        <v>910</v>
      </c>
      <c r="F461" s="81">
        <v>11.39</v>
      </c>
      <c r="G461" s="222">
        <v>127</v>
      </c>
      <c r="H461" s="186"/>
      <c r="I461" s="186"/>
      <c r="J461" s="308"/>
      <c r="K461" s="227"/>
      <c r="L461" s="82">
        <f t="shared" ref="L461:L522" si="284">G461+I461-J461-K461+H461</f>
        <v>127</v>
      </c>
      <c r="M461" s="331">
        <v>127</v>
      </c>
      <c r="N461" s="161">
        <f t="shared" si="273"/>
        <v>1446.53</v>
      </c>
      <c r="O461" s="161">
        <f t="shared" si="274"/>
        <v>1446.53</v>
      </c>
      <c r="P461" s="187">
        <f t="shared" si="275"/>
        <v>0</v>
      </c>
      <c r="Q461" s="161">
        <f t="shared" si="276"/>
        <v>0</v>
      </c>
      <c r="R461" s="85"/>
      <c r="S461" s="86">
        <f t="shared" si="277"/>
        <v>0</v>
      </c>
      <c r="T461" s="87">
        <f t="shared" si="272"/>
        <v>127</v>
      </c>
    </row>
    <row r="462" spans="2:31" ht="20.100000000000001" hidden="1" customHeight="1">
      <c r="B462" s="77">
        <v>5</v>
      </c>
      <c r="C462" s="78" t="s">
        <v>842</v>
      </c>
      <c r="D462" s="79" t="s">
        <v>911</v>
      </c>
      <c r="E462" s="80" t="s">
        <v>912</v>
      </c>
      <c r="F462" s="81">
        <v>115.7</v>
      </c>
      <c r="G462" s="222"/>
      <c r="H462" s="186"/>
      <c r="I462" s="186"/>
      <c r="J462" s="308"/>
      <c r="K462" s="227"/>
      <c r="L462" s="82">
        <f t="shared" si="284"/>
        <v>0</v>
      </c>
      <c r="M462" s="331"/>
      <c r="N462" s="161">
        <f t="shared" si="273"/>
        <v>0</v>
      </c>
      <c r="O462" s="161">
        <f t="shared" si="274"/>
        <v>0</v>
      </c>
      <c r="P462" s="187">
        <f t="shared" si="275"/>
        <v>0</v>
      </c>
      <c r="Q462" s="161">
        <f t="shared" si="276"/>
        <v>0</v>
      </c>
      <c r="R462" s="85"/>
      <c r="S462" s="86">
        <f t="shared" si="277"/>
        <v>0</v>
      </c>
      <c r="T462" s="87">
        <f t="shared" si="272"/>
        <v>0</v>
      </c>
    </row>
    <row r="463" spans="2:31" ht="20.100000000000001" hidden="1" customHeight="1">
      <c r="B463" s="77">
        <v>5</v>
      </c>
      <c r="C463" s="78" t="s">
        <v>842</v>
      </c>
      <c r="D463" s="79" t="s">
        <v>913</v>
      </c>
      <c r="E463" s="80" t="s">
        <v>914</v>
      </c>
      <c r="F463" s="81">
        <v>7.64</v>
      </c>
      <c r="G463" s="222"/>
      <c r="H463" s="186"/>
      <c r="I463" s="186"/>
      <c r="J463" s="308"/>
      <c r="K463" s="227"/>
      <c r="L463" s="82">
        <f t="shared" si="284"/>
        <v>0</v>
      </c>
      <c r="M463" s="331"/>
      <c r="N463" s="161">
        <f t="shared" si="273"/>
        <v>0</v>
      </c>
      <c r="O463" s="161">
        <f t="shared" si="274"/>
        <v>0</v>
      </c>
      <c r="P463" s="187">
        <f t="shared" si="275"/>
        <v>0</v>
      </c>
      <c r="Q463" s="161">
        <f t="shared" si="276"/>
        <v>0</v>
      </c>
      <c r="R463" s="85"/>
      <c r="S463" s="86">
        <f t="shared" si="277"/>
        <v>0</v>
      </c>
      <c r="T463" s="87">
        <f t="shared" si="272"/>
        <v>0</v>
      </c>
    </row>
    <row r="464" spans="2:31" ht="20.100000000000001" hidden="1" customHeight="1">
      <c r="B464" s="77">
        <v>5</v>
      </c>
      <c r="C464" s="78" t="s">
        <v>842</v>
      </c>
      <c r="D464" s="79" t="s">
        <v>915</v>
      </c>
      <c r="E464" s="80" t="s">
        <v>916</v>
      </c>
      <c r="F464" s="81">
        <v>38.57</v>
      </c>
      <c r="G464" s="222">
        <v>20</v>
      </c>
      <c r="H464" s="186"/>
      <c r="I464" s="186"/>
      <c r="J464" s="308"/>
      <c r="K464" s="227">
        <v>2</v>
      </c>
      <c r="L464" s="82">
        <f t="shared" si="284"/>
        <v>18</v>
      </c>
      <c r="M464" s="331">
        <v>18</v>
      </c>
      <c r="N464" s="161">
        <f t="shared" si="273"/>
        <v>694.26</v>
      </c>
      <c r="O464" s="161">
        <f t="shared" si="274"/>
        <v>694.26</v>
      </c>
      <c r="P464" s="187">
        <f t="shared" si="275"/>
        <v>0</v>
      </c>
      <c r="Q464" s="161">
        <f t="shared" si="276"/>
        <v>0</v>
      </c>
      <c r="R464" s="85"/>
      <c r="S464" s="86">
        <f t="shared" si="277"/>
        <v>0</v>
      </c>
      <c r="T464" s="87">
        <f t="shared" si="272"/>
        <v>18</v>
      </c>
    </row>
    <row r="465" spans="2:31" ht="20.100000000000001" hidden="1" customHeight="1">
      <c r="B465" s="77">
        <v>5</v>
      </c>
      <c r="C465" s="78" t="s">
        <v>842</v>
      </c>
      <c r="D465" s="79" t="s">
        <v>917</v>
      </c>
      <c r="E465" s="80" t="s">
        <v>918</v>
      </c>
      <c r="F465" s="81">
        <v>12.56</v>
      </c>
      <c r="G465" s="222">
        <v>58</v>
      </c>
      <c r="H465" s="186"/>
      <c r="I465" s="186"/>
      <c r="J465" s="308"/>
      <c r="K465" s="227">
        <v>2</v>
      </c>
      <c r="L465" s="82">
        <f t="shared" si="284"/>
        <v>56</v>
      </c>
      <c r="M465" s="331">
        <v>56</v>
      </c>
      <c r="N465" s="161">
        <f t="shared" si="273"/>
        <v>703.36</v>
      </c>
      <c r="O465" s="161">
        <f t="shared" si="274"/>
        <v>703.36</v>
      </c>
      <c r="P465" s="187">
        <f t="shared" si="275"/>
        <v>0</v>
      </c>
      <c r="Q465" s="161">
        <f t="shared" si="276"/>
        <v>0</v>
      </c>
      <c r="R465" s="85"/>
      <c r="S465" s="86">
        <f t="shared" si="277"/>
        <v>100</v>
      </c>
      <c r="T465" s="87">
        <f t="shared" si="272"/>
        <v>-44</v>
      </c>
      <c r="U465">
        <v>100</v>
      </c>
    </row>
    <row r="466" spans="2:31" ht="20.100000000000001" hidden="1" customHeight="1">
      <c r="B466" s="77">
        <v>5</v>
      </c>
      <c r="C466" s="78" t="s">
        <v>842</v>
      </c>
      <c r="D466" s="79" t="s">
        <v>919</v>
      </c>
      <c r="E466" s="80" t="s">
        <v>920</v>
      </c>
      <c r="F466" s="81">
        <v>0</v>
      </c>
      <c r="G466" s="222">
        <v>1045</v>
      </c>
      <c r="H466" s="186"/>
      <c r="I466" s="186"/>
      <c r="J466" s="308"/>
      <c r="K466" s="227">
        <v>10</v>
      </c>
      <c r="L466" s="82">
        <f t="shared" si="284"/>
        <v>1035</v>
      </c>
      <c r="M466" s="331">
        <v>1035</v>
      </c>
      <c r="N466" s="161">
        <f t="shared" si="273"/>
        <v>0</v>
      </c>
      <c r="O466" s="161">
        <f t="shared" si="274"/>
        <v>0</v>
      </c>
      <c r="P466" s="187">
        <f t="shared" si="275"/>
        <v>0</v>
      </c>
      <c r="Q466" s="161">
        <f t="shared" si="276"/>
        <v>0</v>
      </c>
      <c r="R466" s="85" t="s">
        <v>921</v>
      </c>
      <c r="S466" s="86">
        <f t="shared" si="277"/>
        <v>1122</v>
      </c>
      <c r="T466" s="87">
        <f t="shared" si="272"/>
        <v>-87</v>
      </c>
      <c r="U466">
        <f>92+70</f>
        <v>162</v>
      </c>
      <c r="W466">
        <v>960</v>
      </c>
      <c r="X466" t="s">
        <v>922</v>
      </c>
      <c r="AD466">
        <f>W466</f>
        <v>960</v>
      </c>
      <c r="AE466" s="89">
        <f>AD466*F466</f>
        <v>0</v>
      </c>
    </row>
    <row r="467" spans="2:31" ht="20.100000000000001" customHeight="1">
      <c r="B467" s="77">
        <v>5</v>
      </c>
      <c r="C467" s="78" t="s">
        <v>842</v>
      </c>
      <c r="D467" s="79" t="s">
        <v>923</v>
      </c>
      <c r="E467" s="80" t="s">
        <v>924</v>
      </c>
      <c r="F467" s="315">
        <v>12.56</v>
      </c>
      <c r="G467" s="222">
        <v>53</v>
      </c>
      <c r="H467" s="186"/>
      <c r="I467" s="186"/>
      <c r="J467" s="308"/>
      <c r="K467" s="227">
        <v>2</v>
      </c>
      <c r="L467" s="82">
        <f t="shared" si="284"/>
        <v>51</v>
      </c>
      <c r="M467" s="331">
        <v>50</v>
      </c>
      <c r="N467" s="161">
        <f t="shared" si="273"/>
        <v>640.56000000000006</v>
      </c>
      <c r="O467" s="161">
        <f t="shared" si="274"/>
        <v>628</v>
      </c>
      <c r="P467" s="187">
        <f t="shared" si="275"/>
        <v>1</v>
      </c>
      <c r="Q467" s="161">
        <f t="shared" si="276"/>
        <v>12.560000000000059</v>
      </c>
      <c r="R467" s="85"/>
      <c r="S467" s="86">
        <f t="shared" si="277"/>
        <v>97</v>
      </c>
      <c r="T467" s="87">
        <f t="shared" si="272"/>
        <v>-47</v>
      </c>
      <c r="U467">
        <v>97</v>
      </c>
    </row>
    <row r="468" spans="2:31" ht="20.100000000000001" hidden="1" customHeight="1">
      <c r="B468" s="77">
        <v>5</v>
      </c>
      <c r="C468" s="78" t="s">
        <v>842</v>
      </c>
      <c r="D468" s="79" t="s">
        <v>923</v>
      </c>
      <c r="E468" s="80" t="s">
        <v>924</v>
      </c>
      <c r="F468" s="81">
        <v>12.56</v>
      </c>
      <c r="G468" s="222"/>
      <c r="H468" s="186"/>
      <c r="I468" s="186"/>
      <c r="J468" s="308"/>
      <c r="K468" s="227"/>
      <c r="L468" s="82">
        <f t="shared" si="284"/>
        <v>0</v>
      </c>
      <c r="M468" s="331"/>
      <c r="N468" s="161">
        <f t="shared" si="273"/>
        <v>0</v>
      </c>
      <c r="O468" s="161">
        <f t="shared" si="274"/>
        <v>0</v>
      </c>
      <c r="P468" s="187">
        <f t="shared" si="275"/>
        <v>0</v>
      </c>
      <c r="Q468" s="161">
        <f t="shared" si="276"/>
        <v>0</v>
      </c>
      <c r="R468" s="85"/>
      <c r="S468" s="86">
        <f t="shared" si="277"/>
        <v>0</v>
      </c>
      <c r="T468" s="87">
        <f t="shared" si="272"/>
        <v>0</v>
      </c>
    </row>
    <row r="469" spans="2:31" ht="20.100000000000001" hidden="1" customHeight="1">
      <c r="B469" s="77">
        <v>5</v>
      </c>
      <c r="C469" s="78" t="s">
        <v>842</v>
      </c>
      <c r="D469" s="79" t="s">
        <v>923</v>
      </c>
      <c r="E469" s="80" t="s">
        <v>924</v>
      </c>
      <c r="F469" s="81">
        <v>12.56</v>
      </c>
      <c r="G469" s="222"/>
      <c r="H469" s="186"/>
      <c r="I469" s="186"/>
      <c r="J469" s="308"/>
      <c r="K469" s="227"/>
      <c r="L469" s="82">
        <f t="shared" si="284"/>
        <v>0</v>
      </c>
      <c r="M469" s="331">
        <v>0</v>
      </c>
      <c r="N469" s="161">
        <f t="shared" si="273"/>
        <v>0</v>
      </c>
      <c r="O469" s="161">
        <f t="shared" si="274"/>
        <v>0</v>
      </c>
      <c r="P469" s="187">
        <f t="shared" si="275"/>
        <v>0</v>
      </c>
      <c r="Q469" s="161">
        <f t="shared" si="276"/>
        <v>0</v>
      </c>
      <c r="R469" s="85"/>
      <c r="S469" s="86">
        <f t="shared" si="277"/>
        <v>0</v>
      </c>
      <c r="T469" s="87">
        <f t="shared" si="272"/>
        <v>0</v>
      </c>
    </row>
    <row r="470" spans="2:31" ht="20.100000000000001" hidden="1" customHeight="1">
      <c r="B470" s="77">
        <v>5</v>
      </c>
      <c r="C470" s="78" t="s">
        <v>842</v>
      </c>
      <c r="D470" s="79" t="s">
        <v>925</v>
      </c>
      <c r="E470" s="80" t="s">
        <v>926</v>
      </c>
      <c r="F470" s="81">
        <v>11.2</v>
      </c>
      <c r="G470" s="222"/>
      <c r="H470" s="186"/>
      <c r="I470" s="186"/>
      <c r="J470" s="308"/>
      <c r="K470" s="227"/>
      <c r="L470" s="82">
        <f t="shared" si="284"/>
        <v>0</v>
      </c>
      <c r="M470" s="331">
        <v>0</v>
      </c>
      <c r="N470" s="161">
        <f t="shared" si="273"/>
        <v>0</v>
      </c>
      <c r="O470" s="161">
        <f t="shared" si="274"/>
        <v>0</v>
      </c>
      <c r="P470" s="187">
        <f t="shared" si="275"/>
        <v>0</v>
      </c>
      <c r="Q470" s="161">
        <f t="shared" si="276"/>
        <v>0</v>
      </c>
      <c r="R470" s="85"/>
      <c r="S470" s="86">
        <f t="shared" si="277"/>
        <v>0</v>
      </c>
      <c r="T470" s="87">
        <f t="shared" si="272"/>
        <v>0</v>
      </c>
    </row>
    <row r="471" spans="2:31" ht="20.100000000000001" hidden="1" customHeight="1">
      <c r="B471" s="77">
        <v>5</v>
      </c>
      <c r="C471" s="78" t="s">
        <v>842</v>
      </c>
      <c r="D471" s="79" t="s">
        <v>927</v>
      </c>
      <c r="E471" s="80" t="s">
        <v>928</v>
      </c>
      <c r="F471" s="81">
        <v>11.2</v>
      </c>
      <c r="G471" s="222">
        <v>21</v>
      </c>
      <c r="H471" s="186"/>
      <c r="I471" s="186"/>
      <c r="J471" s="308"/>
      <c r="K471" s="227"/>
      <c r="L471" s="82">
        <f t="shared" si="284"/>
        <v>21</v>
      </c>
      <c r="M471" s="331">
        <v>21</v>
      </c>
      <c r="N471" s="161">
        <f t="shared" si="273"/>
        <v>235.2</v>
      </c>
      <c r="O471" s="161">
        <f t="shared" si="274"/>
        <v>235.2</v>
      </c>
      <c r="P471" s="187">
        <f t="shared" si="275"/>
        <v>0</v>
      </c>
      <c r="Q471" s="161">
        <f t="shared" si="276"/>
        <v>0</v>
      </c>
      <c r="R471" s="91">
        <v>45721</v>
      </c>
      <c r="S471" s="86">
        <f t="shared" si="277"/>
        <v>21</v>
      </c>
      <c r="T471" s="87">
        <f t="shared" si="272"/>
        <v>0</v>
      </c>
      <c r="W471">
        <v>21</v>
      </c>
      <c r="X471" t="s">
        <v>121</v>
      </c>
      <c r="AD471">
        <f>W471</f>
        <v>21</v>
      </c>
      <c r="AE471" s="89">
        <f>AD471*F471</f>
        <v>235.2</v>
      </c>
    </row>
    <row r="472" spans="2:31" ht="20.100000000000001" hidden="1" customHeight="1">
      <c r="B472" s="77">
        <v>5</v>
      </c>
      <c r="C472" s="78" t="s">
        <v>842</v>
      </c>
      <c r="D472" s="79" t="s">
        <v>929</v>
      </c>
      <c r="E472" s="80" t="s">
        <v>930</v>
      </c>
      <c r="F472" s="81">
        <v>39.81</v>
      </c>
      <c r="G472" s="222"/>
      <c r="H472" s="186"/>
      <c r="I472" s="186"/>
      <c r="J472" s="308"/>
      <c r="K472" s="227"/>
      <c r="L472" s="82">
        <f t="shared" si="284"/>
        <v>0</v>
      </c>
      <c r="M472" s="331"/>
      <c r="N472" s="161">
        <f t="shared" si="273"/>
        <v>0</v>
      </c>
      <c r="O472" s="161">
        <f t="shared" si="274"/>
        <v>0</v>
      </c>
      <c r="P472" s="187">
        <f t="shared" si="275"/>
        <v>0</v>
      </c>
      <c r="Q472" s="161">
        <f t="shared" si="276"/>
        <v>0</v>
      </c>
      <c r="R472" s="85"/>
      <c r="S472" s="86">
        <f t="shared" si="277"/>
        <v>0</v>
      </c>
      <c r="T472" s="87">
        <f t="shared" si="272"/>
        <v>0</v>
      </c>
    </row>
    <row r="473" spans="2:31" ht="20.100000000000001" hidden="1" customHeight="1">
      <c r="B473" s="77">
        <v>5</v>
      </c>
      <c r="C473" s="78" t="s">
        <v>842</v>
      </c>
      <c r="D473" s="79" t="s">
        <v>931</v>
      </c>
      <c r="E473" s="80" t="s">
        <v>932</v>
      </c>
      <c r="F473" s="81">
        <v>54.03</v>
      </c>
      <c r="G473" s="222"/>
      <c r="H473" s="186"/>
      <c r="I473" s="186"/>
      <c r="J473" s="308"/>
      <c r="K473" s="227"/>
      <c r="L473" s="82">
        <f t="shared" si="284"/>
        <v>0</v>
      </c>
      <c r="M473" s="331"/>
      <c r="N473" s="161">
        <f t="shared" si="273"/>
        <v>0</v>
      </c>
      <c r="O473" s="161">
        <f t="shared" si="274"/>
        <v>0</v>
      </c>
      <c r="P473" s="187">
        <f t="shared" si="275"/>
        <v>0</v>
      </c>
      <c r="Q473" s="161">
        <f t="shared" si="276"/>
        <v>0</v>
      </c>
      <c r="R473" s="85"/>
      <c r="S473" s="86">
        <f t="shared" si="277"/>
        <v>0</v>
      </c>
      <c r="T473" s="87">
        <f t="shared" si="272"/>
        <v>0</v>
      </c>
    </row>
    <row r="474" spans="2:31" ht="20.100000000000001" hidden="1" customHeight="1">
      <c r="B474" s="77">
        <v>5</v>
      </c>
      <c r="C474" s="78" t="s">
        <v>842</v>
      </c>
      <c r="D474" s="79" t="s">
        <v>933</v>
      </c>
      <c r="E474" s="80" t="s">
        <v>934</v>
      </c>
      <c r="F474" s="81">
        <v>95.74</v>
      </c>
      <c r="G474" s="222">
        <v>6</v>
      </c>
      <c r="H474" s="186"/>
      <c r="I474" s="186"/>
      <c r="J474" s="308"/>
      <c r="K474" s="227"/>
      <c r="L474" s="82">
        <f t="shared" si="284"/>
        <v>6</v>
      </c>
      <c r="M474" s="331">
        <v>6</v>
      </c>
      <c r="N474" s="161">
        <f t="shared" si="273"/>
        <v>574.43999999999994</v>
      </c>
      <c r="O474" s="161">
        <f t="shared" si="274"/>
        <v>574.43999999999994</v>
      </c>
      <c r="P474" s="187">
        <f t="shared" si="275"/>
        <v>0</v>
      </c>
      <c r="Q474" s="161">
        <f t="shared" si="276"/>
        <v>0</v>
      </c>
      <c r="R474" s="85" t="s">
        <v>935</v>
      </c>
      <c r="S474" s="86">
        <f t="shared" si="277"/>
        <v>6</v>
      </c>
      <c r="T474" s="87">
        <f t="shared" si="272"/>
        <v>0</v>
      </c>
      <c r="W474">
        <v>6</v>
      </c>
      <c r="X474" t="s">
        <v>121</v>
      </c>
      <c r="AD474">
        <f>W474</f>
        <v>6</v>
      </c>
      <c r="AE474" s="89">
        <f>AD474*F474</f>
        <v>574.43999999999994</v>
      </c>
    </row>
    <row r="475" spans="2:31" ht="20.100000000000001" hidden="1" customHeight="1">
      <c r="B475" s="77">
        <v>5</v>
      </c>
      <c r="C475" s="78" t="s">
        <v>842</v>
      </c>
      <c r="D475" s="79" t="s">
        <v>936</v>
      </c>
      <c r="E475" s="80" t="s">
        <v>937</v>
      </c>
      <c r="F475" s="81">
        <v>19.64</v>
      </c>
      <c r="G475" s="222"/>
      <c r="H475" s="186"/>
      <c r="I475" s="186"/>
      <c r="J475" s="308"/>
      <c r="K475" s="227"/>
      <c r="L475" s="82">
        <f t="shared" si="284"/>
        <v>0</v>
      </c>
      <c r="M475" s="331"/>
      <c r="N475" s="161">
        <f t="shared" si="273"/>
        <v>0</v>
      </c>
      <c r="O475" s="161">
        <f t="shared" si="274"/>
        <v>0</v>
      </c>
      <c r="P475" s="187">
        <f t="shared" si="275"/>
        <v>0</v>
      </c>
      <c r="Q475" s="161">
        <f t="shared" si="276"/>
        <v>0</v>
      </c>
      <c r="R475" s="85"/>
      <c r="S475" s="86">
        <f t="shared" si="277"/>
        <v>0</v>
      </c>
      <c r="T475" s="87">
        <f t="shared" si="272"/>
        <v>0</v>
      </c>
    </row>
    <row r="476" spans="2:31" ht="20.100000000000001" hidden="1" customHeight="1">
      <c r="B476" s="77">
        <v>5</v>
      </c>
      <c r="C476" s="78" t="s">
        <v>842</v>
      </c>
      <c r="D476" s="79" t="s">
        <v>938</v>
      </c>
      <c r="E476" s="80" t="s">
        <v>939</v>
      </c>
      <c r="F476" s="81">
        <v>98.3</v>
      </c>
      <c r="G476" s="222">
        <v>6</v>
      </c>
      <c r="H476" s="186"/>
      <c r="I476" s="186"/>
      <c r="J476" s="308"/>
      <c r="K476" s="227"/>
      <c r="L476" s="82">
        <f t="shared" si="284"/>
        <v>6</v>
      </c>
      <c r="M476" s="331">
        <v>6</v>
      </c>
      <c r="N476" s="161">
        <f t="shared" si="273"/>
        <v>589.79999999999995</v>
      </c>
      <c r="O476" s="161">
        <f t="shared" si="274"/>
        <v>589.79999999999995</v>
      </c>
      <c r="P476" s="187">
        <f t="shared" si="275"/>
        <v>0</v>
      </c>
      <c r="Q476" s="161">
        <f t="shared" si="276"/>
        <v>0</v>
      </c>
      <c r="R476" s="85" t="s">
        <v>940</v>
      </c>
      <c r="S476" s="86">
        <f t="shared" si="277"/>
        <v>0</v>
      </c>
      <c r="T476" s="87">
        <f t="shared" si="272"/>
        <v>6</v>
      </c>
    </row>
    <row r="477" spans="2:31" ht="20.100000000000001" hidden="1" customHeight="1">
      <c r="B477" s="77">
        <v>5</v>
      </c>
      <c r="C477" s="78" t="s">
        <v>842</v>
      </c>
      <c r="D477" s="79" t="s">
        <v>941</v>
      </c>
      <c r="E477" s="80" t="s">
        <v>942</v>
      </c>
      <c r="F477" s="81">
        <v>16.63</v>
      </c>
      <c r="G477" s="222"/>
      <c r="H477" s="186"/>
      <c r="I477" s="186"/>
      <c r="J477" s="308"/>
      <c r="K477" s="227"/>
      <c r="L477" s="82">
        <f t="shared" si="284"/>
        <v>0</v>
      </c>
      <c r="M477" s="331"/>
      <c r="N477" s="161">
        <f t="shared" si="273"/>
        <v>0</v>
      </c>
      <c r="O477" s="161">
        <f t="shared" si="274"/>
        <v>0</v>
      </c>
      <c r="P477" s="187">
        <f t="shared" si="275"/>
        <v>0</v>
      </c>
      <c r="Q477" s="161">
        <f t="shared" si="276"/>
        <v>0</v>
      </c>
      <c r="R477" s="85"/>
      <c r="S477" s="86">
        <f t="shared" si="277"/>
        <v>16</v>
      </c>
      <c r="T477" s="87">
        <f t="shared" si="272"/>
        <v>-16</v>
      </c>
      <c r="U477">
        <v>16</v>
      </c>
    </row>
    <row r="478" spans="2:31" ht="20.100000000000001" hidden="1" customHeight="1">
      <c r="B478" s="77">
        <v>5</v>
      </c>
      <c r="C478" s="78" t="s">
        <v>842</v>
      </c>
      <c r="D478" s="79" t="s">
        <v>943</v>
      </c>
      <c r="E478" s="80" t="s">
        <v>944</v>
      </c>
      <c r="F478" s="81">
        <v>13.1</v>
      </c>
      <c r="G478" s="222">
        <v>24</v>
      </c>
      <c r="H478" s="186"/>
      <c r="I478" s="186"/>
      <c r="J478" s="308"/>
      <c r="K478" s="227"/>
      <c r="L478" s="82">
        <f t="shared" si="284"/>
        <v>24</v>
      </c>
      <c r="M478" s="331">
        <v>24</v>
      </c>
      <c r="N478" s="161">
        <f t="shared" si="273"/>
        <v>314.39999999999998</v>
      </c>
      <c r="O478" s="161">
        <f t="shared" si="274"/>
        <v>314.39999999999998</v>
      </c>
      <c r="P478" s="187">
        <f t="shared" si="275"/>
        <v>0</v>
      </c>
      <c r="Q478" s="161">
        <f t="shared" si="276"/>
        <v>0</v>
      </c>
      <c r="R478" s="85" t="s">
        <v>945</v>
      </c>
      <c r="S478" s="86">
        <f t="shared" si="277"/>
        <v>25</v>
      </c>
      <c r="T478" s="87">
        <f t="shared" si="272"/>
        <v>-1</v>
      </c>
      <c r="W478">
        <v>25</v>
      </c>
      <c r="X478" t="s">
        <v>115</v>
      </c>
      <c r="AD478">
        <f>W478</f>
        <v>25</v>
      </c>
      <c r="AE478" s="89">
        <f>AD478*F478</f>
        <v>327.5</v>
      </c>
    </row>
    <row r="479" spans="2:31" ht="20.100000000000001" hidden="1" customHeight="1">
      <c r="B479" s="77">
        <v>5</v>
      </c>
      <c r="C479" s="78" t="s">
        <v>842</v>
      </c>
      <c r="D479" s="79" t="s">
        <v>946</v>
      </c>
      <c r="E479" s="80" t="s">
        <v>947</v>
      </c>
      <c r="F479" s="81">
        <v>13.1</v>
      </c>
      <c r="G479" s="222">
        <v>5</v>
      </c>
      <c r="H479" s="186"/>
      <c r="I479" s="186"/>
      <c r="J479" s="308"/>
      <c r="K479" s="69"/>
      <c r="L479" s="82">
        <f t="shared" si="284"/>
        <v>5</v>
      </c>
      <c r="M479" s="331">
        <v>5</v>
      </c>
      <c r="N479" s="161">
        <f t="shared" si="273"/>
        <v>65.5</v>
      </c>
      <c r="O479" s="161">
        <f t="shared" si="274"/>
        <v>65.5</v>
      </c>
      <c r="P479" s="187">
        <f t="shared" si="275"/>
        <v>0</v>
      </c>
      <c r="Q479" s="161">
        <f t="shared" si="276"/>
        <v>0</v>
      </c>
      <c r="R479" s="85"/>
      <c r="S479" s="86">
        <f t="shared" si="277"/>
        <v>6</v>
      </c>
      <c r="T479" s="87">
        <f t="shared" si="272"/>
        <v>-1</v>
      </c>
      <c r="U479">
        <v>6</v>
      </c>
    </row>
    <row r="480" spans="2:31" ht="20.100000000000001" hidden="1" customHeight="1">
      <c r="B480" s="77">
        <v>5</v>
      </c>
      <c r="C480" s="78" t="s">
        <v>842</v>
      </c>
      <c r="D480" s="79" t="s">
        <v>946</v>
      </c>
      <c r="E480" s="80" t="s">
        <v>947</v>
      </c>
      <c r="F480" s="81">
        <v>13.1</v>
      </c>
      <c r="G480" s="222"/>
      <c r="H480" s="186"/>
      <c r="I480" s="186"/>
      <c r="J480" s="308"/>
      <c r="K480" s="227"/>
      <c r="L480" s="82">
        <f t="shared" si="284"/>
        <v>0</v>
      </c>
      <c r="M480" s="331"/>
      <c r="N480" s="161">
        <f t="shared" si="273"/>
        <v>0</v>
      </c>
      <c r="O480" s="161">
        <f t="shared" si="274"/>
        <v>0</v>
      </c>
      <c r="P480" s="187">
        <f t="shared" si="275"/>
        <v>0</v>
      </c>
      <c r="Q480" s="161">
        <f t="shared" si="276"/>
        <v>0</v>
      </c>
      <c r="R480" s="85"/>
      <c r="S480" s="86">
        <f t="shared" si="277"/>
        <v>0</v>
      </c>
      <c r="T480" s="87">
        <f t="shared" si="272"/>
        <v>0</v>
      </c>
    </row>
    <row r="481" spans="2:31" ht="20.100000000000001" hidden="1" customHeight="1">
      <c r="B481" s="77">
        <v>5</v>
      </c>
      <c r="C481" s="78" t="s">
        <v>842</v>
      </c>
      <c r="D481" s="79" t="s">
        <v>948</v>
      </c>
      <c r="E481" s="80" t="s">
        <v>949</v>
      </c>
      <c r="F481" s="81">
        <v>13.1</v>
      </c>
      <c r="G481" s="222">
        <v>14</v>
      </c>
      <c r="H481" s="186"/>
      <c r="I481" s="186"/>
      <c r="J481" s="308"/>
      <c r="K481" s="227"/>
      <c r="L481" s="82">
        <f t="shared" si="284"/>
        <v>14</v>
      </c>
      <c r="M481" s="331">
        <v>14</v>
      </c>
      <c r="N481" s="161">
        <f t="shared" si="273"/>
        <v>183.4</v>
      </c>
      <c r="O481" s="161">
        <f t="shared" si="274"/>
        <v>183.4</v>
      </c>
      <c r="P481" s="187">
        <f t="shared" si="275"/>
        <v>0</v>
      </c>
      <c r="Q481" s="161">
        <f t="shared" si="276"/>
        <v>0</v>
      </c>
      <c r="R481" s="85" t="s">
        <v>950</v>
      </c>
      <c r="S481" s="86">
        <f t="shared" si="277"/>
        <v>15</v>
      </c>
      <c r="T481" s="87">
        <f t="shared" si="272"/>
        <v>-1</v>
      </c>
      <c r="U481">
        <v>8</v>
      </c>
      <c r="V481" s="88" t="s">
        <v>951</v>
      </c>
      <c r="W481">
        <v>7</v>
      </c>
      <c r="X481" t="s">
        <v>121</v>
      </c>
      <c r="AD481">
        <f>9</f>
        <v>9</v>
      </c>
      <c r="AE481" s="89">
        <f>AD481*F481</f>
        <v>117.89999999999999</v>
      </c>
    </row>
    <row r="482" spans="2:31" ht="20.100000000000001" hidden="1" customHeight="1">
      <c r="B482" s="77">
        <v>5</v>
      </c>
      <c r="C482" s="78" t="s">
        <v>842</v>
      </c>
      <c r="D482" s="79" t="s">
        <v>952</v>
      </c>
      <c r="E482" s="80" t="s">
        <v>953</v>
      </c>
      <c r="F482" s="81">
        <v>12.6</v>
      </c>
      <c r="G482" s="222">
        <v>17</v>
      </c>
      <c r="H482" s="186"/>
      <c r="I482" s="186"/>
      <c r="J482" s="308"/>
      <c r="K482" s="227"/>
      <c r="L482" s="82">
        <f t="shared" si="284"/>
        <v>17</v>
      </c>
      <c r="M482" s="331">
        <v>17</v>
      </c>
      <c r="N482" s="161">
        <f t="shared" si="273"/>
        <v>214.2</v>
      </c>
      <c r="O482" s="161">
        <f t="shared" si="274"/>
        <v>214.2</v>
      </c>
      <c r="P482" s="187">
        <f t="shared" si="275"/>
        <v>0</v>
      </c>
      <c r="Q482" s="161">
        <f t="shared" si="276"/>
        <v>0</v>
      </c>
      <c r="R482" s="85" t="s">
        <v>954</v>
      </c>
      <c r="S482" s="86">
        <f t="shared" si="277"/>
        <v>27</v>
      </c>
      <c r="T482" s="87">
        <f t="shared" si="272"/>
        <v>-10</v>
      </c>
      <c r="U482">
        <v>13</v>
      </c>
      <c r="W482">
        <f>9+5</f>
        <v>14</v>
      </c>
      <c r="X482" t="s">
        <v>955</v>
      </c>
      <c r="AD482">
        <f t="shared" ref="AD482" si="285">W482</f>
        <v>14</v>
      </c>
      <c r="AE482" s="89">
        <f>AD482*F482</f>
        <v>176.4</v>
      </c>
    </row>
    <row r="483" spans="2:31" ht="20.100000000000001" hidden="1" customHeight="1">
      <c r="B483" s="77">
        <v>5</v>
      </c>
      <c r="C483" s="78" t="s">
        <v>842</v>
      </c>
      <c r="D483" s="79" t="s">
        <v>956</v>
      </c>
      <c r="E483" s="80" t="s">
        <v>957</v>
      </c>
      <c r="F483" s="81">
        <v>250</v>
      </c>
      <c r="G483" s="222">
        <v>3</v>
      </c>
      <c r="H483" s="186"/>
      <c r="I483" s="186"/>
      <c r="J483" s="308"/>
      <c r="K483" s="227"/>
      <c r="L483" s="82">
        <f t="shared" si="284"/>
        <v>3</v>
      </c>
      <c r="M483" s="331">
        <v>3</v>
      </c>
      <c r="N483" s="161">
        <f t="shared" si="273"/>
        <v>750</v>
      </c>
      <c r="O483" s="161">
        <f t="shared" si="274"/>
        <v>750</v>
      </c>
      <c r="P483" s="187">
        <f t="shared" si="275"/>
        <v>0</v>
      </c>
      <c r="Q483" s="161">
        <f t="shared" si="276"/>
        <v>0</v>
      </c>
      <c r="R483" s="85"/>
      <c r="S483" s="86">
        <f t="shared" si="277"/>
        <v>6</v>
      </c>
      <c r="T483" s="87">
        <f t="shared" si="272"/>
        <v>-3</v>
      </c>
      <c r="U483">
        <f>1+2+3</f>
        <v>6</v>
      </c>
    </row>
    <row r="484" spans="2:31" ht="20.100000000000001" hidden="1" customHeight="1">
      <c r="B484" s="77">
        <v>5</v>
      </c>
      <c r="C484" s="78" t="s">
        <v>842</v>
      </c>
      <c r="D484" s="79" t="s">
        <v>958</v>
      </c>
      <c r="E484" s="80" t="s">
        <v>959</v>
      </c>
      <c r="F484" s="81">
        <v>150</v>
      </c>
      <c r="G484" s="222">
        <v>7</v>
      </c>
      <c r="H484" s="186"/>
      <c r="I484" s="186"/>
      <c r="J484" s="308"/>
      <c r="K484" s="227">
        <v>1</v>
      </c>
      <c r="L484" s="82">
        <f t="shared" si="284"/>
        <v>6</v>
      </c>
      <c r="M484" s="331">
        <v>6</v>
      </c>
      <c r="N484" s="161">
        <f t="shared" si="273"/>
        <v>900</v>
      </c>
      <c r="O484" s="161">
        <f t="shared" si="274"/>
        <v>900</v>
      </c>
      <c r="P484" s="187">
        <f t="shared" si="275"/>
        <v>0</v>
      </c>
      <c r="Q484" s="161">
        <f t="shared" si="276"/>
        <v>0</v>
      </c>
      <c r="R484" s="85"/>
      <c r="S484" s="86">
        <f t="shared" si="277"/>
        <v>7</v>
      </c>
      <c r="T484" s="87">
        <f t="shared" si="272"/>
        <v>-1</v>
      </c>
      <c r="U484">
        <f>1+6</f>
        <v>7</v>
      </c>
    </row>
    <row r="485" spans="2:31" ht="20.100000000000001" hidden="1" customHeight="1">
      <c r="B485" s="77">
        <v>5</v>
      </c>
      <c r="C485" s="78" t="s">
        <v>842</v>
      </c>
      <c r="D485" s="79" t="s">
        <v>960</v>
      </c>
      <c r="E485" s="80" t="s">
        <v>961</v>
      </c>
      <c r="F485" s="81">
        <v>300</v>
      </c>
      <c r="G485" s="222">
        <v>14</v>
      </c>
      <c r="H485" s="186"/>
      <c r="I485" s="186"/>
      <c r="J485" s="308"/>
      <c r="K485" s="227">
        <v>4</v>
      </c>
      <c r="L485" s="82">
        <f t="shared" si="284"/>
        <v>10</v>
      </c>
      <c r="M485" s="331">
        <v>10</v>
      </c>
      <c r="N485" s="161">
        <f t="shared" si="273"/>
        <v>3000</v>
      </c>
      <c r="O485" s="161">
        <f t="shared" si="274"/>
        <v>3000</v>
      </c>
      <c r="P485" s="187">
        <f t="shared" si="275"/>
        <v>0</v>
      </c>
      <c r="Q485" s="161">
        <f t="shared" si="276"/>
        <v>0</v>
      </c>
      <c r="R485" s="85"/>
      <c r="S485" s="86">
        <f t="shared" si="277"/>
        <v>19</v>
      </c>
      <c r="T485" s="87">
        <f t="shared" si="272"/>
        <v>-9</v>
      </c>
      <c r="U485">
        <f>1+2+14+2</f>
        <v>19</v>
      </c>
    </row>
    <row r="486" spans="2:31" ht="20.100000000000001" hidden="1" customHeight="1">
      <c r="B486" s="77">
        <v>5</v>
      </c>
      <c r="C486" s="78" t="s">
        <v>842</v>
      </c>
      <c r="D486" s="79" t="s">
        <v>962</v>
      </c>
      <c r="E486" s="80" t="s">
        <v>963</v>
      </c>
      <c r="F486" s="81">
        <v>145.18</v>
      </c>
      <c r="G486" s="222">
        <v>5</v>
      </c>
      <c r="H486" s="186"/>
      <c r="I486" s="186"/>
      <c r="J486" s="308"/>
      <c r="K486" s="227">
        <v>1</v>
      </c>
      <c r="L486" s="82">
        <f t="shared" si="284"/>
        <v>4</v>
      </c>
      <c r="M486" s="331">
        <v>4</v>
      </c>
      <c r="N486" s="161">
        <f t="shared" si="273"/>
        <v>580.72</v>
      </c>
      <c r="O486" s="161">
        <f t="shared" si="274"/>
        <v>580.72</v>
      </c>
      <c r="P486" s="187">
        <f t="shared" si="275"/>
        <v>0</v>
      </c>
      <c r="Q486" s="161">
        <f t="shared" si="276"/>
        <v>0</v>
      </c>
      <c r="R486" s="232"/>
      <c r="S486" s="86">
        <f t="shared" si="277"/>
        <v>2</v>
      </c>
      <c r="T486" s="87">
        <f t="shared" si="272"/>
        <v>2</v>
      </c>
      <c r="U486">
        <v>2</v>
      </c>
      <c r="V486" s="88" t="s">
        <v>964</v>
      </c>
    </row>
    <row r="487" spans="2:31" ht="20.100000000000001" hidden="1" customHeight="1">
      <c r="B487" s="77">
        <v>5</v>
      </c>
      <c r="C487" s="78" t="s">
        <v>842</v>
      </c>
      <c r="D487" s="79" t="s">
        <v>965</v>
      </c>
      <c r="E487" s="80" t="s">
        <v>966</v>
      </c>
      <c r="F487" s="81">
        <v>200.03</v>
      </c>
      <c r="G487" s="222">
        <v>6</v>
      </c>
      <c r="H487" s="186"/>
      <c r="I487" s="186"/>
      <c r="J487" s="308"/>
      <c r="K487" s="227">
        <v>4</v>
      </c>
      <c r="L487" s="82">
        <f t="shared" si="284"/>
        <v>2</v>
      </c>
      <c r="M487" s="331">
        <v>2</v>
      </c>
      <c r="N487" s="161">
        <f t="shared" si="273"/>
        <v>400.06</v>
      </c>
      <c r="O487" s="161">
        <f t="shared" si="274"/>
        <v>400.06</v>
      </c>
      <c r="P487" s="187">
        <f t="shared" si="275"/>
        <v>0</v>
      </c>
      <c r="Q487" s="161">
        <f t="shared" si="276"/>
        <v>0</v>
      </c>
      <c r="R487" s="85"/>
      <c r="S487" s="86">
        <f t="shared" si="277"/>
        <v>5</v>
      </c>
      <c r="T487" s="87">
        <f t="shared" si="272"/>
        <v>-3</v>
      </c>
      <c r="U487">
        <v>5</v>
      </c>
    </row>
    <row r="488" spans="2:31" ht="20.100000000000001" hidden="1" customHeight="1">
      <c r="B488" s="77">
        <v>5</v>
      </c>
      <c r="C488" s="78" t="s">
        <v>842</v>
      </c>
      <c r="D488" s="79" t="s">
        <v>967</v>
      </c>
      <c r="E488" s="80" t="s">
        <v>968</v>
      </c>
      <c r="F488" s="81">
        <v>18.07</v>
      </c>
      <c r="G488" s="222"/>
      <c r="H488" s="186"/>
      <c r="I488" s="186"/>
      <c r="J488" s="308"/>
      <c r="K488" s="227"/>
      <c r="L488" s="82">
        <f t="shared" si="284"/>
        <v>0</v>
      </c>
      <c r="M488" s="331"/>
      <c r="N488" s="161">
        <f t="shared" si="273"/>
        <v>0</v>
      </c>
      <c r="O488" s="161">
        <f t="shared" si="274"/>
        <v>0</v>
      </c>
      <c r="P488" s="187">
        <f t="shared" si="275"/>
        <v>0</v>
      </c>
      <c r="Q488" s="161">
        <f t="shared" si="276"/>
        <v>0</v>
      </c>
      <c r="R488" s="85"/>
      <c r="S488" s="86">
        <f t="shared" si="277"/>
        <v>0</v>
      </c>
      <c r="T488" s="87">
        <f t="shared" si="272"/>
        <v>0</v>
      </c>
    </row>
    <row r="489" spans="2:31" ht="20.100000000000001" hidden="1" customHeight="1">
      <c r="B489" s="77">
        <v>5</v>
      </c>
      <c r="C489" s="78" t="s">
        <v>842</v>
      </c>
      <c r="D489" s="79" t="s">
        <v>969</v>
      </c>
      <c r="E489" s="80" t="s">
        <v>970</v>
      </c>
      <c r="F489" s="81">
        <v>25.69</v>
      </c>
      <c r="G489" s="222">
        <v>51</v>
      </c>
      <c r="H489" s="186"/>
      <c r="I489" s="186"/>
      <c r="J489" s="308"/>
      <c r="K489" s="227">
        <v>2</v>
      </c>
      <c r="L489" s="82">
        <f t="shared" si="284"/>
        <v>49</v>
      </c>
      <c r="M489" s="331">
        <v>49</v>
      </c>
      <c r="N489" s="161">
        <f t="shared" si="273"/>
        <v>1258.8100000000002</v>
      </c>
      <c r="O489" s="161">
        <f t="shared" si="274"/>
        <v>1258.8100000000002</v>
      </c>
      <c r="P489" s="187">
        <f t="shared" si="275"/>
        <v>0</v>
      </c>
      <c r="Q489" s="161">
        <f t="shared" si="276"/>
        <v>0</v>
      </c>
      <c r="R489" s="232"/>
      <c r="S489" s="86">
        <f t="shared" si="277"/>
        <v>55</v>
      </c>
      <c r="T489" s="87">
        <f t="shared" si="272"/>
        <v>-6</v>
      </c>
      <c r="U489">
        <v>55</v>
      </c>
    </row>
    <row r="490" spans="2:31" ht="20.100000000000001" hidden="1" customHeight="1">
      <c r="B490" s="77">
        <v>5</v>
      </c>
      <c r="C490" s="78" t="s">
        <v>842</v>
      </c>
      <c r="D490" s="79" t="s">
        <v>971</v>
      </c>
      <c r="E490" s="80" t="s">
        <v>972</v>
      </c>
      <c r="F490" s="81">
        <v>238.1</v>
      </c>
      <c r="G490" s="222">
        <v>2</v>
      </c>
      <c r="H490" s="186"/>
      <c r="I490" s="186"/>
      <c r="J490" s="308"/>
      <c r="K490" s="227"/>
      <c r="L490" s="82">
        <f t="shared" si="284"/>
        <v>2</v>
      </c>
      <c r="M490" s="331">
        <v>2</v>
      </c>
      <c r="N490" s="161">
        <f t="shared" si="273"/>
        <v>476.2</v>
      </c>
      <c r="O490" s="161">
        <f t="shared" si="274"/>
        <v>476.2</v>
      </c>
      <c r="P490" s="187">
        <f t="shared" si="275"/>
        <v>0</v>
      </c>
      <c r="Q490" s="161">
        <f t="shared" si="276"/>
        <v>0</v>
      </c>
      <c r="R490" s="85"/>
      <c r="S490" s="86">
        <f t="shared" si="277"/>
        <v>4</v>
      </c>
      <c r="T490" s="87">
        <f t="shared" si="272"/>
        <v>-2</v>
      </c>
      <c r="U490">
        <v>4</v>
      </c>
    </row>
    <row r="491" spans="2:31" ht="20.100000000000001" hidden="1" customHeight="1">
      <c r="B491" s="77">
        <v>5</v>
      </c>
      <c r="C491" s="78" t="s">
        <v>842</v>
      </c>
      <c r="D491" s="79" t="s">
        <v>973</v>
      </c>
      <c r="E491" s="80" t="s">
        <v>974</v>
      </c>
      <c r="F491" s="81">
        <v>30.48</v>
      </c>
      <c r="G491" s="222">
        <v>24</v>
      </c>
      <c r="H491" s="186"/>
      <c r="I491" s="186"/>
      <c r="J491" s="308"/>
      <c r="K491" s="227"/>
      <c r="L491" s="82">
        <f t="shared" si="284"/>
        <v>24</v>
      </c>
      <c r="M491" s="331">
        <v>24</v>
      </c>
      <c r="N491" s="161">
        <f t="shared" si="273"/>
        <v>731.52</v>
      </c>
      <c r="O491" s="161">
        <f t="shared" si="274"/>
        <v>731.52</v>
      </c>
      <c r="P491" s="187">
        <f t="shared" si="275"/>
        <v>0</v>
      </c>
      <c r="Q491" s="161">
        <f t="shared" si="276"/>
        <v>0</v>
      </c>
      <c r="R491" s="85"/>
      <c r="S491" s="86">
        <f t="shared" si="277"/>
        <v>26</v>
      </c>
      <c r="T491" s="87">
        <f t="shared" si="272"/>
        <v>-2</v>
      </c>
      <c r="U491">
        <v>26</v>
      </c>
    </row>
    <row r="492" spans="2:31" ht="20.100000000000001" hidden="1" customHeight="1">
      <c r="B492" s="77">
        <v>5</v>
      </c>
      <c r="C492" s="78" t="s">
        <v>842</v>
      </c>
      <c r="D492" s="79" t="s">
        <v>975</v>
      </c>
      <c r="E492" s="80" t="s">
        <v>976</v>
      </c>
      <c r="F492" s="81">
        <v>100.03</v>
      </c>
      <c r="G492" s="222">
        <v>26</v>
      </c>
      <c r="H492" s="186"/>
      <c r="I492" s="186"/>
      <c r="J492" s="308"/>
      <c r="K492" s="227">
        <v>23</v>
      </c>
      <c r="L492" s="82">
        <f t="shared" si="284"/>
        <v>3</v>
      </c>
      <c r="M492" s="331">
        <v>3</v>
      </c>
      <c r="N492" s="161">
        <f t="shared" si="273"/>
        <v>300.09000000000003</v>
      </c>
      <c r="O492" s="161">
        <f t="shared" si="274"/>
        <v>300.09000000000003</v>
      </c>
      <c r="P492" s="187">
        <f t="shared" si="275"/>
        <v>0</v>
      </c>
      <c r="Q492" s="161">
        <f t="shared" si="276"/>
        <v>0</v>
      </c>
      <c r="R492" s="85"/>
      <c r="S492" s="86">
        <f t="shared" si="277"/>
        <v>26</v>
      </c>
      <c r="T492" s="87">
        <f t="shared" si="272"/>
        <v>-23</v>
      </c>
      <c r="U492">
        <v>26</v>
      </c>
    </row>
    <row r="493" spans="2:31" ht="20.100000000000001" hidden="1" customHeight="1">
      <c r="B493" s="77">
        <v>5</v>
      </c>
      <c r="C493" s="78" t="s">
        <v>842</v>
      </c>
      <c r="D493" s="79" t="s">
        <v>977</v>
      </c>
      <c r="E493" s="80" t="s">
        <v>978</v>
      </c>
      <c r="F493" s="81">
        <v>50.43</v>
      </c>
      <c r="G493" s="222">
        <v>73</v>
      </c>
      <c r="H493" s="186"/>
      <c r="I493" s="186"/>
      <c r="J493" s="308"/>
      <c r="K493" s="227"/>
      <c r="L493" s="82">
        <f t="shared" si="284"/>
        <v>73</v>
      </c>
      <c r="M493" s="331">
        <v>73</v>
      </c>
      <c r="N493" s="161">
        <f t="shared" si="273"/>
        <v>3681.39</v>
      </c>
      <c r="O493" s="161">
        <f t="shared" si="274"/>
        <v>3681.39</v>
      </c>
      <c r="P493" s="187">
        <f t="shared" si="275"/>
        <v>0</v>
      </c>
      <c r="Q493" s="161">
        <f t="shared" si="276"/>
        <v>0</v>
      </c>
      <c r="R493" s="85"/>
      <c r="S493" s="86">
        <f t="shared" si="277"/>
        <v>0</v>
      </c>
      <c r="T493" s="87">
        <f t="shared" si="272"/>
        <v>73</v>
      </c>
    </row>
    <row r="494" spans="2:31" ht="20.100000000000001" hidden="1" customHeight="1">
      <c r="B494" s="77">
        <v>5</v>
      </c>
      <c r="C494" s="78" t="s">
        <v>842</v>
      </c>
      <c r="D494" s="79" t="s">
        <v>979</v>
      </c>
      <c r="E494" s="80" t="s">
        <v>980</v>
      </c>
      <c r="F494" s="81">
        <v>8.24</v>
      </c>
      <c r="G494" s="222"/>
      <c r="H494" s="186"/>
      <c r="I494" s="186"/>
      <c r="J494" s="308"/>
      <c r="K494" s="227"/>
      <c r="L494" s="82">
        <f t="shared" si="284"/>
        <v>0</v>
      </c>
      <c r="M494" s="331"/>
      <c r="N494" s="161">
        <f t="shared" si="273"/>
        <v>0</v>
      </c>
      <c r="O494" s="161">
        <f t="shared" si="274"/>
        <v>0</v>
      </c>
      <c r="P494" s="187">
        <f t="shared" si="275"/>
        <v>0</v>
      </c>
      <c r="Q494" s="161">
        <f t="shared" si="276"/>
        <v>0</v>
      </c>
      <c r="R494" s="85"/>
      <c r="S494" s="86">
        <f t="shared" si="277"/>
        <v>0</v>
      </c>
      <c r="T494" s="87">
        <f t="shared" si="272"/>
        <v>0</v>
      </c>
    </row>
    <row r="495" spans="2:31" ht="20.100000000000001" hidden="1" customHeight="1">
      <c r="B495" s="77">
        <v>5</v>
      </c>
      <c r="C495" s="78" t="s">
        <v>842</v>
      </c>
      <c r="D495" s="79" t="s">
        <v>981</v>
      </c>
      <c r="E495" s="80" t="s">
        <v>982</v>
      </c>
      <c r="F495" s="81">
        <v>13.32</v>
      </c>
      <c r="G495" s="222">
        <v>138</v>
      </c>
      <c r="H495" s="186"/>
      <c r="I495" s="186"/>
      <c r="J495" s="308"/>
      <c r="K495" s="227">
        <v>7</v>
      </c>
      <c r="L495" s="82">
        <f t="shared" si="284"/>
        <v>131</v>
      </c>
      <c r="M495" s="332">
        <f>98+33</f>
        <v>131</v>
      </c>
      <c r="N495" s="161">
        <f t="shared" si="273"/>
        <v>1744.92</v>
      </c>
      <c r="O495" s="161">
        <f t="shared" si="274"/>
        <v>1744.92</v>
      </c>
      <c r="P495" s="187">
        <f t="shared" si="275"/>
        <v>0</v>
      </c>
      <c r="Q495" s="161">
        <f t="shared" si="276"/>
        <v>0</v>
      </c>
      <c r="R495" s="232"/>
      <c r="S495" s="86">
        <f t="shared" si="277"/>
        <v>149</v>
      </c>
      <c r="T495" s="87">
        <f t="shared" si="272"/>
        <v>-18</v>
      </c>
      <c r="U495">
        <v>149</v>
      </c>
    </row>
    <row r="496" spans="2:31" ht="20.100000000000001" hidden="1" customHeight="1">
      <c r="B496" s="77">
        <v>5</v>
      </c>
      <c r="C496" s="78" t="s">
        <v>842</v>
      </c>
      <c r="D496" s="79" t="s">
        <v>983</v>
      </c>
      <c r="E496" s="80" t="s">
        <v>984</v>
      </c>
      <c r="F496" s="81">
        <v>13.21</v>
      </c>
      <c r="G496" s="222">
        <v>23</v>
      </c>
      <c r="H496" s="186"/>
      <c r="I496" s="186"/>
      <c r="J496" s="308"/>
      <c r="K496" s="227"/>
      <c r="L496" s="82">
        <f t="shared" si="284"/>
        <v>23</v>
      </c>
      <c r="M496" s="331">
        <v>23</v>
      </c>
      <c r="N496" s="161">
        <f t="shared" si="273"/>
        <v>303.83000000000004</v>
      </c>
      <c r="O496" s="161">
        <f t="shared" si="274"/>
        <v>303.83000000000004</v>
      </c>
      <c r="P496" s="187">
        <f t="shared" si="275"/>
        <v>0</v>
      </c>
      <c r="Q496" s="161">
        <f t="shared" si="276"/>
        <v>0</v>
      </c>
      <c r="R496" s="85"/>
      <c r="S496" s="86">
        <f t="shared" si="277"/>
        <v>34</v>
      </c>
      <c r="T496" s="87">
        <f t="shared" si="272"/>
        <v>-11</v>
      </c>
      <c r="U496">
        <v>34</v>
      </c>
    </row>
    <row r="497" spans="2:31" ht="20.100000000000001" hidden="1" customHeight="1">
      <c r="B497" s="77">
        <v>5</v>
      </c>
      <c r="C497" s="78" t="s">
        <v>842</v>
      </c>
      <c r="D497" s="79" t="s">
        <v>985</v>
      </c>
      <c r="E497" s="80" t="s">
        <v>986</v>
      </c>
      <c r="F497" s="81">
        <v>13.32</v>
      </c>
      <c r="G497" s="222">
        <v>129</v>
      </c>
      <c r="H497" s="186"/>
      <c r="I497" s="186"/>
      <c r="J497" s="308"/>
      <c r="K497" s="227">
        <v>9</v>
      </c>
      <c r="L497" s="82">
        <f t="shared" si="284"/>
        <v>120</v>
      </c>
      <c r="M497" s="331">
        <v>120</v>
      </c>
      <c r="N497" s="161">
        <f t="shared" si="273"/>
        <v>1598.4</v>
      </c>
      <c r="O497" s="161">
        <f t="shared" si="274"/>
        <v>1598.4</v>
      </c>
      <c r="P497" s="187">
        <f t="shared" si="275"/>
        <v>0</v>
      </c>
      <c r="Q497" s="161">
        <f t="shared" si="276"/>
        <v>0</v>
      </c>
      <c r="R497" s="232"/>
      <c r="S497" s="86">
        <f t="shared" si="277"/>
        <v>124</v>
      </c>
      <c r="T497" s="87">
        <f t="shared" si="272"/>
        <v>-4</v>
      </c>
      <c r="U497">
        <v>124</v>
      </c>
    </row>
    <row r="498" spans="2:31" ht="20.100000000000001" hidden="1" customHeight="1">
      <c r="B498" s="77">
        <v>5</v>
      </c>
      <c r="C498" s="78" t="s">
        <v>842</v>
      </c>
      <c r="D498" s="79" t="s">
        <v>987</v>
      </c>
      <c r="E498" s="80" t="s">
        <v>988</v>
      </c>
      <c r="F498" s="81">
        <v>261.06</v>
      </c>
      <c r="G498" s="222">
        <v>1</v>
      </c>
      <c r="H498" s="186"/>
      <c r="I498" s="186"/>
      <c r="J498" s="308"/>
      <c r="K498" s="227"/>
      <c r="L498" s="82">
        <f t="shared" si="284"/>
        <v>1</v>
      </c>
      <c r="M498" s="331">
        <v>1</v>
      </c>
      <c r="N498" s="161">
        <f t="shared" si="273"/>
        <v>261.06</v>
      </c>
      <c r="O498" s="161">
        <f t="shared" si="274"/>
        <v>261.06</v>
      </c>
      <c r="P498" s="187">
        <f t="shared" si="275"/>
        <v>0</v>
      </c>
      <c r="Q498" s="161">
        <f t="shared" si="276"/>
        <v>0</v>
      </c>
      <c r="R498" s="85"/>
      <c r="S498" s="86">
        <f t="shared" si="277"/>
        <v>1</v>
      </c>
      <c r="T498" s="87">
        <f t="shared" si="272"/>
        <v>0</v>
      </c>
      <c r="U498">
        <v>1</v>
      </c>
    </row>
    <row r="499" spans="2:31" ht="20.100000000000001" hidden="1" customHeight="1">
      <c r="B499" s="77">
        <v>5</v>
      </c>
      <c r="C499" s="78" t="s">
        <v>842</v>
      </c>
      <c r="D499" s="79" t="s">
        <v>989</v>
      </c>
      <c r="E499" s="80" t="s">
        <v>990</v>
      </c>
      <c r="F499" s="81">
        <v>118.54</v>
      </c>
      <c r="G499" s="222"/>
      <c r="H499" s="186"/>
      <c r="I499" s="186"/>
      <c r="J499" s="308"/>
      <c r="K499" s="227"/>
      <c r="L499" s="82">
        <f t="shared" si="284"/>
        <v>0</v>
      </c>
      <c r="M499" s="331"/>
      <c r="N499" s="161">
        <f t="shared" si="273"/>
        <v>0</v>
      </c>
      <c r="O499" s="161">
        <f t="shared" si="274"/>
        <v>0</v>
      </c>
      <c r="P499" s="187">
        <f t="shared" si="275"/>
        <v>0</v>
      </c>
      <c r="Q499" s="161">
        <f t="shared" si="276"/>
        <v>0</v>
      </c>
      <c r="R499" s="85"/>
      <c r="S499" s="86">
        <f t="shared" si="277"/>
        <v>0</v>
      </c>
      <c r="T499" s="87">
        <f t="shared" si="272"/>
        <v>0</v>
      </c>
    </row>
    <row r="500" spans="2:31" ht="20.100000000000001" hidden="1" customHeight="1">
      <c r="B500" s="77">
        <v>5</v>
      </c>
      <c r="C500" s="78" t="s">
        <v>842</v>
      </c>
      <c r="D500" s="79" t="s">
        <v>991</v>
      </c>
      <c r="E500" s="80" t="s">
        <v>992</v>
      </c>
      <c r="F500" s="81">
        <v>13.21</v>
      </c>
      <c r="G500" s="222">
        <v>38</v>
      </c>
      <c r="H500" s="186"/>
      <c r="I500" s="186"/>
      <c r="J500" s="308"/>
      <c r="K500" s="227"/>
      <c r="L500" s="82">
        <f t="shared" si="284"/>
        <v>38</v>
      </c>
      <c r="M500" s="331">
        <v>38</v>
      </c>
      <c r="N500" s="161">
        <f t="shared" si="273"/>
        <v>501.98</v>
      </c>
      <c r="O500" s="161">
        <f t="shared" si="274"/>
        <v>501.98</v>
      </c>
      <c r="P500" s="187">
        <f t="shared" si="275"/>
        <v>0</v>
      </c>
      <c r="Q500" s="161">
        <f t="shared" si="276"/>
        <v>0</v>
      </c>
      <c r="R500" s="85"/>
      <c r="S500" s="86">
        <f t="shared" si="277"/>
        <v>39</v>
      </c>
      <c r="T500" s="87">
        <f t="shared" si="272"/>
        <v>-1</v>
      </c>
      <c r="U500">
        <v>39</v>
      </c>
    </row>
    <row r="501" spans="2:31" ht="20.100000000000001" hidden="1" customHeight="1">
      <c r="B501" s="77">
        <v>5</v>
      </c>
      <c r="C501" s="78" t="s">
        <v>842</v>
      </c>
      <c r="D501" s="79" t="s">
        <v>993</v>
      </c>
      <c r="E501" s="80" t="s">
        <v>994</v>
      </c>
      <c r="F501" s="81">
        <v>13.32</v>
      </c>
      <c r="G501" s="222">
        <v>147</v>
      </c>
      <c r="H501" s="186"/>
      <c r="I501" s="186"/>
      <c r="J501" s="308"/>
      <c r="K501" s="227">
        <v>9</v>
      </c>
      <c r="L501" s="82">
        <f t="shared" si="284"/>
        <v>138</v>
      </c>
      <c r="M501" s="334">
        <v>138</v>
      </c>
      <c r="N501" s="161">
        <f t="shared" si="273"/>
        <v>1838.16</v>
      </c>
      <c r="O501" s="161">
        <f t="shared" si="274"/>
        <v>1838.16</v>
      </c>
      <c r="P501" s="187">
        <f t="shared" si="275"/>
        <v>0</v>
      </c>
      <c r="Q501" s="161">
        <f t="shared" si="276"/>
        <v>0</v>
      </c>
      <c r="R501" s="232"/>
      <c r="S501" s="86">
        <f t="shared" si="277"/>
        <v>20</v>
      </c>
      <c r="T501" s="87">
        <f t="shared" si="272"/>
        <v>118</v>
      </c>
      <c r="U501">
        <v>20</v>
      </c>
    </row>
    <row r="502" spans="2:31" ht="20.100000000000001" hidden="1" customHeight="1">
      <c r="B502" s="77">
        <v>5</v>
      </c>
      <c r="C502" s="78" t="s">
        <v>842</v>
      </c>
      <c r="D502" s="79" t="s">
        <v>995</v>
      </c>
      <c r="E502" s="80" t="s">
        <v>996</v>
      </c>
      <c r="F502" s="81">
        <v>18.57</v>
      </c>
      <c r="G502" s="222">
        <v>124</v>
      </c>
      <c r="H502" s="186"/>
      <c r="I502" s="186"/>
      <c r="J502" s="308"/>
      <c r="K502" s="227">
        <v>4</v>
      </c>
      <c r="L502" s="82">
        <f t="shared" si="284"/>
        <v>120</v>
      </c>
      <c r="M502" s="331">
        <v>120</v>
      </c>
      <c r="N502" s="161">
        <f t="shared" si="273"/>
        <v>2228.4</v>
      </c>
      <c r="O502" s="161">
        <f t="shared" si="274"/>
        <v>2228.4</v>
      </c>
      <c r="P502" s="187">
        <f t="shared" si="275"/>
        <v>0</v>
      </c>
      <c r="Q502" s="161">
        <f t="shared" si="276"/>
        <v>0</v>
      </c>
      <c r="R502" s="85"/>
      <c r="S502" s="86">
        <f t="shared" si="277"/>
        <v>143</v>
      </c>
      <c r="T502" s="87">
        <f t="shared" si="272"/>
        <v>-23</v>
      </c>
      <c r="U502">
        <v>143</v>
      </c>
    </row>
    <row r="503" spans="2:31" ht="20.100000000000001" hidden="1" customHeight="1">
      <c r="B503" s="77">
        <v>5</v>
      </c>
      <c r="C503" s="78" t="s">
        <v>842</v>
      </c>
      <c r="D503" s="79" t="s">
        <v>997</v>
      </c>
      <c r="E503" s="80" t="s">
        <v>998</v>
      </c>
      <c r="F503" s="81">
        <v>18.57</v>
      </c>
      <c r="G503" s="222">
        <v>2</v>
      </c>
      <c r="H503" s="186"/>
      <c r="I503" s="186"/>
      <c r="J503" s="308"/>
      <c r="K503" s="227"/>
      <c r="L503" s="82">
        <f t="shared" si="284"/>
        <v>2</v>
      </c>
      <c r="M503" s="331">
        <v>2</v>
      </c>
      <c r="N503" s="161">
        <f t="shared" si="273"/>
        <v>37.14</v>
      </c>
      <c r="O503" s="161">
        <f t="shared" si="274"/>
        <v>37.14</v>
      </c>
      <c r="P503" s="187">
        <f t="shared" si="275"/>
        <v>0</v>
      </c>
      <c r="Q503" s="161">
        <f t="shared" si="276"/>
        <v>0</v>
      </c>
      <c r="R503" s="85" t="s">
        <v>999</v>
      </c>
      <c r="S503" s="86">
        <f t="shared" si="277"/>
        <v>19</v>
      </c>
      <c r="T503" s="87">
        <f t="shared" si="272"/>
        <v>-17</v>
      </c>
      <c r="U503">
        <v>17</v>
      </c>
      <c r="W503">
        <v>2</v>
      </c>
      <c r="X503" t="s">
        <v>121</v>
      </c>
      <c r="AD503">
        <f t="shared" ref="AD503:AD504" si="286">W503</f>
        <v>2</v>
      </c>
      <c r="AE503" s="89">
        <f>AD503*F503</f>
        <v>37.14</v>
      </c>
    </row>
    <row r="504" spans="2:31" ht="20.100000000000001" hidden="1" customHeight="1">
      <c r="B504" s="77">
        <v>5</v>
      </c>
      <c r="C504" s="78" t="s">
        <v>842</v>
      </c>
      <c r="D504" s="79" t="s">
        <v>3805</v>
      </c>
      <c r="E504" s="80" t="s">
        <v>3791</v>
      </c>
      <c r="F504" s="81">
        <v>10.64</v>
      </c>
      <c r="G504" s="222">
        <v>96</v>
      </c>
      <c r="H504" s="186"/>
      <c r="I504" s="186"/>
      <c r="J504" s="308"/>
      <c r="K504" s="227">
        <v>1</v>
      </c>
      <c r="L504" s="82">
        <f t="shared" si="284"/>
        <v>95</v>
      </c>
      <c r="M504" s="331">
        <v>95</v>
      </c>
      <c r="N504" s="161">
        <f t="shared" si="273"/>
        <v>1010.8000000000001</v>
      </c>
      <c r="O504" s="161">
        <f t="shared" si="274"/>
        <v>1010.8000000000001</v>
      </c>
      <c r="P504" s="187">
        <f t="shared" si="275"/>
        <v>0</v>
      </c>
      <c r="Q504" s="161">
        <f t="shared" si="276"/>
        <v>0</v>
      </c>
      <c r="R504" s="85" t="s">
        <v>1002</v>
      </c>
      <c r="S504" s="86">
        <f t="shared" si="277"/>
        <v>1</v>
      </c>
      <c r="T504" s="87">
        <f t="shared" si="272"/>
        <v>94</v>
      </c>
      <c r="W504">
        <v>1</v>
      </c>
      <c r="X504" t="s">
        <v>121</v>
      </c>
      <c r="AD504">
        <f t="shared" si="286"/>
        <v>1</v>
      </c>
      <c r="AE504" s="89">
        <f>AD504*F504</f>
        <v>10.64</v>
      </c>
    </row>
    <row r="505" spans="2:31" ht="20.100000000000001" hidden="1" customHeight="1">
      <c r="B505" s="77">
        <v>5</v>
      </c>
      <c r="C505" s="78" t="s">
        <v>842</v>
      </c>
      <c r="D505" s="79" t="s">
        <v>1000</v>
      </c>
      <c r="E505" s="80" t="s">
        <v>1001</v>
      </c>
      <c r="F505" s="81">
        <v>104.76</v>
      </c>
      <c r="G505" s="222"/>
      <c r="H505" s="186"/>
      <c r="I505" s="186"/>
      <c r="J505" s="308"/>
      <c r="K505" s="227"/>
      <c r="L505" s="82">
        <f t="shared" si="284"/>
        <v>0</v>
      </c>
      <c r="M505" s="331"/>
      <c r="N505" s="161">
        <f t="shared" si="273"/>
        <v>0</v>
      </c>
      <c r="O505" s="161">
        <f t="shared" si="274"/>
        <v>0</v>
      </c>
      <c r="P505" s="187">
        <f t="shared" si="275"/>
        <v>0</v>
      </c>
      <c r="Q505" s="161">
        <f t="shared" si="276"/>
        <v>0</v>
      </c>
      <c r="R505" s="85"/>
      <c r="S505" s="86">
        <f t="shared" si="277"/>
        <v>0</v>
      </c>
      <c r="T505" s="87">
        <f t="shared" si="272"/>
        <v>0</v>
      </c>
    </row>
    <row r="506" spans="2:31" ht="20.100000000000001" hidden="1" customHeight="1">
      <c r="B506" s="77">
        <v>5</v>
      </c>
      <c r="C506" s="78" t="s">
        <v>842</v>
      </c>
      <c r="D506" s="79" t="s">
        <v>3814</v>
      </c>
      <c r="E506" s="80" t="s">
        <v>1001</v>
      </c>
      <c r="F506" s="81">
        <v>104.76</v>
      </c>
      <c r="G506" s="222">
        <v>2</v>
      </c>
      <c r="H506" s="186"/>
      <c r="I506" s="186"/>
      <c r="J506" s="308"/>
      <c r="K506" s="227">
        <v>1</v>
      </c>
      <c r="L506" s="82">
        <f t="shared" si="284"/>
        <v>1</v>
      </c>
      <c r="M506" s="331">
        <v>1</v>
      </c>
      <c r="N506" s="161">
        <f t="shared" si="273"/>
        <v>104.76</v>
      </c>
      <c r="O506" s="161">
        <f t="shared" si="274"/>
        <v>104.76</v>
      </c>
      <c r="P506" s="187">
        <f t="shared" si="275"/>
        <v>0</v>
      </c>
      <c r="Q506" s="161">
        <f t="shared" si="276"/>
        <v>0</v>
      </c>
      <c r="R506" s="85"/>
      <c r="S506" s="86">
        <f t="shared" si="277"/>
        <v>0</v>
      </c>
      <c r="T506" s="87">
        <f t="shared" si="272"/>
        <v>1</v>
      </c>
    </row>
    <row r="507" spans="2:31" ht="20.100000000000001" hidden="1" customHeight="1">
      <c r="B507" s="77">
        <v>5</v>
      </c>
      <c r="C507" s="78" t="s">
        <v>842</v>
      </c>
      <c r="D507" s="79" t="s">
        <v>1003</v>
      </c>
      <c r="E507" s="80" t="s">
        <v>1004</v>
      </c>
      <c r="F507" s="81">
        <v>237.14</v>
      </c>
      <c r="G507" s="222">
        <v>2</v>
      </c>
      <c r="H507" s="186"/>
      <c r="I507" s="186"/>
      <c r="J507" s="308"/>
      <c r="K507" s="227">
        <v>2</v>
      </c>
      <c r="L507" s="82">
        <f t="shared" si="284"/>
        <v>0</v>
      </c>
      <c r="M507" s="331"/>
      <c r="N507" s="161">
        <f t="shared" si="273"/>
        <v>0</v>
      </c>
      <c r="O507" s="161">
        <f t="shared" si="274"/>
        <v>0</v>
      </c>
      <c r="P507" s="187">
        <f t="shared" si="275"/>
        <v>0</v>
      </c>
      <c r="Q507" s="161">
        <f t="shared" si="276"/>
        <v>0</v>
      </c>
      <c r="R507" s="85"/>
      <c r="S507" s="86">
        <f t="shared" si="277"/>
        <v>0</v>
      </c>
      <c r="T507" s="87">
        <f t="shared" si="272"/>
        <v>0</v>
      </c>
    </row>
    <row r="508" spans="2:31" ht="20.100000000000001" hidden="1" customHeight="1">
      <c r="B508" s="77">
        <v>5</v>
      </c>
      <c r="C508" s="78" t="s">
        <v>842</v>
      </c>
      <c r="D508" s="79" t="s">
        <v>1005</v>
      </c>
      <c r="E508" s="80" t="s">
        <v>1006</v>
      </c>
      <c r="F508" s="81">
        <v>107.48</v>
      </c>
      <c r="G508" s="222">
        <v>1</v>
      </c>
      <c r="H508" s="186"/>
      <c r="I508" s="186"/>
      <c r="J508" s="308"/>
      <c r="K508" s="227"/>
      <c r="L508" s="82">
        <f t="shared" si="284"/>
        <v>1</v>
      </c>
      <c r="M508" s="331">
        <v>1</v>
      </c>
      <c r="N508" s="161">
        <f t="shared" si="273"/>
        <v>107.48</v>
      </c>
      <c r="O508" s="161">
        <f t="shared" si="274"/>
        <v>107.48</v>
      </c>
      <c r="P508" s="187">
        <f t="shared" si="275"/>
        <v>0</v>
      </c>
      <c r="Q508" s="161">
        <f t="shared" si="276"/>
        <v>0</v>
      </c>
      <c r="R508" s="85"/>
      <c r="S508" s="86">
        <f t="shared" si="277"/>
        <v>0</v>
      </c>
      <c r="T508" s="87">
        <f t="shared" si="272"/>
        <v>1</v>
      </c>
    </row>
    <row r="509" spans="2:31" ht="20.100000000000001" hidden="1" customHeight="1">
      <c r="B509" s="77">
        <v>5</v>
      </c>
      <c r="C509" s="78" t="s">
        <v>842</v>
      </c>
      <c r="D509" s="79" t="s">
        <v>1007</v>
      </c>
      <c r="E509" s="80" t="s">
        <v>1008</v>
      </c>
      <c r="F509" s="81">
        <v>16.25</v>
      </c>
      <c r="G509" s="222">
        <v>105</v>
      </c>
      <c r="H509" s="186"/>
      <c r="I509" s="186"/>
      <c r="J509" s="308"/>
      <c r="K509" s="227">
        <v>2</v>
      </c>
      <c r="L509" s="82">
        <f t="shared" si="284"/>
        <v>103</v>
      </c>
      <c r="M509" s="331">
        <f>97+6</f>
        <v>103</v>
      </c>
      <c r="N509" s="161">
        <f t="shared" si="273"/>
        <v>1673.75</v>
      </c>
      <c r="O509" s="161">
        <f t="shared" si="274"/>
        <v>1673.75</v>
      </c>
      <c r="P509" s="187">
        <f t="shared" si="275"/>
        <v>0</v>
      </c>
      <c r="Q509" s="161">
        <f t="shared" si="276"/>
        <v>0</v>
      </c>
      <c r="R509" s="85"/>
      <c r="S509" s="86">
        <f t="shared" si="277"/>
        <v>0</v>
      </c>
      <c r="T509" s="87">
        <f t="shared" si="272"/>
        <v>103</v>
      </c>
    </row>
    <row r="510" spans="2:31" ht="20.100000000000001" hidden="1" customHeight="1">
      <c r="B510" s="77">
        <v>5</v>
      </c>
      <c r="C510" s="78" t="s">
        <v>842</v>
      </c>
      <c r="D510" s="79" t="s">
        <v>1009</v>
      </c>
      <c r="E510" s="80" t="s">
        <v>1010</v>
      </c>
      <c r="F510" s="81">
        <v>10.64</v>
      </c>
      <c r="G510" s="222">
        <v>235</v>
      </c>
      <c r="H510" s="186"/>
      <c r="I510" s="186"/>
      <c r="J510" s="308"/>
      <c r="K510" s="227">
        <v>17</v>
      </c>
      <c r="L510" s="82">
        <f t="shared" si="284"/>
        <v>218</v>
      </c>
      <c r="M510" s="331">
        <v>218</v>
      </c>
      <c r="N510" s="161">
        <f t="shared" si="273"/>
        <v>2319.52</v>
      </c>
      <c r="O510" s="161">
        <f t="shared" si="274"/>
        <v>2319.52</v>
      </c>
      <c r="P510" s="187">
        <f t="shared" si="275"/>
        <v>0</v>
      </c>
      <c r="Q510" s="161">
        <f t="shared" si="276"/>
        <v>0</v>
      </c>
      <c r="R510" s="232"/>
      <c r="S510" s="86">
        <f t="shared" si="277"/>
        <v>0</v>
      </c>
      <c r="T510" s="87">
        <f t="shared" ref="T510:T570" si="287">M510-S510</f>
        <v>218</v>
      </c>
    </row>
    <row r="511" spans="2:31" ht="20.100000000000001" hidden="1" customHeight="1">
      <c r="B511" s="77">
        <v>5</v>
      </c>
      <c r="C511" s="78" t="s">
        <v>842</v>
      </c>
      <c r="D511" s="79" t="s">
        <v>1011</v>
      </c>
      <c r="E511" s="80" t="s">
        <v>1012</v>
      </c>
      <c r="F511" s="81">
        <v>202</v>
      </c>
      <c r="G511" s="222">
        <v>8</v>
      </c>
      <c r="H511" s="186"/>
      <c r="I511" s="186"/>
      <c r="J511" s="308"/>
      <c r="K511" s="227">
        <v>2</v>
      </c>
      <c r="L511" s="82">
        <f t="shared" si="284"/>
        <v>6</v>
      </c>
      <c r="M511" s="331">
        <v>6</v>
      </c>
      <c r="N511" s="161">
        <f t="shared" ref="N511:N570" si="288">F511*L511</f>
        <v>1212</v>
      </c>
      <c r="O511" s="161">
        <f t="shared" ref="O511:O570" si="289">M511*F511</f>
        <v>1212</v>
      </c>
      <c r="P511" s="187">
        <f t="shared" ref="P511:P570" si="290">L511-M511</f>
        <v>0</v>
      </c>
      <c r="Q511" s="161">
        <f t="shared" ref="Q511:Q570" si="291">N511-O511</f>
        <v>0</v>
      </c>
      <c r="R511" s="85" t="s">
        <v>1013</v>
      </c>
      <c r="S511" s="86">
        <f t="shared" ref="S511:S570" si="292">U511+Y511+W511+AA511</f>
        <v>8</v>
      </c>
      <c r="T511" s="87">
        <f t="shared" si="287"/>
        <v>-2</v>
      </c>
      <c r="U511">
        <f>6+2</f>
        <v>8</v>
      </c>
      <c r="V511" s="88" t="s">
        <v>951</v>
      </c>
      <c r="AD511">
        <v>2</v>
      </c>
      <c r="AE511" s="89">
        <f>AD511*F511</f>
        <v>404</v>
      </c>
    </row>
    <row r="512" spans="2:31" ht="20.100000000000001" hidden="1" customHeight="1">
      <c r="B512" s="77">
        <v>5</v>
      </c>
      <c r="C512" s="78" t="s">
        <v>842</v>
      </c>
      <c r="D512" s="79" t="s">
        <v>1014</v>
      </c>
      <c r="E512" s="80" t="s">
        <v>1015</v>
      </c>
      <c r="F512" s="81">
        <v>44.78</v>
      </c>
      <c r="G512" s="222">
        <v>48</v>
      </c>
      <c r="H512" s="186"/>
      <c r="I512" s="186"/>
      <c r="J512" s="308"/>
      <c r="K512" s="227">
        <v>1</v>
      </c>
      <c r="L512" s="82">
        <f t="shared" si="284"/>
        <v>47</v>
      </c>
      <c r="M512" s="331">
        <v>47</v>
      </c>
      <c r="N512" s="161">
        <f t="shared" si="288"/>
        <v>2104.66</v>
      </c>
      <c r="O512" s="161">
        <f t="shared" si="289"/>
        <v>2104.66</v>
      </c>
      <c r="P512" s="187">
        <f t="shared" si="290"/>
        <v>0</v>
      </c>
      <c r="Q512" s="161">
        <f t="shared" si="291"/>
        <v>0</v>
      </c>
      <c r="R512" s="85"/>
      <c r="S512" s="86">
        <f t="shared" si="292"/>
        <v>38</v>
      </c>
      <c r="T512" s="87">
        <f t="shared" si="287"/>
        <v>9</v>
      </c>
      <c r="U512">
        <v>38</v>
      </c>
    </row>
    <row r="513" spans="2:31" ht="20.100000000000001" hidden="1" customHeight="1">
      <c r="B513" s="77">
        <v>5</v>
      </c>
      <c r="C513" s="78" t="s">
        <v>842</v>
      </c>
      <c r="D513" s="79" t="s">
        <v>1016</v>
      </c>
      <c r="E513" s="80" t="s">
        <v>1017</v>
      </c>
      <c r="F513" s="81">
        <v>61.93</v>
      </c>
      <c r="G513" s="222">
        <v>18</v>
      </c>
      <c r="H513" s="186"/>
      <c r="I513" s="186"/>
      <c r="J513" s="308"/>
      <c r="K513" s="227">
        <v>8</v>
      </c>
      <c r="L513" s="82">
        <f t="shared" si="284"/>
        <v>10</v>
      </c>
      <c r="M513" s="331">
        <v>10</v>
      </c>
      <c r="N513" s="161">
        <f t="shared" si="288"/>
        <v>619.29999999999995</v>
      </c>
      <c r="O513" s="161">
        <f t="shared" si="289"/>
        <v>619.29999999999995</v>
      </c>
      <c r="P513" s="187">
        <f t="shared" si="290"/>
        <v>0</v>
      </c>
      <c r="Q513" s="161">
        <f t="shared" si="291"/>
        <v>0</v>
      </c>
      <c r="R513" s="85"/>
      <c r="S513" s="86">
        <f t="shared" si="292"/>
        <v>23</v>
      </c>
      <c r="T513" s="87">
        <f t="shared" si="287"/>
        <v>-13</v>
      </c>
      <c r="U513">
        <v>23</v>
      </c>
    </row>
    <row r="514" spans="2:31" ht="20.100000000000001" hidden="1" customHeight="1">
      <c r="B514" s="77">
        <v>5</v>
      </c>
      <c r="C514" s="78" t="s">
        <v>842</v>
      </c>
      <c r="D514" s="79" t="s">
        <v>1018</v>
      </c>
      <c r="E514" s="80" t="s">
        <v>1019</v>
      </c>
      <c r="F514" s="81">
        <v>109.57</v>
      </c>
      <c r="G514" s="222">
        <v>11</v>
      </c>
      <c r="H514" s="186"/>
      <c r="I514" s="186"/>
      <c r="J514" s="308"/>
      <c r="K514" s="227">
        <v>9</v>
      </c>
      <c r="L514" s="82">
        <f t="shared" si="284"/>
        <v>2</v>
      </c>
      <c r="M514" s="331">
        <v>2</v>
      </c>
      <c r="N514" s="161">
        <f t="shared" si="288"/>
        <v>219.14</v>
      </c>
      <c r="O514" s="161">
        <f t="shared" si="289"/>
        <v>219.14</v>
      </c>
      <c r="P514" s="187">
        <f t="shared" si="290"/>
        <v>0</v>
      </c>
      <c r="Q514" s="161">
        <f t="shared" si="291"/>
        <v>0</v>
      </c>
      <c r="R514" s="85"/>
      <c r="S514" s="86">
        <f t="shared" si="292"/>
        <v>0</v>
      </c>
      <c r="T514" s="87">
        <f t="shared" si="287"/>
        <v>2</v>
      </c>
    </row>
    <row r="515" spans="2:31" ht="20.100000000000001" hidden="1" customHeight="1">
      <c r="B515" s="77">
        <v>5</v>
      </c>
      <c r="C515" s="78" t="s">
        <v>842</v>
      </c>
      <c r="D515" s="79" t="s">
        <v>1018</v>
      </c>
      <c r="E515" s="80" t="s">
        <v>1019</v>
      </c>
      <c r="F515" s="81">
        <v>109.57</v>
      </c>
      <c r="G515" s="222"/>
      <c r="H515" s="186"/>
      <c r="I515" s="186"/>
      <c r="J515" s="308"/>
      <c r="K515" s="227"/>
      <c r="L515" s="82">
        <f t="shared" si="284"/>
        <v>0</v>
      </c>
      <c r="M515" s="331"/>
      <c r="N515" s="161">
        <f t="shared" si="288"/>
        <v>0</v>
      </c>
      <c r="O515" s="161">
        <f t="shared" si="289"/>
        <v>0</v>
      </c>
      <c r="P515" s="187">
        <f t="shared" si="290"/>
        <v>0</v>
      </c>
      <c r="Q515" s="161">
        <f t="shared" si="291"/>
        <v>0</v>
      </c>
      <c r="R515" s="85"/>
      <c r="S515" s="86">
        <f t="shared" si="292"/>
        <v>0</v>
      </c>
      <c r="T515" s="87">
        <f t="shared" si="287"/>
        <v>0</v>
      </c>
    </row>
    <row r="516" spans="2:31" ht="20.100000000000001" hidden="1" customHeight="1">
      <c r="B516" s="77">
        <v>5</v>
      </c>
      <c r="C516" s="78" t="s">
        <v>842</v>
      </c>
      <c r="D516" s="79" t="s">
        <v>1020</v>
      </c>
      <c r="E516" s="80" t="s">
        <v>1021</v>
      </c>
      <c r="F516" s="81">
        <v>90.94</v>
      </c>
      <c r="G516" s="222">
        <v>4</v>
      </c>
      <c r="H516" s="186"/>
      <c r="I516" s="186"/>
      <c r="J516" s="308"/>
      <c r="K516" s="227">
        <v>1</v>
      </c>
      <c r="L516" s="82">
        <f t="shared" si="284"/>
        <v>3</v>
      </c>
      <c r="M516" s="331">
        <v>3</v>
      </c>
      <c r="N516" s="161">
        <f t="shared" si="288"/>
        <v>272.82</v>
      </c>
      <c r="O516" s="161">
        <f t="shared" si="289"/>
        <v>272.82</v>
      </c>
      <c r="P516" s="187">
        <f t="shared" si="290"/>
        <v>0</v>
      </c>
      <c r="Q516" s="161">
        <f t="shared" si="291"/>
        <v>0</v>
      </c>
      <c r="R516" s="85"/>
      <c r="S516" s="86">
        <f t="shared" si="292"/>
        <v>5</v>
      </c>
      <c r="T516" s="87">
        <f t="shared" si="287"/>
        <v>-2</v>
      </c>
      <c r="U516">
        <v>5</v>
      </c>
    </row>
    <row r="517" spans="2:31" ht="20.100000000000001" hidden="1" customHeight="1">
      <c r="B517" s="77">
        <v>5</v>
      </c>
      <c r="C517" s="78" t="s">
        <v>842</v>
      </c>
      <c r="D517" s="79" t="s">
        <v>1022</v>
      </c>
      <c r="E517" s="80" t="s">
        <v>1023</v>
      </c>
      <c r="F517" s="81">
        <v>202</v>
      </c>
      <c r="G517" s="222"/>
      <c r="H517" s="186"/>
      <c r="I517" s="186"/>
      <c r="J517" s="308"/>
      <c r="K517" s="227"/>
      <c r="L517" s="82">
        <f t="shared" si="284"/>
        <v>0</v>
      </c>
      <c r="M517" s="331"/>
      <c r="N517" s="161">
        <f t="shared" si="288"/>
        <v>0</v>
      </c>
      <c r="O517" s="161">
        <f t="shared" si="289"/>
        <v>0</v>
      </c>
      <c r="P517" s="187">
        <f t="shared" si="290"/>
        <v>0</v>
      </c>
      <c r="Q517" s="161">
        <f t="shared" si="291"/>
        <v>0</v>
      </c>
      <c r="R517" s="85"/>
      <c r="S517" s="86">
        <f t="shared" si="292"/>
        <v>7</v>
      </c>
      <c r="T517" s="87">
        <f t="shared" si="287"/>
        <v>-7</v>
      </c>
      <c r="U517">
        <v>7</v>
      </c>
    </row>
    <row r="518" spans="2:31" ht="20.100000000000001" customHeight="1">
      <c r="B518" s="77">
        <v>5</v>
      </c>
      <c r="C518" s="78" t="s">
        <v>842</v>
      </c>
      <c r="D518" s="79" t="s">
        <v>1024</v>
      </c>
      <c r="E518" s="80" t="s">
        <v>1025</v>
      </c>
      <c r="F518" s="81">
        <v>8.58</v>
      </c>
      <c r="G518" s="222">
        <v>480</v>
      </c>
      <c r="H518" s="186"/>
      <c r="I518" s="186"/>
      <c r="J518" s="308"/>
      <c r="K518" s="227">
        <v>91</v>
      </c>
      <c r="L518" s="82">
        <f t="shared" si="284"/>
        <v>389</v>
      </c>
      <c r="M518" s="331">
        <v>383</v>
      </c>
      <c r="N518" s="161">
        <f t="shared" si="288"/>
        <v>3337.62</v>
      </c>
      <c r="O518" s="161">
        <f t="shared" si="289"/>
        <v>3286.14</v>
      </c>
      <c r="P518" s="187">
        <f t="shared" si="290"/>
        <v>6</v>
      </c>
      <c r="Q518" s="161">
        <f t="shared" si="291"/>
        <v>51.480000000000018</v>
      </c>
      <c r="R518" s="85"/>
      <c r="S518" s="86">
        <f t="shared" si="292"/>
        <v>1</v>
      </c>
      <c r="T518" s="87">
        <f t="shared" si="287"/>
        <v>382</v>
      </c>
      <c r="W518">
        <v>1</v>
      </c>
      <c r="X518" t="s">
        <v>115</v>
      </c>
      <c r="AD518">
        <f t="shared" ref="AD518" si="293">W518</f>
        <v>1</v>
      </c>
      <c r="AE518" s="89">
        <f>AD518*F518</f>
        <v>8.58</v>
      </c>
    </row>
    <row r="519" spans="2:31" ht="20.100000000000001" hidden="1" customHeight="1">
      <c r="B519" s="77">
        <v>5</v>
      </c>
      <c r="C519" s="78" t="s">
        <v>842</v>
      </c>
      <c r="D519" s="79" t="s">
        <v>1026</v>
      </c>
      <c r="E519" s="80" t="s">
        <v>1027</v>
      </c>
      <c r="F519" s="81">
        <v>130.72</v>
      </c>
      <c r="G519" s="222"/>
      <c r="H519" s="186"/>
      <c r="I519" s="186"/>
      <c r="J519" s="308"/>
      <c r="K519" s="227"/>
      <c r="L519" s="82">
        <f t="shared" si="284"/>
        <v>0</v>
      </c>
      <c r="M519" s="331"/>
      <c r="N519" s="161">
        <f t="shared" si="288"/>
        <v>0</v>
      </c>
      <c r="O519" s="161">
        <f t="shared" si="289"/>
        <v>0</v>
      </c>
      <c r="P519" s="187">
        <f t="shared" si="290"/>
        <v>0</v>
      </c>
      <c r="Q519" s="161">
        <f t="shared" si="291"/>
        <v>0</v>
      </c>
      <c r="R519" s="85"/>
      <c r="S519" s="86">
        <f t="shared" si="292"/>
        <v>0</v>
      </c>
      <c r="T519" s="87">
        <f t="shared" si="287"/>
        <v>0</v>
      </c>
    </row>
    <row r="520" spans="2:31" ht="20.100000000000001" hidden="1" customHeight="1">
      <c r="B520" s="77">
        <v>5</v>
      </c>
      <c r="C520" s="78" t="s">
        <v>842</v>
      </c>
      <c r="D520" s="79" t="s">
        <v>1028</v>
      </c>
      <c r="E520" s="80" t="s">
        <v>1029</v>
      </c>
      <c r="F520" s="81">
        <v>186.2</v>
      </c>
      <c r="G520" s="222"/>
      <c r="H520" s="186"/>
      <c r="I520" s="186"/>
      <c r="J520" s="308"/>
      <c r="K520" s="227"/>
      <c r="L520" s="82">
        <f t="shared" si="284"/>
        <v>0</v>
      </c>
      <c r="M520" s="331"/>
      <c r="N520" s="161">
        <f t="shared" si="288"/>
        <v>0</v>
      </c>
      <c r="O520" s="161">
        <f t="shared" si="289"/>
        <v>0</v>
      </c>
      <c r="P520" s="187">
        <f t="shared" si="290"/>
        <v>0</v>
      </c>
      <c r="Q520" s="161">
        <f t="shared" si="291"/>
        <v>0</v>
      </c>
      <c r="R520" s="85"/>
      <c r="S520" s="86">
        <f t="shared" si="292"/>
        <v>0</v>
      </c>
      <c r="T520" s="87">
        <f t="shared" si="287"/>
        <v>0</v>
      </c>
    </row>
    <row r="521" spans="2:31" ht="20.100000000000001" hidden="1" customHeight="1">
      <c r="B521" s="77">
        <v>5</v>
      </c>
      <c r="C521" s="78" t="s">
        <v>842</v>
      </c>
      <c r="D521" s="79" t="s">
        <v>1030</v>
      </c>
      <c r="E521" s="80" t="s">
        <v>1031</v>
      </c>
      <c r="F521" s="81">
        <v>69.459999999999994</v>
      </c>
      <c r="G521" s="222"/>
      <c r="H521" s="186"/>
      <c r="I521" s="186"/>
      <c r="J521" s="308"/>
      <c r="K521" s="227"/>
      <c r="L521" s="82">
        <f t="shared" si="284"/>
        <v>0</v>
      </c>
      <c r="M521" s="331"/>
      <c r="N521" s="161">
        <f t="shared" si="288"/>
        <v>0</v>
      </c>
      <c r="O521" s="161">
        <f t="shared" si="289"/>
        <v>0</v>
      </c>
      <c r="P521" s="187">
        <f t="shared" si="290"/>
        <v>0</v>
      </c>
      <c r="Q521" s="161">
        <f t="shared" si="291"/>
        <v>0</v>
      </c>
      <c r="R521" s="85"/>
      <c r="S521" s="86">
        <f t="shared" si="292"/>
        <v>1</v>
      </c>
      <c r="T521" s="87">
        <f t="shared" si="287"/>
        <v>-1</v>
      </c>
      <c r="AA521">
        <v>1</v>
      </c>
      <c r="AB521" t="s">
        <v>1032</v>
      </c>
    </row>
    <row r="522" spans="2:31" ht="20.100000000000001" hidden="1" customHeight="1">
      <c r="B522" s="77">
        <v>5</v>
      </c>
      <c r="C522" s="78" t="s">
        <v>842</v>
      </c>
      <c r="D522" s="79" t="s">
        <v>1033</v>
      </c>
      <c r="E522" s="80" t="s">
        <v>1034</v>
      </c>
      <c r="F522" s="81">
        <v>18.2</v>
      </c>
      <c r="G522" s="222">
        <v>76</v>
      </c>
      <c r="H522" s="186"/>
      <c r="I522" s="186"/>
      <c r="J522" s="308"/>
      <c r="K522" s="227">
        <v>1</v>
      </c>
      <c r="L522" s="82">
        <f t="shared" si="284"/>
        <v>75</v>
      </c>
      <c r="M522" s="331">
        <f>17+58</f>
        <v>75</v>
      </c>
      <c r="N522" s="161">
        <f t="shared" si="288"/>
        <v>1365</v>
      </c>
      <c r="O522" s="161">
        <f t="shared" si="289"/>
        <v>1365</v>
      </c>
      <c r="P522" s="187">
        <f t="shared" si="290"/>
        <v>0</v>
      </c>
      <c r="Q522" s="161">
        <f t="shared" si="291"/>
        <v>0</v>
      </c>
      <c r="R522" s="91" t="s">
        <v>1035</v>
      </c>
      <c r="S522" s="86">
        <f t="shared" si="292"/>
        <v>81</v>
      </c>
      <c r="T522" s="87">
        <f t="shared" si="287"/>
        <v>-6</v>
      </c>
      <c r="U522">
        <v>23</v>
      </c>
      <c r="W522">
        <f>16+42</f>
        <v>58</v>
      </c>
      <c r="X522" t="s">
        <v>121</v>
      </c>
      <c r="AD522">
        <f t="shared" ref="AD522:AD527" si="294">W522</f>
        <v>58</v>
      </c>
      <c r="AE522" s="89">
        <f t="shared" ref="AE522:AE531" si="295">AD522*F522</f>
        <v>1055.5999999999999</v>
      </c>
    </row>
    <row r="523" spans="2:31" ht="20.100000000000001" hidden="1" customHeight="1">
      <c r="B523" s="77">
        <v>5</v>
      </c>
      <c r="C523" s="78" t="s">
        <v>842</v>
      </c>
      <c r="D523" s="79" t="s">
        <v>1036</v>
      </c>
      <c r="E523" s="80" t="s">
        <v>1037</v>
      </c>
      <c r="F523" s="81">
        <v>17.809999999999999</v>
      </c>
      <c r="G523" s="222">
        <v>36</v>
      </c>
      <c r="H523" s="186"/>
      <c r="I523" s="186"/>
      <c r="J523" s="308"/>
      <c r="K523" s="227"/>
      <c r="L523" s="82">
        <f t="shared" ref="L523:L586" si="296">G523+I523-J523-K523+H523</f>
        <v>36</v>
      </c>
      <c r="M523" s="331">
        <v>36</v>
      </c>
      <c r="N523" s="161">
        <f t="shared" si="288"/>
        <v>641.16</v>
      </c>
      <c r="O523" s="161">
        <f t="shared" si="289"/>
        <v>641.16</v>
      </c>
      <c r="P523" s="187">
        <f t="shared" si="290"/>
        <v>0</v>
      </c>
      <c r="Q523" s="161">
        <f t="shared" si="291"/>
        <v>0</v>
      </c>
      <c r="R523" s="91">
        <v>45640</v>
      </c>
      <c r="S523" s="86">
        <f t="shared" si="292"/>
        <v>36</v>
      </c>
      <c r="T523" s="87">
        <f t="shared" si="287"/>
        <v>0</v>
      </c>
      <c r="W523">
        <v>36</v>
      </c>
      <c r="X523" t="s">
        <v>121</v>
      </c>
      <c r="AD523">
        <f t="shared" si="294"/>
        <v>36</v>
      </c>
      <c r="AE523" s="89">
        <f t="shared" si="295"/>
        <v>641.16</v>
      </c>
    </row>
    <row r="524" spans="2:31" ht="20.100000000000001" hidden="1" customHeight="1">
      <c r="B524" s="77">
        <v>5</v>
      </c>
      <c r="C524" s="78" t="s">
        <v>842</v>
      </c>
      <c r="D524" s="79" t="s">
        <v>1038</v>
      </c>
      <c r="E524" s="80" t="s">
        <v>1039</v>
      </c>
      <c r="F524" s="81">
        <v>19.05</v>
      </c>
      <c r="G524" s="222">
        <v>16</v>
      </c>
      <c r="H524" s="186"/>
      <c r="I524" s="186"/>
      <c r="J524" s="308"/>
      <c r="K524" s="227"/>
      <c r="L524" s="82">
        <f t="shared" si="296"/>
        <v>16</v>
      </c>
      <c r="M524" s="331">
        <v>16</v>
      </c>
      <c r="N524" s="161">
        <f t="shared" si="288"/>
        <v>304.8</v>
      </c>
      <c r="O524" s="161">
        <f t="shared" si="289"/>
        <v>304.8</v>
      </c>
      <c r="P524" s="187">
        <f t="shared" si="290"/>
        <v>0</v>
      </c>
      <c r="Q524" s="161">
        <f t="shared" si="291"/>
        <v>0</v>
      </c>
      <c r="R524" s="91">
        <v>45916</v>
      </c>
      <c r="S524" s="86">
        <f t="shared" si="292"/>
        <v>16</v>
      </c>
      <c r="T524" s="87">
        <f t="shared" si="287"/>
        <v>0</v>
      </c>
      <c r="W524">
        <v>16</v>
      </c>
      <c r="X524" t="s">
        <v>121</v>
      </c>
      <c r="AD524">
        <f t="shared" si="294"/>
        <v>16</v>
      </c>
      <c r="AE524" s="89">
        <f t="shared" si="295"/>
        <v>304.8</v>
      </c>
    </row>
    <row r="525" spans="2:31" ht="20.100000000000001" hidden="1" customHeight="1">
      <c r="B525" s="77">
        <v>5</v>
      </c>
      <c r="C525" s="78" t="s">
        <v>842</v>
      </c>
      <c r="D525" s="79" t="s">
        <v>1040</v>
      </c>
      <c r="E525" s="80" t="s">
        <v>1041</v>
      </c>
      <c r="F525" s="81">
        <v>17.809999999999999</v>
      </c>
      <c r="G525" s="222">
        <v>21</v>
      </c>
      <c r="H525" s="186"/>
      <c r="I525" s="186"/>
      <c r="J525" s="308"/>
      <c r="K525" s="227"/>
      <c r="L525" s="82">
        <f t="shared" si="296"/>
        <v>21</v>
      </c>
      <c r="M525" s="331">
        <v>21</v>
      </c>
      <c r="N525" s="161">
        <f t="shared" si="288"/>
        <v>374.01</v>
      </c>
      <c r="O525" s="161">
        <f t="shared" si="289"/>
        <v>374.01</v>
      </c>
      <c r="P525" s="187">
        <f t="shared" si="290"/>
        <v>0</v>
      </c>
      <c r="Q525" s="161">
        <f t="shared" si="291"/>
        <v>0</v>
      </c>
      <c r="R525" s="91">
        <v>45863</v>
      </c>
      <c r="S525" s="86">
        <f t="shared" si="292"/>
        <v>21</v>
      </c>
      <c r="T525" s="87">
        <f t="shared" si="287"/>
        <v>0</v>
      </c>
      <c r="W525">
        <v>21</v>
      </c>
      <c r="X525" t="s">
        <v>121</v>
      </c>
      <c r="AD525">
        <f t="shared" si="294"/>
        <v>21</v>
      </c>
      <c r="AE525" s="89">
        <f t="shared" si="295"/>
        <v>374.01</v>
      </c>
    </row>
    <row r="526" spans="2:31" ht="20.100000000000001" hidden="1" customHeight="1">
      <c r="B526" s="77">
        <v>5</v>
      </c>
      <c r="C526" s="78" t="s">
        <v>842</v>
      </c>
      <c r="D526" s="79" t="s">
        <v>1042</v>
      </c>
      <c r="E526" s="80" t="s">
        <v>1043</v>
      </c>
      <c r="F526" s="81">
        <v>174.78</v>
      </c>
      <c r="G526" s="222">
        <v>5</v>
      </c>
      <c r="H526" s="186"/>
      <c r="I526" s="186"/>
      <c r="J526" s="308"/>
      <c r="K526" s="227"/>
      <c r="L526" s="82">
        <f t="shared" si="296"/>
        <v>5</v>
      </c>
      <c r="M526" s="331">
        <v>5</v>
      </c>
      <c r="N526" s="161">
        <f t="shared" si="288"/>
        <v>873.9</v>
      </c>
      <c r="O526" s="161">
        <f t="shared" si="289"/>
        <v>873.9</v>
      </c>
      <c r="P526" s="187">
        <f t="shared" si="290"/>
        <v>0</v>
      </c>
      <c r="Q526" s="161">
        <f t="shared" si="291"/>
        <v>0</v>
      </c>
      <c r="R526" s="91">
        <v>45644</v>
      </c>
      <c r="S526" s="86">
        <f t="shared" si="292"/>
        <v>5</v>
      </c>
      <c r="T526" s="87">
        <f t="shared" si="287"/>
        <v>0</v>
      </c>
      <c r="W526">
        <v>5</v>
      </c>
      <c r="X526" t="s">
        <v>115</v>
      </c>
      <c r="AD526">
        <f t="shared" si="294"/>
        <v>5</v>
      </c>
      <c r="AE526" s="89">
        <f t="shared" si="295"/>
        <v>873.9</v>
      </c>
    </row>
    <row r="527" spans="2:31" ht="20.100000000000001" hidden="1" customHeight="1">
      <c r="B527" s="77">
        <v>5</v>
      </c>
      <c r="C527" s="78" t="s">
        <v>842</v>
      </c>
      <c r="D527" s="79" t="s">
        <v>1044</v>
      </c>
      <c r="E527" s="80" t="s">
        <v>1045</v>
      </c>
      <c r="F527" s="81">
        <v>18.2</v>
      </c>
      <c r="G527" s="222">
        <v>88</v>
      </c>
      <c r="H527" s="186"/>
      <c r="I527" s="186"/>
      <c r="J527" s="308"/>
      <c r="K527" s="227">
        <v>3</v>
      </c>
      <c r="L527" s="82">
        <f t="shared" si="296"/>
        <v>85</v>
      </c>
      <c r="M527" s="331">
        <v>85</v>
      </c>
      <c r="N527" s="161">
        <f t="shared" si="288"/>
        <v>1547</v>
      </c>
      <c r="O527" s="161">
        <f t="shared" si="289"/>
        <v>1547</v>
      </c>
      <c r="P527" s="187">
        <f t="shared" si="290"/>
        <v>0</v>
      </c>
      <c r="Q527" s="161">
        <f t="shared" si="291"/>
        <v>0</v>
      </c>
      <c r="R527" s="85" t="s">
        <v>1046</v>
      </c>
      <c r="S527" s="86">
        <f t="shared" si="292"/>
        <v>94</v>
      </c>
      <c r="T527" s="87">
        <f t="shared" si="287"/>
        <v>-9</v>
      </c>
      <c r="U527">
        <v>30</v>
      </c>
      <c r="W527">
        <f>31+33</f>
        <v>64</v>
      </c>
      <c r="X527" t="s">
        <v>121</v>
      </c>
      <c r="AD527">
        <f t="shared" si="294"/>
        <v>64</v>
      </c>
      <c r="AE527" s="89">
        <f t="shared" si="295"/>
        <v>1164.8</v>
      </c>
    </row>
    <row r="528" spans="2:31" ht="20.100000000000001" hidden="1" customHeight="1">
      <c r="B528" s="77">
        <v>5</v>
      </c>
      <c r="C528" s="78" t="s">
        <v>842</v>
      </c>
      <c r="D528" s="79" t="s">
        <v>1047</v>
      </c>
      <c r="E528" s="80" t="s">
        <v>1048</v>
      </c>
      <c r="F528" s="81">
        <v>18.2</v>
      </c>
      <c r="G528" s="222">
        <v>121</v>
      </c>
      <c r="H528" s="186"/>
      <c r="I528" s="186"/>
      <c r="J528" s="308"/>
      <c r="K528" s="227">
        <v>1</v>
      </c>
      <c r="L528" s="82">
        <f t="shared" si="296"/>
        <v>120</v>
      </c>
      <c r="M528" s="331">
        <f>19+101</f>
        <v>120</v>
      </c>
      <c r="N528" s="161">
        <f t="shared" si="288"/>
        <v>2184</v>
      </c>
      <c r="O528" s="161">
        <f t="shared" si="289"/>
        <v>2184</v>
      </c>
      <c r="P528" s="187">
        <f t="shared" si="290"/>
        <v>0</v>
      </c>
      <c r="Q528" s="161">
        <f t="shared" si="291"/>
        <v>0</v>
      </c>
      <c r="R528" s="85" t="s">
        <v>1049</v>
      </c>
      <c r="S528" s="86">
        <f t="shared" si="292"/>
        <v>130</v>
      </c>
      <c r="T528" s="87">
        <f t="shared" si="287"/>
        <v>-10</v>
      </c>
      <c r="U528">
        <v>29</v>
      </c>
      <c r="W528">
        <f>51+50</f>
        <v>101</v>
      </c>
      <c r="X528" t="s">
        <v>121</v>
      </c>
      <c r="AD528">
        <f>W528</f>
        <v>101</v>
      </c>
      <c r="AE528" s="89">
        <f t="shared" si="295"/>
        <v>1838.1999999999998</v>
      </c>
    </row>
    <row r="529" spans="2:31" ht="20.100000000000001" hidden="1" customHeight="1">
      <c r="B529" s="77">
        <v>5</v>
      </c>
      <c r="C529" s="78" t="s">
        <v>842</v>
      </c>
      <c r="D529" s="79" t="s">
        <v>1050</v>
      </c>
      <c r="E529" s="80" t="s">
        <v>1051</v>
      </c>
      <c r="F529" s="81">
        <v>19.05</v>
      </c>
      <c r="G529" s="222">
        <v>30</v>
      </c>
      <c r="H529" s="186"/>
      <c r="I529" s="186"/>
      <c r="J529" s="308"/>
      <c r="K529" s="227"/>
      <c r="L529" s="82">
        <f t="shared" si="296"/>
        <v>30</v>
      </c>
      <c r="M529" s="331">
        <v>30</v>
      </c>
      <c r="N529" s="161">
        <f t="shared" si="288"/>
        <v>571.5</v>
      </c>
      <c r="O529" s="161">
        <f t="shared" si="289"/>
        <v>571.5</v>
      </c>
      <c r="P529" s="187">
        <f t="shared" si="290"/>
        <v>0</v>
      </c>
      <c r="Q529" s="161">
        <f t="shared" si="291"/>
        <v>0</v>
      </c>
      <c r="R529" s="91">
        <v>45624</v>
      </c>
      <c r="S529" s="86">
        <f t="shared" si="292"/>
        <v>30</v>
      </c>
      <c r="T529" s="87">
        <f t="shared" si="287"/>
        <v>0</v>
      </c>
      <c r="W529">
        <v>30</v>
      </c>
      <c r="X529" t="s">
        <v>115</v>
      </c>
      <c r="AD529">
        <f>W529</f>
        <v>30</v>
      </c>
      <c r="AE529" s="89">
        <f t="shared" si="295"/>
        <v>571.5</v>
      </c>
    </row>
    <row r="530" spans="2:31" ht="20.100000000000001" hidden="1" customHeight="1">
      <c r="B530" s="77">
        <v>5</v>
      </c>
      <c r="C530" s="78" t="s">
        <v>842</v>
      </c>
      <c r="D530" s="79" t="s">
        <v>1052</v>
      </c>
      <c r="E530" s="80" t="s">
        <v>1053</v>
      </c>
      <c r="F530" s="81">
        <v>17.809999999999999</v>
      </c>
      <c r="G530" s="222">
        <v>28</v>
      </c>
      <c r="H530" s="186"/>
      <c r="I530" s="186"/>
      <c r="J530" s="308"/>
      <c r="K530" s="227"/>
      <c r="L530" s="82">
        <f t="shared" si="296"/>
        <v>28</v>
      </c>
      <c r="M530" s="331">
        <v>28</v>
      </c>
      <c r="N530" s="161">
        <f t="shared" si="288"/>
        <v>498.67999999999995</v>
      </c>
      <c r="O530" s="161">
        <f t="shared" si="289"/>
        <v>498.67999999999995</v>
      </c>
      <c r="P530" s="187">
        <f t="shared" si="290"/>
        <v>0</v>
      </c>
      <c r="Q530" s="161">
        <f t="shared" si="291"/>
        <v>0</v>
      </c>
      <c r="R530" s="91">
        <v>44967</v>
      </c>
      <c r="S530" s="86">
        <f t="shared" si="292"/>
        <v>28</v>
      </c>
      <c r="T530" s="87">
        <f t="shared" si="287"/>
        <v>0</v>
      </c>
      <c r="W530">
        <v>28</v>
      </c>
      <c r="X530" t="s">
        <v>523</v>
      </c>
      <c r="AD530">
        <f>W530</f>
        <v>28</v>
      </c>
      <c r="AE530" s="89">
        <f t="shared" si="295"/>
        <v>498.67999999999995</v>
      </c>
    </row>
    <row r="531" spans="2:31" ht="20.100000000000001" hidden="1" customHeight="1">
      <c r="B531" s="77">
        <v>6</v>
      </c>
      <c r="C531" s="78" t="s">
        <v>1054</v>
      </c>
      <c r="D531" s="79" t="s">
        <v>1055</v>
      </c>
      <c r="E531" s="80" t="s">
        <v>1056</v>
      </c>
      <c r="F531" s="81">
        <v>49.8</v>
      </c>
      <c r="G531" s="222">
        <v>5</v>
      </c>
      <c r="H531" s="186"/>
      <c r="I531" s="186"/>
      <c r="J531" s="308"/>
      <c r="K531" s="227">
        <v>1</v>
      </c>
      <c r="L531" s="82">
        <f t="shared" si="296"/>
        <v>4</v>
      </c>
      <c r="M531" s="331">
        <f>1+3</f>
        <v>4</v>
      </c>
      <c r="N531" s="161">
        <f t="shared" si="288"/>
        <v>199.2</v>
      </c>
      <c r="O531" s="161">
        <f t="shared" si="289"/>
        <v>199.2</v>
      </c>
      <c r="P531" s="187">
        <f t="shared" si="290"/>
        <v>0</v>
      </c>
      <c r="Q531" s="161">
        <f t="shared" si="291"/>
        <v>0</v>
      </c>
      <c r="R531" s="85"/>
      <c r="S531" s="86">
        <f t="shared" si="292"/>
        <v>3</v>
      </c>
      <c r="T531" s="87">
        <f t="shared" si="287"/>
        <v>1</v>
      </c>
      <c r="AA531">
        <v>3</v>
      </c>
      <c r="AB531" t="s">
        <v>1032</v>
      </c>
      <c r="AD531">
        <f>AA531</f>
        <v>3</v>
      </c>
      <c r="AE531" s="89">
        <f t="shared" si="295"/>
        <v>149.39999999999998</v>
      </c>
    </row>
    <row r="532" spans="2:31" ht="20.100000000000001" hidden="1" customHeight="1">
      <c r="B532" s="77">
        <v>6</v>
      </c>
      <c r="C532" s="78" t="s">
        <v>1054</v>
      </c>
      <c r="D532" s="79" t="s">
        <v>1055</v>
      </c>
      <c r="E532" s="80" t="s">
        <v>1056</v>
      </c>
      <c r="F532" s="81">
        <v>49.8</v>
      </c>
      <c r="G532" s="222"/>
      <c r="H532" s="186"/>
      <c r="I532" s="186"/>
      <c r="J532" s="308"/>
      <c r="K532" s="227"/>
      <c r="L532" s="82">
        <f t="shared" si="296"/>
        <v>0</v>
      </c>
      <c r="M532" s="331"/>
      <c r="N532" s="161">
        <f t="shared" si="288"/>
        <v>0</v>
      </c>
      <c r="O532" s="161">
        <f t="shared" si="289"/>
        <v>0</v>
      </c>
      <c r="P532" s="187">
        <f t="shared" si="290"/>
        <v>0</v>
      </c>
      <c r="Q532" s="161">
        <f t="shared" si="291"/>
        <v>0</v>
      </c>
      <c r="R532" s="85"/>
      <c r="S532" s="86">
        <f t="shared" si="292"/>
        <v>4</v>
      </c>
      <c r="T532" s="87">
        <f t="shared" si="287"/>
        <v>-4</v>
      </c>
      <c r="U532">
        <v>4</v>
      </c>
    </row>
    <row r="533" spans="2:31" ht="20.100000000000001" hidden="1" customHeight="1">
      <c r="B533" s="77">
        <v>6</v>
      </c>
      <c r="C533" s="78" t="s">
        <v>1054</v>
      </c>
      <c r="D533" s="79" t="s">
        <v>1057</v>
      </c>
      <c r="E533" s="80" t="s">
        <v>1058</v>
      </c>
      <c r="F533" s="81">
        <v>140</v>
      </c>
      <c r="G533" s="222">
        <v>10</v>
      </c>
      <c r="H533" s="186"/>
      <c r="I533" s="186">
        <v>16</v>
      </c>
      <c r="J533" s="308"/>
      <c r="K533" s="227">
        <v>5</v>
      </c>
      <c r="L533" s="82">
        <f t="shared" si="296"/>
        <v>21</v>
      </c>
      <c r="M533" s="331">
        <v>21</v>
      </c>
      <c r="N533" s="161">
        <f t="shared" si="288"/>
        <v>2940</v>
      </c>
      <c r="O533" s="161">
        <f t="shared" si="289"/>
        <v>2940</v>
      </c>
      <c r="P533" s="187">
        <f t="shared" si="290"/>
        <v>0</v>
      </c>
      <c r="Q533" s="161">
        <f t="shared" si="291"/>
        <v>0</v>
      </c>
      <c r="R533" s="85"/>
      <c r="S533" s="86">
        <f t="shared" si="292"/>
        <v>1</v>
      </c>
      <c r="T533" s="87">
        <f t="shared" si="287"/>
        <v>20</v>
      </c>
      <c r="AA533">
        <v>1</v>
      </c>
      <c r="AB533" s="88" t="s">
        <v>1032</v>
      </c>
      <c r="AD533">
        <f>AA533</f>
        <v>1</v>
      </c>
      <c r="AE533" s="89">
        <f>AD533*F533</f>
        <v>140</v>
      </c>
    </row>
    <row r="534" spans="2:31" ht="20.100000000000001" hidden="1" customHeight="1">
      <c r="B534" s="77">
        <v>6</v>
      </c>
      <c r="C534" s="78" t="s">
        <v>1054</v>
      </c>
      <c r="D534" s="79" t="s">
        <v>1057</v>
      </c>
      <c r="E534" s="80" t="s">
        <v>1058</v>
      </c>
      <c r="F534" s="81">
        <v>140</v>
      </c>
      <c r="G534" s="222"/>
      <c r="H534" s="186"/>
      <c r="I534" s="186"/>
      <c r="J534" s="308"/>
      <c r="K534" s="227"/>
      <c r="L534" s="82">
        <f t="shared" si="296"/>
        <v>0</v>
      </c>
      <c r="M534" s="331"/>
      <c r="N534" s="161">
        <f t="shared" si="288"/>
        <v>0</v>
      </c>
      <c r="O534" s="161">
        <f t="shared" si="289"/>
        <v>0</v>
      </c>
      <c r="P534" s="187">
        <f t="shared" si="290"/>
        <v>0</v>
      </c>
      <c r="Q534" s="161">
        <f t="shared" si="291"/>
        <v>0</v>
      </c>
      <c r="R534" s="85"/>
      <c r="S534" s="86">
        <f t="shared" si="292"/>
        <v>13</v>
      </c>
      <c r="T534" s="87">
        <f t="shared" si="287"/>
        <v>-13</v>
      </c>
      <c r="U534">
        <v>13</v>
      </c>
    </row>
    <row r="535" spans="2:31" ht="20.100000000000001" hidden="1" customHeight="1">
      <c r="B535" s="77">
        <v>6</v>
      </c>
      <c r="C535" s="78" t="s">
        <v>1054</v>
      </c>
      <c r="D535" s="79" t="s">
        <v>1059</v>
      </c>
      <c r="E535" s="80" t="s">
        <v>1060</v>
      </c>
      <c r="F535" s="81">
        <v>25.8</v>
      </c>
      <c r="G535" s="222">
        <v>17</v>
      </c>
      <c r="H535" s="186"/>
      <c r="I535" s="186"/>
      <c r="J535" s="308"/>
      <c r="K535" s="227">
        <v>1</v>
      </c>
      <c r="L535" s="82">
        <f t="shared" si="296"/>
        <v>16</v>
      </c>
      <c r="M535" s="331">
        <v>16</v>
      </c>
      <c r="N535" s="161">
        <f t="shared" si="288"/>
        <v>412.8</v>
      </c>
      <c r="O535" s="161">
        <f t="shared" si="289"/>
        <v>412.8</v>
      </c>
      <c r="P535" s="187">
        <f t="shared" si="290"/>
        <v>0</v>
      </c>
      <c r="Q535" s="161">
        <f t="shared" si="291"/>
        <v>0</v>
      </c>
      <c r="R535" s="85"/>
      <c r="S535" s="86">
        <f t="shared" si="292"/>
        <v>18</v>
      </c>
      <c r="T535" s="87">
        <f t="shared" si="287"/>
        <v>-2</v>
      </c>
      <c r="W535">
        <v>18</v>
      </c>
    </row>
    <row r="536" spans="2:31" ht="20.100000000000001" hidden="1" customHeight="1">
      <c r="B536" s="77">
        <v>6</v>
      </c>
      <c r="C536" s="78" t="s">
        <v>1054</v>
      </c>
      <c r="D536" s="79" t="s">
        <v>1061</v>
      </c>
      <c r="E536" s="80" t="s">
        <v>1062</v>
      </c>
      <c r="F536" s="81">
        <v>26.2</v>
      </c>
      <c r="G536" s="222"/>
      <c r="H536" s="186"/>
      <c r="I536" s="186"/>
      <c r="J536" s="308"/>
      <c r="K536" s="227"/>
      <c r="L536" s="82">
        <f t="shared" si="296"/>
        <v>0</v>
      </c>
      <c r="M536" s="331"/>
      <c r="N536" s="161">
        <f t="shared" si="288"/>
        <v>0</v>
      </c>
      <c r="O536" s="161">
        <f t="shared" si="289"/>
        <v>0</v>
      </c>
      <c r="P536" s="187">
        <f t="shared" si="290"/>
        <v>0</v>
      </c>
      <c r="Q536" s="161">
        <f t="shared" si="291"/>
        <v>0</v>
      </c>
      <c r="R536" s="85"/>
      <c r="S536" s="86">
        <f t="shared" si="292"/>
        <v>0</v>
      </c>
      <c r="T536" s="87">
        <f t="shared" si="287"/>
        <v>0</v>
      </c>
    </row>
    <row r="537" spans="2:31" ht="20.100000000000001" hidden="1" customHeight="1">
      <c r="B537" s="77">
        <v>6</v>
      </c>
      <c r="C537" s="78" t="s">
        <v>1054</v>
      </c>
      <c r="D537" s="79" t="s">
        <v>1063</v>
      </c>
      <c r="E537" s="80" t="s">
        <v>1064</v>
      </c>
      <c r="F537" s="81">
        <v>48.6</v>
      </c>
      <c r="G537" s="222">
        <v>4</v>
      </c>
      <c r="H537" s="186"/>
      <c r="I537" s="186"/>
      <c r="J537" s="308"/>
      <c r="K537" s="227"/>
      <c r="L537" s="82">
        <f t="shared" si="296"/>
        <v>4</v>
      </c>
      <c r="M537" s="331">
        <v>4</v>
      </c>
      <c r="N537" s="161">
        <f t="shared" si="288"/>
        <v>194.4</v>
      </c>
      <c r="O537" s="161">
        <f t="shared" si="289"/>
        <v>194.4</v>
      </c>
      <c r="P537" s="187">
        <f t="shared" si="290"/>
        <v>0</v>
      </c>
      <c r="Q537" s="161">
        <f t="shared" si="291"/>
        <v>0</v>
      </c>
      <c r="R537" s="85"/>
      <c r="S537" s="86">
        <f t="shared" si="292"/>
        <v>10</v>
      </c>
      <c r="T537" s="87">
        <f t="shared" si="287"/>
        <v>-6</v>
      </c>
      <c r="W537">
        <v>10</v>
      </c>
    </row>
    <row r="538" spans="2:31" ht="20.100000000000001" hidden="1" customHeight="1">
      <c r="B538" s="77">
        <v>6</v>
      </c>
      <c r="C538" s="78" t="s">
        <v>1054</v>
      </c>
      <c r="D538" s="79" t="s">
        <v>1065</v>
      </c>
      <c r="E538" s="80" t="s">
        <v>1066</v>
      </c>
      <c r="F538" s="81">
        <v>25.8</v>
      </c>
      <c r="G538" s="222">
        <v>16</v>
      </c>
      <c r="H538" s="186"/>
      <c r="I538" s="186"/>
      <c r="J538" s="308"/>
      <c r="K538" s="227"/>
      <c r="L538" s="82">
        <f t="shared" si="296"/>
        <v>16</v>
      </c>
      <c r="M538" s="331">
        <v>16</v>
      </c>
      <c r="N538" s="161">
        <f t="shared" si="288"/>
        <v>412.8</v>
      </c>
      <c r="O538" s="161">
        <f t="shared" si="289"/>
        <v>412.8</v>
      </c>
      <c r="P538" s="187">
        <f t="shared" si="290"/>
        <v>0</v>
      </c>
      <c r="Q538" s="161">
        <f t="shared" si="291"/>
        <v>0</v>
      </c>
      <c r="R538" s="85"/>
      <c r="S538" s="86">
        <f t="shared" si="292"/>
        <v>17</v>
      </c>
      <c r="T538" s="87">
        <f t="shared" si="287"/>
        <v>-1</v>
      </c>
      <c r="U538">
        <v>17</v>
      </c>
    </row>
    <row r="539" spans="2:31" ht="20.100000000000001" hidden="1" customHeight="1">
      <c r="B539" s="77">
        <v>6</v>
      </c>
      <c r="C539" s="78" t="s">
        <v>1054</v>
      </c>
      <c r="D539" s="79">
        <v>4800110069319</v>
      </c>
      <c r="E539" s="80" t="s">
        <v>1067</v>
      </c>
      <c r="F539" s="81">
        <v>100.3</v>
      </c>
      <c r="G539" s="222">
        <v>71</v>
      </c>
      <c r="H539" s="186"/>
      <c r="I539" s="186"/>
      <c r="J539" s="308"/>
      <c r="K539" s="227"/>
      <c r="L539" s="82">
        <f t="shared" si="296"/>
        <v>71</v>
      </c>
      <c r="M539" s="331">
        <v>71</v>
      </c>
      <c r="N539" s="161">
        <f t="shared" si="288"/>
        <v>7121.3</v>
      </c>
      <c r="O539" s="161">
        <f t="shared" si="289"/>
        <v>7121.3</v>
      </c>
      <c r="P539" s="187">
        <f t="shared" si="290"/>
        <v>0</v>
      </c>
      <c r="Q539" s="161">
        <f t="shared" si="291"/>
        <v>0</v>
      </c>
      <c r="R539" s="91">
        <v>45980</v>
      </c>
      <c r="S539" s="86">
        <f t="shared" si="292"/>
        <v>71</v>
      </c>
      <c r="T539" s="87">
        <f t="shared" si="287"/>
        <v>0</v>
      </c>
      <c r="W539">
        <v>70</v>
      </c>
      <c r="X539" s="92" t="s">
        <v>1068</v>
      </c>
      <c r="AA539">
        <v>1</v>
      </c>
      <c r="AB539" s="88" t="s">
        <v>496</v>
      </c>
      <c r="AD539">
        <f>AA539+W539</f>
        <v>71</v>
      </c>
      <c r="AE539" s="89">
        <f>AD539*F539</f>
        <v>7121.3</v>
      </c>
    </row>
    <row r="540" spans="2:31" ht="20.100000000000001" hidden="1" customHeight="1">
      <c r="B540" s="77">
        <v>6</v>
      </c>
      <c r="C540" s="78" t="s">
        <v>1054</v>
      </c>
      <c r="D540" s="79" t="s">
        <v>1069</v>
      </c>
      <c r="E540" s="80" t="s">
        <v>1070</v>
      </c>
      <c r="F540" s="81">
        <v>73.86</v>
      </c>
      <c r="G540" s="222"/>
      <c r="H540" s="186"/>
      <c r="I540" s="186"/>
      <c r="J540" s="308"/>
      <c r="K540" s="227"/>
      <c r="L540" s="82">
        <f t="shared" si="296"/>
        <v>0</v>
      </c>
      <c r="M540" s="331"/>
      <c r="N540" s="161">
        <f t="shared" si="288"/>
        <v>0</v>
      </c>
      <c r="O540" s="161">
        <f t="shared" si="289"/>
        <v>0</v>
      </c>
      <c r="P540" s="187">
        <f t="shared" si="290"/>
        <v>0</v>
      </c>
      <c r="Q540" s="161">
        <f t="shared" si="291"/>
        <v>0</v>
      </c>
      <c r="R540" s="85"/>
      <c r="S540" s="86">
        <f t="shared" si="292"/>
        <v>0</v>
      </c>
      <c r="T540" s="87">
        <f t="shared" si="287"/>
        <v>0</v>
      </c>
    </row>
    <row r="541" spans="2:31" ht="20.100000000000001" hidden="1" customHeight="1">
      <c r="B541" s="77">
        <v>6</v>
      </c>
      <c r="C541" s="78" t="s">
        <v>1054</v>
      </c>
      <c r="D541" s="79" t="s">
        <v>1071</v>
      </c>
      <c r="E541" s="80" t="s">
        <v>1072</v>
      </c>
      <c r="F541" s="81">
        <v>39.85</v>
      </c>
      <c r="G541" s="222"/>
      <c r="H541" s="186"/>
      <c r="I541" s="186"/>
      <c r="J541" s="308"/>
      <c r="K541" s="227"/>
      <c r="L541" s="82">
        <f t="shared" si="296"/>
        <v>0</v>
      </c>
      <c r="M541" s="331"/>
      <c r="N541" s="161">
        <f t="shared" si="288"/>
        <v>0</v>
      </c>
      <c r="O541" s="161">
        <f t="shared" si="289"/>
        <v>0</v>
      </c>
      <c r="P541" s="187">
        <f t="shared" si="290"/>
        <v>0</v>
      </c>
      <c r="Q541" s="161">
        <f t="shared" si="291"/>
        <v>0</v>
      </c>
      <c r="R541" s="85"/>
      <c r="S541" s="86">
        <f t="shared" si="292"/>
        <v>0</v>
      </c>
      <c r="T541" s="87">
        <f t="shared" si="287"/>
        <v>0</v>
      </c>
    </row>
    <row r="542" spans="2:31" ht="20.100000000000001" hidden="1" customHeight="1">
      <c r="B542" s="77">
        <v>6</v>
      </c>
      <c r="C542" s="78" t="s">
        <v>1054</v>
      </c>
      <c r="D542" s="79" t="s">
        <v>1073</v>
      </c>
      <c r="E542" s="80" t="s">
        <v>1074</v>
      </c>
      <c r="F542" s="81">
        <v>129.1</v>
      </c>
      <c r="G542" s="222">
        <v>10</v>
      </c>
      <c r="H542" s="186"/>
      <c r="I542" s="186"/>
      <c r="J542" s="308"/>
      <c r="K542" s="227"/>
      <c r="L542" s="82">
        <f t="shared" si="296"/>
        <v>10</v>
      </c>
      <c r="M542" s="331">
        <v>10</v>
      </c>
      <c r="N542" s="161">
        <f t="shared" si="288"/>
        <v>1291</v>
      </c>
      <c r="O542" s="161">
        <f t="shared" si="289"/>
        <v>1291</v>
      </c>
      <c r="P542" s="187">
        <f t="shared" si="290"/>
        <v>0</v>
      </c>
      <c r="Q542" s="161">
        <f t="shared" si="291"/>
        <v>0</v>
      </c>
      <c r="R542" s="232"/>
      <c r="S542" s="86">
        <f t="shared" si="292"/>
        <v>10</v>
      </c>
      <c r="T542" s="87">
        <f t="shared" si="287"/>
        <v>0</v>
      </c>
      <c r="W542">
        <v>10</v>
      </c>
      <c r="X542" t="s">
        <v>121</v>
      </c>
      <c r="AD542">
        <f>W542</f>
        <v>10</v>
      </c>
      <c r="AE542" s="89">
        <f>AD542*F542</f>
        <v>1291</v>
      </c>
    </row>
    <row r="543" spans="2:31" ht="20.100000000000001" hidden="1" customHeight="1">
      <c r="B543" s="77">
        <v>6</v>
      </c>
      <c r="C543" s="78" t="s">
        <v>1054</v>
      </c>
      <c r="D543" s="79" t="s">
        <v>1075</v>
      </c>
      <c r="E543" s="80" t="s">
        <v>1076</v>
      </c>
      <c r="F543" s="81">
        <v>10.5</v>
      </c>
      <c r="G543" s="222"/>
      <c r="H543" s="186"/>
      <c r="I543" s="186"/>
      <c r="J543" s="308"/>
      <c r="K543" s="227"/>
      <c r="L543" s="82">
        <f t="shared" si="296"/>
        <v>0</v>
      </c>
      <c r="M543" s="331"/>
      <c r="N543" s="161">
        <f t="shared" si="288"/>
        <v>0</v>
      </c>
      <c r="O543" s="161">
        <f t="shared" si="289"/>
        <v>0</v>
      </c>
      <c r="P543" s="187">
        <f t="shared" si="290"/>
        <v>0</v>
      </c>
      <c r="Q543" s="161">
        <f t="shared" si="291"/>
        <v>0</v>
      </c>
      <c r="R543" s="85"/>
      <c r="S543" s="86">
        <f t="shared" si="292"/>
        <v>0</v>
      </c>
      <c r="T543" s="87">
        <f t="shared" si="287"/>
        <v>0</v>
      </c>
    </row>
    <row r="544" spans="2:31" ht="20.100000000000001" hidden="1" customHeight="1">
      <c r="B544" s="77">
        <v>6</v>
      </c>
      <c r="C544" s="78" t="s">
        <v>1054</v>
      </c>
      <c r="D544" s="79" t="s">
        <v>1077</v>
      </c>
      <c r="E544" s="80" t="s">
        <v>1078</v>
      </c>
      <c r="F544" s="81">
        <v>29.17</v>
      </c>
      <c r="G544" s="222">
        <v>3</v>
      </c>
      <c r="H544" s="186"/>
      <c r="I544" s="186"/>
      <c r="J544" s="308"/>
      <c r="K544" s="227"/>
      <c r="L544" s="82">
        <f t="shared" si="296"/>
        <v>3</v>
      </c>
      <c r="M544" s="331">
        <v>3</v>
      </c>
      <c r="N544" s="161">
        <f t="shared" si="288"/>
        <v>87.51</v>
      </c>
      <c r="O544" s="161">
        <f t="shared" si="289"/>
        <v>87.51</v>
      </c>
      <c r="P544" s="187">
        <f t="shared" si="290"/>
        <v>0</v>
      </c>
      <c r="Q544" s="161">
        <f t="shared" si="291"/>
        <v>0</v>
      </c>
      <c r="R544" s="232"/>
      <c r="S544" s="86">
        <f t="shared" si="292"/>
        <v>10</v>
      </c>
      <c r="T544" s="87">
        <f t="shared" si="287"/>
        <v>-7</v>
      </c>
      <c r="U544">
        <v>5</v>
      </c>
      <c r="W544">
        <v>5</v>
      </c>
    </row>
    <row r="545" spans="2:31" ht="20.100000000000001" hidden="1" customHeight="1">
      <c r="B545" s="77">
        <v>6</v>
      </c>
      <c r="C545" s="78" t="s">
        <v>1054</v>
      </c>
      <c r="D545" s="79" t="s">
        <v>1079</v>
      </c>
      <c r="E545" s="80" t="s">
        <v>1080</v>
      </c>
      <c r="F545" s="81">
        <v>32</v>
      </c>
      <c r="G545" s="222">
        <v>159</v>
      </c>
      <c r="H545" s="186"/>
      <c r="I545" s="186"/>
      <c r="J545" s="308"/>
      <c r="K545" s="227"/>
      <c r="L545" s="82">
        <f t="shared" si="296"/>
        <v>159</v>
      </c>
      <c r="M545" s="331">
        <v>159</v>
      </c>
      <c r="N545" s="161">
        <f t="shared" si="288"/>
        <v>5088</v>
      </c>
      <c r="O545" s="161">
        <f t="shared" si="289"/>
        <v>5088</v>
      </c>
      <c r="P545" s="187">
        <f t="shared" si="290"/>
        <v>0</v>
      </c>
      <c r="Q545" s="161">
        <f t="shared" si="291"/>
        <v>0</v>
      </c>
      <c r="R545" s="85" t="s">
        <v>1081</v>
      </c>
      <c r="S545" s="86">
        <f t="shared" si="292"/>
        <v>147</v>
      </c>
      <c r="T545" s="87">
        <f t="shared" si="287"/>
        <v>12</v>
      </c>
      <c r="U545">
        <v>15</v>
      </c>
      <c r="W545">
        <f>48+84</f>
        <v>132</v>
      </c>
      <c r="X545" t="s">
        <v>1082</v>
      </c>
    </row>
    <row r="546" spans="2:31" ht="20.100000000000001" hidden="1" customHeight="1">
      <c r="B546" s="77">
        <v>6</v>
      </c>
      <c r="C546" s="78" t="s">
        <v>1054</v>
      </c>
      <c r="D546" s="79" t="s">
        <v>1083</v>
      </c>
      <c r="E546" s="80" t="s">
        <v>1084</v>
      </c>
      <c r="F546" s="81">
        <v>7.88</v>
      </c>
      <c r="G546" s="222"/>
      <c r="H546" s="186"/>
      <c r="I546" s="186"/>
      <c r="J546" s="308"/>
      <c r="K546" s="227"/>
      <c r="L546" s="82">
        <f t="shared" si="296"/>
        <v>0</v>
      </c>
      <c r="M546" s="331"/>
      <c r="N546" s="161">
        <f t="shared" si="288"/>
        <v>0</v>
      </c>
      <c r="O546" s="161">
        <f t="shared" si="289"/>
        <v>0</v>
      </c>
      <c r="P546" s="187">
        <f t="shared" si="290"/>
        <v>0</v>
      </c>
      <c r="Q546" s="161">
        <f t="shared" si="291"/>
        <v>0</v>
      </c>
      <c r="R546" s="85" t="s">
        <v>1085</v>
      </c>
      <c r="S546" s="86">
        <f t="shared" si="292"/>
        <v>0</v>
      </c>
      <c r="T546" s="87">
        <f t="shared" si="287"/>
        <v>0</v>
      </c>
    </row>
    <row r="547" spans="2:31" ht="20.100000000000001" hidden="1" customHeight="1">
      <c r="B547" s="77">
        <v>6</v>
      </c>
      <c r="C547" s="78" t="s">
        <v>1054</v>
      </c>
      <c r="D547" s="79" t="s">
        <v>1086</v>
      </c>
      <c r="E547" s="80" t="s">
        <v>1087</v>
      </c>
      <c r="F547" s="81">
        <v>15.2</v>
      </c>
      <c r="G547" s="222">
        <v>71</v>
      </c>
      <c r="H547" s="186"/>
      <c r="I547" s="186"/>
      <c r="J547" s="308"/>
      <c r="K547" s="227"/>
      <c r="L547" s="82">
        <f t="shared" si="296"/>
        <v>71</v>
      </c>
      <c r="M547" s="331">
        <v>71</v>
      </c>
      <c r="N547" s="161">
        <f t="shared" si="288"/>
        <v>1079.2</v>
      </c>
      <c r="O547" s="161">
        <f t="shared" si="289"/>
        <v>1079.2</v>
      </c>
      <c r="P547" s="187">
        <f t="shared" si="290"/>
        <v>0</v>
      </c>
      <c r="Q547" s="161">
        <f t="shared" si="291"/>
        <v>0</v>
      </c>
      <c r="R547" s="85"/>
      <c r="S547" s="86">
        <f t="shared" si="292"/>
        <v>71</v>
      </c>
      <c r="T547" s="87">
        <f t="shared" si="287"/>
        <v>0</v>
      </c>
      <c r="U547">
        <f>40+31</f>
        <v>71</v>
      </c>
    </row>
    <row r="548" spans="2:31" ht="20.100000000000001" hidden="1" customHeight="1">
      <c r="B548" s="77">
        <v>6</v>
      </c>
      <c r="C548" s="78" t="s">
        <v>1054</v>
      </c>
      <c r="D548" s="79" t="s">
        <v>1088</v>
      </c>
      <c r="E548" s="80" t="s">
        <v>1089</v>
      </c>
      <c r="F548" s="81">
        <v>15.35</v>
      </c>
      <c r="G548" s="222">
        <v>47</v>
      </c>
      <c r="H548" s="186"/>
      <c r="I548" s="186"/>
      <c r="J548" s="308"/>
      <c r="K548" s="227"/>
      <c r="L548" s="82">
        <f t="shared" si="296"/>
        <v>47</v>
      </c>
      <c r="M548" s="331">
        <v>47</v>
      </c>
      <c r="N548" s="161">
        <f t="shared" si="288"/>
        <v>721.44999999999993</v>
      </c>
      <c r="O548" s="161">
        <f t="shared" si="289"/>
        <v>721.44999999999993</v>
      </c>
      <c r="P548" s="187">
        <f t="shared" si="290"/>
        <v>0</v>
      </c>
      <c r="Q548" s="161">
        <f t="shared" si="291"/>
        <v>0</v>
      </c>
      <c r="R548" s="85"/>
      <c r="S548" s="86">
        <f t="shared" si="292"/>
        <v>47</v>
      </c>
      <c r="T548" s="87">
        <f t="shared" si="287"/>
        <v>0</v>
      </c>
      <c r="W548">
        <v>47</v>
      </c>
      <c r="X548" t="s">
        <v>115</v>
      </c>
      <c r="AD548">
        <f t="shared" ref="AD548" si="297">W548</f>
        <v>47</v>
      </c>
      <c r="AE548" s="89">
        <f>AD548*F548</f>
        <v>721.44999999999993</v>
      </c>
    </row>
    <row r="549" spans="2:31" ht="20.100000000000001" hidden="1" customHeight="1">
      <c r="B549" s="77">
        <v>6</v>
      </c>
      <c r="C549" s="78" t="s">
        <v>1054</v>
      </c>
      <c r="D549" s="79" t="s">
        <v>1090</v>
      </c>
      <c r="E549" s="80" t="s">
        <v>1091</v>
      </c>
      <c r="F549" s="81">
        <v>30.83</v>
      </c>
      <c r="G549" s="222">
        <v>1</v>
      </c>
      <c r="H549" s="186"/>
      <c r="I549" s="186"/>
      <c r="J549" s="308"/>
      <c r="K549" s="227"/>
      <c r="L549" s="82">
        <f t="shared" si="296"/>
        <v>1</v>
      </c>
      <c r="M549" s="331">
        <v>1</v>
      </c>
      <c r="N549" s="161">
        <f t="shared" si="288"/>
        <v>30.83</v>
      </c>
      <c r="O549" s="161">
        <f t="shared" si="289"/>
        <v>30.83</v>
      </c>
      <c r="P549" s="187">
        <f t="shared" si="290"/>
        <v>0</v>
      </c>
      <c r="Q549" s="161">
        <f t="shared" si="291"/>
        <v>0</v>
      </c>
      <c r="R549" s="85"/>
      <c r="S549" s="86">
        <f t="shared" si="292"/>
        <v>73</v>
      </c>
      <c r="T549" s="87">
        <f t="shared" si="287"/>
        <v>-72</v>
      </c>
      <c r="W549">
        <f>48+25</f>
        <v>73</v>
      </c>
    </row>
    <row r="550" spans="2:31" ht="20.100000000000001" hidden="1" customHeight="1">
      <c r="B550" s="77">
        <v>6</v>
      </c>
      <c r="C550" s="78" t="s">
        <v>1054</v>
      </c>
      <c r="D550" s="79" t="s">
        <v>1092</v>
      </c>
      <c r="E550" s="80" t="s">
        <v>1093</v>
      </c>
      <c r="F550" s="81">
        <v>8.75</v>
      </c>
      <c r="G550" s="222">
        <v>114</v>
      </c>
      <c r="H550" s="186"/>
      <c r="I550" s="186"/>
      <c r="J550" s="308"/>
      <c r="K550" s="227"/>
      <c r="L550" s="82">
        <f t="shared" ref="L550" si="298">G550+I550-J550-K550+H550</f>
        <v>114</v>
      </c>
      <c r="M550" s="331">
        <v>114</v>
      </c>
      <c r="N550" s="161">
        <f t="shared" ref="N550" si="299">F550*L550</f>
        <v>997.5</v>
      </c>
      <c r="O550" s="161">
        <f t="shared" ref="O550" si="300">M550*F550</f>
        <v>997.5</v>
      </c>
      <c r="P550" s="187">
        <f t="shared" ref="P550" si="301">L550-M550</f>
        <v>0</v>
      </c>
      <c r="Q550" s="161">
        <f t="shared" ref="Q550" si="302">N550-O550</f>
        <v>0</v>
      </c>
      <c r="R550" s="91">
        <v>45709</v>
      </c>
      <c r="S550" s="86">
        <f t="shared" ref="S550" si="303">U550+Y550+W550+AA550</f>
        <v>118</v>
      </c>
      <c r="T550" s="87">
        <f t="shared" ref="T550" si="304">M550-S550</f>
        <v>-4</v>
      </c>
      <c r="U550">
        <v>45</v>
      </c>
      <c r="W550">
        <v>73</v>
      </c>
      <c r="X550" t="s">
        <v>1094</v>
      </c>
      <c r="AD550">
        <f t="shared" ref="AD550" si="305">W550</f>
        <v>73</v>
      </c>
      <c r="AE550" s="89">
        <f>AD550*F550</f>
        <v>638.75</v>
      </c>
    </row>
    <row r="551" spans="2:31" ht="20.100000000000001" hidden="1" customHeight="1">
      <c r="B551" s="77">
        <v>6</v>
      </c>
      <c r="C551" s="78" t="s">
        <v>1054</v>
      </c>
      <c r="D551" s="79" t="s">
        <v>1092</v>
      </c>
      <c r="E551" s="80" t="s">
        <v>1093</v>
      </c>
      <c r="F551" s="81">
        <v>9</v>
      </c>
      <c r="G551" s="222"/>
      <c r="H551" s="186"/>
      <c r="I551" s="186">
        <v>24</v>
      </c>
      <c r="J551" s="308"/>
      <c r="K551" s="227">
        <v>2</v>
      </c>
      <c r="L551" s="82">
        <f t="shared" si="296"/>
        <v>22</v>
      </c>
      <c r="M551" s="331">
        <v>22</v>
      </c>
      <c r="N551" s="161">
        <f t="shared" si="288"/>
        <v>198</v>
      </c>
      <c r="O551" s="161">
        <f t="shared" si="289"/>
        <v>198</v>
      </c>
      <c r="P551" s="187">
        <f t="shared" si="290"/>
        <v>0</v>
      </c>
      <c r="Q551" s="161">
        <f t="shared" si="291"/>
        <v>0</v>
      </c>
      <c r="R551" s="91">
        <v>45709</v>
      </c>
      <c r="S551" s="86">
        <f t="shared" si="292"/>
        <v>118</v>
      </c>
      <c r="T551" s="87">
        <f t="shared" si="287"/>
        <v>-96</v>
      </c>
      <c r="U551">
        <v>45</v>
      </c>
      <c r="W551">
        <v>73</v>
      </c>
      <c r="X551" t="s">
        <v>1094</v>
      </c>
      <c r="AD551">
        <f t="shared" ref="AD551:AD552" si="306">W551</f>
        <v>73</v>
      </c>
      <c r="AE551" s="89">
        <f>AD551*F551</f>
        <v>657</v>
      </c>
    </row>
    <row r="552" spans="2:31" ht="20.100000000000001" hidden="1" customHeight="1">
      <c r="B552" s="77">
        <v>6</v>
      </c>
      <c r="C552" s="78" t="s">
        <v>1054</v>
      </c>
      <c r="D552" s="79" t="s">
        <v>1095</v>
      </c>
      <c r="E552" s="80" t="s">
        <v>1096</v>
      </c>
      <c r="F552" s="81">
        <v>8.75</v>
      </c>
      <c r="G552" s="222">
        <v>41</v>
      </c>
      <c r="H552" s="186"/>
      <c r="I552" s="186"/>
      <c r="J552" s="308"/>
      <c r="K552" s="227">
        <v>1</v>
      </c>
      <c r="L552" s="82">
        <f t="shared" si="296"/>
        <v>40</v>
      </c>
      <c r="M552" s="331">
        <v>40</v>
      </c>
      <c r="N552" s="161">
        <f t="shared" si="288"/>
        <v>350</v>
      </c>
      <c r="O552" s="161">
        <f t="shared" si="289"/>
        <v>350</v>
      </c>
      <c r="P552" s="187">
        <f t="shared" si="290"/>
        <v>0</v>
      </c>
      <c r="Q552" s="161">
        <f t="shared" si="291"/>
        <v>0</v>
      </c>
      <c r="R552" s="85"/>
      <c r="S552" s="86">
        <f t="shared" si="292"/>
        <v>39</v>
      </c>
      <c r="T552" s="87">
        <f t="shared" si="287"/>
        <v>1</v>
      </c>
      <c r="U552">
        <v>28</v>
      </c>
      <c r="W552">
        <v>11</v>
      </c>
      <c r="X552" t="s">
        <v>121</v>
      </c>
      <c r="AD552">
        <f t="shared" si="306"/>
        <v>11</v>
      </c>
      <c r="AE552" s="89">
        <f>AD552*F552</f>
        <v>96.25</v>
      </c>
    </row>
    <row r="553" spans="2:31" ht="20.100000000000001" hidden="1" customHeight="1">
      <c r="B553" s="77">
        <v>6</v>
      </c>
      <c r="C553" s="78" t="s">
        <v>1054</v>
      </c>
      <c r="D553" s="79" t="s">
        <v>1097</v>
      </c>
      <c r="E553" s="80" t="s">
        <v>1098</v>
      </c>
      <c r="F553" s="81">
        <v>21.5</v>
      </c>
      <c r="G553" s="222"/>
      <c r="H553" s="186"/>
      <c r="I553" s="186"/>
      <c r="J553" s="308"/>
      <c r="K553" s="227"/>
      <c r="L553" s="82">
        <f t="shared" si="296"/>
        <v>0</v>
      </c>
      <c r="M553" s="331"/>
      <c r="N553" s="161">
        <f t="shared" si="288"/>
        <v>0</v>
      </c>
      <c r="O553" s="161">
        <f t="shared" si="289"/>
        <v>0</v>
      </c>
      <c r="P553" s="187">
        <f t="shared" si="290"/>
        <v>0</v>
      </c>
      <c r="Q553" s="161">
        <f t="shared" si="291"/>
        <v>0</v>
      </c>
      <c r="R553" s="85"/>
      <c r="S553" s="86">
        <f t="shared" si="292"/>
        <v>0</v>
      </c>
      <c r="T553" s="87">
        <f t="shared" si="287"/>
        <v>0</v>
      </c>
    </row>
    <row r="554" spans="2:31" ht="20.100000000000001" hidden="1" customHeight="1">
      <c r="B554" s="77">
        <v>6</v>
      </c>
      <c r="C554" s="78" t="s">
        <v>1054</v>
      </c>
      <c r="D554" s="79" t="s">
        <v>1099</v>
      </c>
      <c r="E554" s="80" t="s">
        <v>1100</v>
      </c>
      <c r="F554" s="81">
        <v>21.5</v>
      </c>
      <c r="G554" s="222"/>
      <c r="H554" s="186"/>
      <c r="I554" s="186"/>
      <c r="J554" s="308"/>
      <c r="K554" s="227"/>
      <c r="L554" s="82">
        <f t="shared" si="296"/>
        <v>0</v>
      </c>
      <c r="M554" s="331"/>
      <c r="N554" s="161">
        <f t="shared" si="288"/>
        <v>0</v>
      </c>
      <c r="O554" s="161">
        <f t="shared" si="289"/>
        <v>0</v>
      </c>
      <c r="P554" s="187">
        <f t="shared" si="290"/>
        <v>0</v>
      </c>
      <c r="Q554" s="161">
        <f t="shared" si="291"/>
        <v>0</v>
      </c>
      <c r="R554" s="85"/>
      <c r="S554" s="86">
        <f t="shared" si="292"/>
        <v>0</v>
      </c>
      <c r="T554" s="87">
        <f t="shared" si="287"/>
        <v>0</v>
      </c>
    </row>
    <row r="555" spans="2:31" ht="20.100000000000001" hidden="1" customHeight="1">
      <c r="B555" s="77">
        <v>6</v>
      </c>
      <c r="C555" s="78" t="s">
        <v>1054</v>
      </c>
      <c r="D555" s="79" t="s">
        <v>1101</v>
      </c>
      <c r="E555" s="80" t="s">
        <v>1102</v>
      </c>
      <c r="F555" s="81">
        <v>21.5</v>
      </c>
      <c r="G555" s="222"/>
      <c r="H555" s="186"/>
      <c r="I555" s="186"/>
      <c r="J555" s="308"/>
      <c r="K555" s="227"/>
      <c r="L555" s="82">
        <f t="shared" si="296"/>
        <v>0</v>
      </c>
      <c r="M555" s="331"/>
      <c r="N555" s="161">
        <f t="shared" si="288"/>
        <v>0</v>
      </c>
      <c r="O555" s="161">
        <f t="shared" si="289"/>
        <v>0</v>
      </c>
      <c r="P555" s="187">
        <f t="shared" si="290"/>
        <v>0</v>
      </c>
      <c r="Q555" s="161">
        <f t="shared" si="291"/>
        <v>0</v>
      </c>
      <c r="R555" s="85"/>
      <c r="S555" s="86">
        <f t="shared" si="292"/>
        <v>0</v>
      </c>
      <c r="T555" s="87">
        <f t="shared" si="287"/>
        <v>0</v>
      </c>
    </row>
    <row r="556" spans="2:31" ht="20.100000000000001" hidden="1" customHeight="1">
      <c r="B556" s="77">
        <v>6</v>
      </c>
      <c r="C556" s="78" t="s">
        <v>1054</v>
      </c>
      <c r="D556" s="79" t="s">
        <v>1103</v>
      </c>
      <c r="E556" s="80" t="s">
        <v>1104</v>
      </c>
      <c r="F556" s="81">
        <v>21.5</v>
      </c>
      <c r="G556" s="222"/>
      <c r="H556" s="186"/>
      <c r="I556" s="186"/>
      <c r="J556" s="308"/>
      <c r="K556" s="227"/>
      <c r="L556" s="82">
        <f t="shared" si="296"/>
        <v>0</v>
      </c>
      <c r="M556" s="331"/>
      <c r="N556" s="161">
        <f t="shared" si="288"/>
        <v>0</v>
      </c>
      <c r="O556" s="161">
        <f t="shared" si="289"/>
        <v>0</v>
      </c>
      <c r="P556" s="187">
        <f t="shared" si="290"/>
        <v>0</v>
      </c>
      <c r="Q556" s="161">
        <f t="shared" si="291"/>
        <v>0</v>
      </c>
      <c r="R556" s="232"/>
      <c r="S556" s="86">
        <f t="shared" si="292"/>
        <v>0</v>
      </c>
      <c r="T556" s="87">
        <f t="shared" si="287"/>
        <v>0</v>
      </c>
    </row>
    <row r="557" spans="2:31" ht="20.100000000000001" hidden="1" customHeight="1">
      <c r="B557" s="77">
        <v>6</v>
      </c>
      <c r="C557" s="78" t="s">
        <v>1054</v>
      </c>
      <c r="D557" s="79" t="s">
        <v>1105</v>
      </c>
      <c r="E557" s="80" t="s">
        <v>1106</v>
      </c>
      <c r="F557" s="81">
        <v>21.5</v>
      </c>
      <c r="G557" s="222"/>
      <c r="H557" s="186"/>
      <c r="I557" s="186"/>
      <c r="J557" s="308"/>
      <c r="K557" s="227"/>
      <c r="L557" s="82">
        <f t="shared" si="296"/>
        <v>0</v>
      </c>
      <c r="M557" s="331"/>
      <c r="N557" s="161">
        <f t="shared" si="288"/>
        <v>0</v>
      </c>
      <c r="O557" s="161">
        <f t="shared" si="289"/>
        <v>0</v>
      </c>
      <c r="P557" s="187">
        <f t="shared" si="290"/>
        <v>0</v>
      </c>
      <c r="Q557" s="161">
        <f t="shared" si="291"/>
        <v>0</v>
      </c>
      <c r="R557" s="85"/>
      <c r="S557" s="86">
        <f t="shared" si="292"/>
        <v>0</v>
      </c>
      <c r="T557" s="87">
        <f t="shared" si="287"/>
        <v>0</v>
      </c>
    </row>
    <row r="558" spans="2:31" ht="20.100000000000001" hidden="1" customHeight="1">
      <c r="B558" s="77">
        <v>6</v>
      </c>
      <c r="C558" s="78" t="s">
        <v>1054</v>
      </c>
      <c r="D558" s="79" t="s">
        <v>1107</v>
      </c>
      <c r="E558" s="80" t="s">
        <v>1108</v>
      </c>
      <c r="F558" s="81">
        <v>25.5</v>
      </c>
      <c r="G558" s="222"/>
      <c r="H558" s="186"/>
      <c r="I558" s="186"/>
      <c r="J558" s="308"/>
      <c r="K558" s="227"/>
      <c r="L558" s="82">
        <f t="shared" si="296"/>
        <v>0</v>
      </c>
      <c r="M558" s="331"/>
      <c r="N558" s="161">
        <f t="shared" si="288"/>
        <v>0</v>
      </c>
      <c r="O558" s="161">
        <f t="shared" si="289"/>
        <v>0</v>
      </c>
      <c r="P558" s="187">
        <f t="shared" si="290"/>
        <v>0</v>
      </c>
      <c r="Q558" s="161">
        <f t="shared" si="291"/>
        <v>0</v>
      </c>
      <c r="R558" s="85"/>
      <c r="S558" s="86">
        <f t="shared" si="292"/>
        <v>0</v>
      </c>
      <c r="T558" s="87">
        <f t="shared" si="287"/>
        <v>0</v>
      </c>
    </row>
    <row r="559" spans="2:31" ht="20.100000000000001" hidden="1" customHeight="1">
      <c r="B559" s="77">
        <v>6</v>
      </c>
      <c r="C559" s="78" t="s">
        <v>1054</v>
      </c>
      <c r="D559" s="79" t="s">
        <v>1109</v>
      </c>
      <c r="E559" s="80" t="s">
        <v>1110</v>
      </c>
      <c r="F559" s="81">
        <v>25.5</v>
      </c>
      <c r="G559" s="222"/>
      <c r="H559" s="186"/>
      <c r="I559" s="186"/>
      <c r="J559" s="308"/>
      <c r="K559" s="227"/>
      <c r="L559" s="82">
        <f t="shared" si="296"/>
        <v>0</v>
      </c>
      <c r="M559" s="331"/>
      <c r="N559" s="161">
        <f t="shared" si="288"/>
        <v>0</v>
      </c>
      <c r="O559" s="161">
        <f t="shared" si="289"/>
        <v>0</v>
      </c>
      <c r="P559" s="187">
        <f t="shared" si="290"/>
        <v>0</v>
      </c>
      <c r="Q559" s="161">
        <f t="shared" si="291"/>
        <v>0</v>
      </c>
      <c r="R559" s="85" t="s">
        <v>1111</v>
      </c>
      <c r="S559" s="86">
        <f t="shared" si="292"/>
        <v>1</v>
      </c>
      <c r="T559" s="87">
        <f t="shared" si="287"/>
        <v>-1</v>
      </c>
      <c r="W559">
        <v>1</v>
      </c>
      <c r="X559" t="s">
        <v>121</v>
      </c>
      <c r="AD559">
        <f t="shared" ref="AD559:AD560" si="307">W559</f>
        <v>1</v>
      </c>
      <c r="AE559" s="89">
        <f>AD559*F559</f>
        <v>25.5</v>
      </c>
    </row>
    <row r="560" spans="2:31" ht="20.100000000000001" hidden="1" customHeight="1">
      <c r="B560" s="77">
        <v>6</v>
      </c>
      <c r="C560" s="78" t="s">
        <v>1054</v>
      </c>
      <c r="D560" s="79" t="s">
        <v>1112</v>
      </c>
      <c r="E560" s="80" t="s">
        <v>1113</v>
      </c>
      <c r="F560" s="81">
        <v>21.5</v>
      </c>
      <c r="G560" s="222"/>
      <c r="H560" s="186"/>
      <c r="I560" s="186"/>
      <c r="J560" s="308"/>
      <c r="K560" s="227"/>
      <c r="L560" s="82">
        <f t="shared" si="296"/>
        <v>0</v>
      </c>
      <c r="M560" s="331"/>
      <c r="N560" s="161">
        <f t="shared" si="288"/>
        <v>0</v>
      </c>
      <c r="O560" s="161">
        <f t="shared" si="289"/>
        <v>0</v>
      </c>
      <c r="P560" s="187">
        <f t="shared" si="290"/>
        <v>0</v>
      </c>
      <c r="Q560" s="161">
        <f t="shared" si="291"/>
        <v>0</v>
      </c>
      <c r="R560" s="85" t="s">
        <v>1114</v>
      </c>
      <c r="S560" s="86">
        <f t="shared" si="292"/>
        <v>1</v>
      </c>
      <c r="T560" s="87">
        <f t="shared" si="287"/>
        <v>-1</v>
      </c>
      <c r="W560">
        <v>1</v>
      </c>
      <c r="X560" t="s">
        <v>121</v>
      </c>
      <c r="AD560">
        <f t="shared" si="307"/>
        <v>1</v>
      </c>
      <c r="AE560" s="89">
        <f>AD560*F560</f>
        <v>21.5</v>
      </c>
    </row>
    <row r="561" spans="2:31" ht="20.100000000000001" hidden="1" customHeight="1">
      <c r="B561" s="77">
        <v>6</v>
      </c>
      <c r="C561" s="78" t="s">
        <v>1054</v>
      </c>
      <c r="D561" s="79" t="s">
        <v>1115</v>
      </c>
      <c r="E561" s="80" t="s">
        <v>1116</v>
      </c>
      <c r="F561" s="81">
        <v>21.5</v>
      </c>
      <c r="G561" s="222"/>
      <c r="H561" s="186"/>
      <c r="I561" s="186"/>
      <c r="J561" s="308"/>
      <c r="K561" s="227"/>
      <c r="L561" s="82">
        <f t="shared" si="296"/>
        <v>0</v>
      </c>
      <c r="M561" s="331"/>
      <c r="N561" s="161">
        <f t="shared" si="288"/>
        <v>0</v>
      </c>
      <c r="O561" s="161">
        <f t="shared" si="289"/>
        <v>0</v>
      </c>
      <c r="P561" s="187">
        <f t="shared" si="290"/>
        <v>0</v>
      </c>
      <c r="Q561" s="161">
        <f t="shared" si="291"/>
        <v>0</v>
      </c>
      <c r="R561" s="232"/>
      <c r="S561" s="86">
        <f t="shared" si="292"/>
        <v>0</v>
      </c>
      <c r="T561" s="87">
        <f t="shared" si="287"/>
        <v>0</v>
      </c>
    </row>
    <row r="562" spans="2:31" ht="20.100000000000001" hidden="1" customHeight="1">
      <c r="B562" s="77">
        <v>6</v>
      </c>
      <c r="C562" s="78" t="s">
        <v>1054</v>
      </c>
      <c r="D562" s="79" t="s">
        <v>1117</v>
      </c>
      <c r="E562" s="80" t="s">
        <v>1118</v>
      </c>
      <c r="F562" s="81">
        <v>10</v>
      </c>
      <c r="G562" s="222"/>
      <c r="H562" s="186"/>
      <c r="I562" s="186"/>
      <c r="J562" s="308"/>
      <c r="K562" s="227"/>
      <c r="L562" s="82">
        <f t="shared" si="296"/>
        <v>0</v>
      </c>
      <c r="M562" s="331"/>
      <c r="N562" s="161">
        <f t="shared" si="288"/>
        <v>0</v>
      </c>
      <c r="O562" s="161">
        <f t="shared" si="289"/>
        <v>0</v>
      </c>
      <c r="P562" s="187">
        <f t="shared" si="290"/>
        <v>0</v>
      </c>
      <c r="Q562" s="161">
        <f t="shared" si="291"/>
        <v>0</v>
      </c>
      <c r="R562" s="85"/>
      <c r="S562" s="86">
        <f t="shared" si="292"/>
        <v>0</v>
      </c>
      <c r="T562" s="87">
        <f t="shared" si="287"/>
        <v>0</v>
      </c>
    </row>
    <row r="563" spans="2:31" ht="20.100000000000001" hidden="1" customHeight="1">
      <c r="B563" s="77">
        <v>6</v>
      </c>
      <c r="C563" s="78" t="s">
        <v>1054</v>
      </c>
      <c r="D563" s="79" t="s">
        <v>1119</v>
      </c>
      <c r="E563" s="80" t="s">
        <v>1120</v>
      </c>
      <c r="F563" s="81">
        <v>18.75</v>
      </c>
      <c r="G563" s="222"/>
      <c r="H563" s="186"/>
      <c r="I563" s="186"/>
      <c r="J563" s="308"/>
      <c r="K563" s="227"/>
      <c r="L563" s="82">
        <f t="shared" si="296"/>
        <v>0</v>
      </c>
      <c r="M563" s="331"/>
      <c r="N563" s="161">
        <f t="shared" si="288"/>
        <v>0</v>
      </c>
      <c r="O563" s="161">
        <f t="shared" si="289"/>
        <v>0</v>
      </c>
      <c r="P563" s="187">
        <f t="shared" si="290"/>
        <v>0</v>
      </c>
      <c r="Q563" s="161">
        <f t="shared" si="291"/>
        <v>0</v>
      </c>
      <c r="R563" s="85"/>
      <c r="S563" s="86">
        <f t="shared" si="292"/>
        <v>0</v>
      </c>
      <c r="T563" s="87">
        <f t="shared" si="287"/>
        <v>0</v>
      </c>
    </row>
    <row r="564" spans="2:31" ht="20.100000000000001" hidden="1" customHeight="1">
      <c r="B564" s="77">
        <v>6</v>
      </c>
      <c r="C564" s="78" t="s">
        <v>1054</v>
      </c>
      <c r="D564" s="79" t="s">
        <v>1119</v>
      </c>
      <c r="E564" s="80" t="s">
        <v>1120</v>
      </c>
      <c r="F564" s="81">
        <v>18.75</v>
      </c>
      <c r="G564" s="222">
        <v>9</v>
      </c>
      <c r="H564" s="186"/>
      <c r="I564" s="186"/>
      <c r="J564" s="308"/>
      <c r="K564" s="227"/>
      <c r="L564" s="82">
        <f t="shared" si="296"/>
        <v>9</v>
      </c>
      <c r="M564" s="331">
        <v>9</v>
      </c>
      <c r="N564" s="161">
        <f t="shared" si="288"/>
        <v>168.75</v>
      </c>
      <c r="O564" s="161">
        <f t="shared" si="289"/>
        <v>168.75</v>
      </c>
      <c r="P564" s="187">
        <f t="shared" si="290"/>
        <v>0</v>
      </c>
      <c r="Q564" s="161">
        <f t="shared" si="291"/>
        <v>0</v>
      </c>
      <c r="R564" s="85"/>
      <c r="S564" s="86">
        <f t="shared" si="292"/>
        <v>11</v>
      </c>
      <c r="T564" s="87">
        <f t="shared" si="287"/>
        <v>-2</v>
      </c>
      <c r="U564">
        <v>11</v>
      </c>
    </row>
    <row r="565" spans="2:31" ht="20.100000000000001" hidden="1" customHeight="1">
      <c r="B565" s="77">
        <v>6</v>
      </c>
      <c r="C565" s="78" t="s">
        <v>1054</v>
      </c>
      <c r="D565" s="79" t="s">
        <v>1121</v>
      </c>
      <c r="E565" s="80" t="s">
        <v>1122</v>
      </c>
      <c r="F565" s="193">
        <v>15.25</v>
      </c>
      <c r="G565" s="222">
        <v>9</v>
      </c>
      <c r="H565" s="186"/>
      <c r="I565" s="186"/>
      <c r="J565" s="308"/>
      <c r="K565" s="227">
        <v>3</v>
      </c>
      <c r="L565" s="82">
        <f t="shared" si="296"/>
        <v>6</v>
      </c>
      <c r="M565" s="331">
        <v>6</v>
      </c>
      <c r="N565" s="161">
        <f t="shared" si="288"/>
        <v>91.5</v>
      </c>
      <c r="O565" s="161">
        <f t="shared" si="289"/>
        <v>91.5</v>
      </c>
      <c r="P565" s="187">
        <f t="shared" si="290"/>
        <v>0</v>
      </c>
      <c r="Q565" s="161">
        <f t="shared" si="291"/>
        <v>0</v>
      </c>
      <c r="R565" s="85"/>
      <c r="S565" s="86">
        <f t="shared" si="292"/>
        <v>0</v>
      </c>
      <c r="T565" s="87">
        <f t="shared" si="287"/>
        <v>6</v>
      </c>
    </row>
    <row r="566" spans="2:31" ht="20.100000000000001" hidden="1" customHeight="1">
      <c r="B566" s="77">
        <v>6</v>
      </c>
      <c r="C566" s="78" t="s">
        <v>1054</v>
      </c>
      <c r="D566" s="79" t="s">
        <v>1121</v>
      </c>
      <c r="E566" s="80" t="s">
        <v>1122</v>
      </c>
      <c r="F566" s="81">
        <v>15</v>
      </c>
      <c r="G566" s="222"/>
      <c r="H566" s="186"/>
      <c r="I566" s="186"/>
      <c r="J566" s="308"/>
      <c r="K566" s="227"/>
      <c r="L566" s="82">
        <f t="shared" si="296"/>
        <v>0</v>
      </c>
      <c r="M566" s="331"/>
      <c r="N566" s="161">
        <f t="shared" si="288"/>
        <v>0</v>
      </c>
      <c r="O566" s="161">
        <f t="shared" si="289"/>
        <v>0</v>
      </c>
      <c r="P566" s="187">
        <f t="shared" si="290"/>
        <v>0</v>
      </c>
      <c r="Q566" s="161">
        <f t="shared" si="291"/>
        <v>0</v>
      </c>
      <c r="R566" s="85"/>
      <c r="S566" s="86">
        <f t="shared" si="292"/>
        <v>2</v>
      </c>
      <c r="T566" s="87">
        <f t="shared" si="287"/>
        <v>-2</v>
      </c>
      <c r="U566">
        <v>2</v>
      </c>
    </row>
    <row r="567" spans="2:31" ht="20.100000000000001" customHeight="1">
      <c r="B567" s="77">
        <v>6</v>
      </c>
      <c r="C567" s="78" t="s">
        <v>1054</v>
      </c>
      <c r="D567" s="79" t="s">
        <v>1123</v>
      </c>
      <c r="E567" s="80" t="s">
        <v>1124</v>
      </c>
      <c r="F567" s="81">
        <v>14</v>
      </c>
      <c r="G567" s="222">
        <v>46</v>
      </c>
      <c r="H567" s="186"/>
      <c r="I567" s="186"/>
      <c r="J567" s="308"/>
      <c r="K567" s="227"/>
      <c r="L567" s="82">
        <f t="shared" si="296"/>
        <v>46</v>
      </c>
      <c r="M567" s="331">
        <v>45</v>
      </c>
      <c r="N567" s="161">
        <f t="shared" si="288"/>
        <v>644</v>
      </c>
      <c r="O567" s="161">
        <f t="shared" si="289"/>
        <v>630</v>
      </c>
      <c r="P567" s="187">
        <f t="shared" si="290"/>
        <v>1</v>
      </c>
      <c r="Q567" s="161">
        <f t="shared" si="291"/>
        <v>14</v>
      </c>
      <c r="R567" s="85" t="s">
        <v>1125</v>
      </c>
      <c r="S567" s="86">
        <f t="shared" si="292"/>
        <v>48</v>
      </c>
      <c r="T567" s="87">
        <f t="shared" si="287"/>
        <v>-3</v>
      </c>
      <c r="U567">
        <v>47</v>
      </c>
      <c r="W567">
        <v>1</v>
      </c>
      <c r="X567" t="s">
        <v>121</v>
      </c>
      <c r="AD567">
        <f>W567</f>
        <v>1</v>
      </c>
      <c r="AE567" s="89">
        <f>AD567*F567</f>
        <v>14</v>
      </c>
    </row>
    <row r="568" spans="2:31" ht="20.100000000000001" hidden="1" customHeight="1">
      <c r="B568" s="77">
        <v>6</v>
      </c>
      <c r="C568" s="78" t="s">
        <v>1054</v>
      </c>
      <c r="D568" s="79" t="s">
        <v>1123</v>
      </c>
      <c r="E568" s="80" t="s">
        <v>1124</v>
      </c>
      <c r="F568" s="81">
        <v>14.75</v>
      </c>
      <c r="G568" s="222"/>
      <c r="H568" s="186"/>
      <c r="I568" s="186">
        <v>24</v>
      </c>
      <c r="J568" s="308"/>
      <c r="K568" s="227"/>
      <c r="L568" s="82">
        <f t="shared" si="296"/>
        <v>24</v>
      </c>
      <c r="M568" s="331">
        <v>24</v>
      </c>
      <c r="N568" s="161">
        <f t="shared" si="288"/>
        <v>354</v>
      </c>
      <c r="O568" s="161">
        <f t="shared" si="289"/>
        <v>354</v>
      </c>
      <c r="P568" s="187">
        <f t="shared" si="290"/>
        <v>0</v>
      </c>
      <c r="Q568" s="161">
        <f t="shared" si="291"/>
        <v>0</v>
      </c>
      <c r="R568" s="85"/>
      <c r="S568" s="86">
        <f t="shared" si="292"/>
        <v>0</v>
      </c>
      <c r="T568" s="87">
        <f t="shared" si="287"/>
        <v>24</v>
      </c>
    </row>
    <row r="569" spans="2:31" ht="20.100000000000001" hidden="1" customHeight="1">
      <c r="B569" s="77">
        <v>6</v>
      </c>
      <c r="C569" s="78" t="s">
        <v>1054</v>
      </c>
      <c r="D569" s="79" t="s">
        <v>1126</v>
      </c>
      <c r="E569" s="80" t="s">
        <v>1127</v>
      </c>
      <c r="F569" s="81">
        <v>18.5</v>
      </c>
      <c r="G569" s="222">
        <v>6</v>
      </c>
      <c r="H569" s="186"/>
      <c r="I569" s="186"/>
      <c r="J569" s="308"/>
      <c r="K569" s="227"/>
      <c r="L569" s="82">
        <f t="shared" ref="L569" si="308">G569+I569-J569-K569+H569</f>
        <v>6</v>
      </c>
      <c r="M569" s="331">
        <v>6</v>
      </c>
      <c r="N569" s="161">
        <f t="shared" ref="N569" si="309">F569*L569</f>
        <v>111</v>
      </c>
      <c r="O569" s="161">
        <f t="shared" ref="O569" si="310">M569*F569</f>
        <v>111</v>
      </c>
      <c r="P569" s="187">
        <f t="shared" ref="P569" si="311">L569-M569</f>
        <v>0</v>
      </c>
      <c r="Q569" s="161">
        <f t="shared" ref="Q569" si="312">N569-O569</f>
        <v>0</v>
      </c>
      <c r="R569" s="232"/>
      <c r="S569" s="86">
        <f t="shared" ref="S569" si="313">U569+Y569+W569+AA569</f>
        <v>7</v>
      </c>
      <c r="T569" s="87">
        <f t="shared" ref="T569" si="314">M569-S569</f>
        <v>-1</v>
      </c>
      <c r="U569">
        <v>7</v>
      </c>
    </row>
    <row r="570" spans="2:31" ht="20.100000000000001" hidden="1" customHeight="1">
      <c r="B570" s="77">
        <v>6</v>
      </c>
      <c r="C570" s="78" t="s">
        <v>1054</v>
      </c>
      <c r="D570" s="79" t="s">
        <v>1126</v>
      </c>
      <c r="E570" s="80" t="s">
        <v>1127</v>
      </c>
      <c r="F570" s="81">
        <v>19</v>
      </c>
      <c r="G570" s="222"/>
      <c r="H570" s="186"/>
      <c r="I570" s="186">
        <v>12</v>
      </c>
      <c r="J570" s="308"/>
      <c r="K570" s="227"/>
      <c r="L570" s="82">
        <f t="shared" si="296"/>
        <v>12</v>
      </c>
      <c r="M570" s="331">
        <v>12</v>
      </c>
      <c r="N570" s="161">
        <f t="shared" si="288"/>
        <v>228</v>
      </c>
      <c r="O570" s="161">
        <f t="shared" si="289"/>
        <v>228</v>
      </c>
      <c r="P570" s="187">
        <f t="shared" si="290"/>
        <v>0</v>
      </c>
      <c r="Q570" s="161">
        <f t="shared" si="291"/>
        <v>0</v>
      </c>
      <c r="R570" s="232"/>
      <c r="S570" s="86">
        <f t="shared" si="292"/>
        <v>7</v>
      </c>
      <c r="T570" s="87">
        <f t="shared" si="287"/>
        <v>5</v>
      </c>
      <c r="U570">
        <v>7</v>
      </c>
    </row>
    <row r="571" spans="2:31" ht="20.100000000000001" hidden="1" customHeight="1">
      <c r="B571" s="77">
        <v>6</v>
      </c>
      <c r="C571" s="78" t="s">
        <v>1054</v>
      </c>
      <c r="D571" s="79" t="s">
        <v>1128</v>
      </c>
      <c r="E571" s="80" t="s">
        <v>1129</v>
      </c>
      <c r="F571" s="193">
        <v>14.25</v>
      </c>
      <c r="G571" s="222">
        <v>35</v>
      </c>
      <c r="H571" s="186"/>
      <c r="I571" s="186"/>
      <c r="J571" s="308"/>
      <c r="K571" s="227">
        <v>1</v>
      </c>
      <c r="L571" s="82">
        <f t="shared" si="296"/>
        <v>34</v>
      </c>
      <c r="M571" s="331">
        <v>34</v>
      </c>
      <c r="N571" s="161">
        <f t="shared" ref="N571:N626" si="315">F571*L571</f>
        <v>484.5</v>
      </c>
      <c r="O571" s="161">
        <f t="shared" ref="O571:O626" si="316">M571*F571</f>
        <v>484.5</v>
      </c>
      <c r="P571" s="187">
        <f t="shared" ref="P571:P626" si="317">L571-M571</f>
        <v>0</v>
      </c>
      <c r="Q571" s="161">
        <f t="shared" ref="Q571:Q626" si="318">N571-O571</f>
        <v>0</v>
      </c>
      <c r="R571" s="85" t="s">
        <v>1130</v>
      </c>
      <c r="S571" s="86">
        <f t="shared" ref="S571:S626" si="319">U571+Y571+W571+AA571</f>
        <v>53</v>
      </c>
      <c r="T571" s="87">
        <f t="shared" ref="T571:T625" si="320">M571-S571</f>
        <v>-19</v>
      </c>
      <c r="U571">
        <v>47</v>
      </c>
      <c r="W571">
        <v>6</v>
      </c>
      <c r="X571" t="s">
        <v>121</v>
      </c>
      <c r="AD571">
        <f>W571</f>
        <v>6</v>
      </c>
      <c r="AE571" s="89">
        <f>AD571*F571</f>
        <v>85.5</v>
      </c>
    </row>
    <row r="572" spans="2:31" ht="20.100000000000001" hidden="1" customHeight="1">
      <c r="B572" s="77">
        <v>6</v>
      </c>
      <c r="C572" s="78" t="s">
        <v>1054</v>
      </c>
      <c r="D572" s="79" t="s">
        <v>1128</v>
      </c>
      <c r="E572" s="80" t="s">
        <v>1129</v>
      </c>
      <c r="F572" s="81">
        <v>14.25</v>
      </c>
      <c r="G572" s="222"/>
      <c r="H572" s="186"/>
      <c r="I572" s="186"/>
      <c r="J572" s="308"/>
      <c r="K572" s="227"/>
      <c r="L572" s="82">
        <f t="shared" si="296"/>
        <v>0</v>
      </c>
      <c r="M572" s="331"/>
      <c r="N572" s="161">
        <f t="shared" si="315"/>
        <v>0</v>
      </c>
      <c r="O572" s="161">
        <f t="shared" si="316"/>
        <v>0</v>
      </c>
      <c r="P572" s="187">
        <f t="shared" si="317"/>
        <v>0</v>
      </c>
      <c r="Q572" s="161">
        <f t="shared" si="318"/>
        <v>0</v>
      </c>
      <c r="R572" s="85"/>
      <c r="S572" s="86">
        <f t="shared" si="319"/>
        <v>0</v>
      </c>
      <c r="T572" s="87">
        <f t="shared" si="320"/>
        <v>0</v>
      </c>
    </row>
    <row r="573" spans="2:31" ht="20.100000000000001" customHeight="1">
      <c r="B573" s="77">
        <v>6</v>
      </c>
      <c r="C573" s="78" t="s">
        <v>1054</v>
      </c>
      <c r="D573" s="79" t="s">
        <v>1131</v>
      </c>
      <c r="E573" s="80" t="s">
        <v>1132</v>
      </c>
      <c r="F573" s="81">
        <v>18.5</v>
      </c>
      <c r="G573" s="222">
        <v>1</v>
      </c>
      <c r="H573" s="186"/>
      <c r="I573" s="186"/>
      <c r="J573" s="308"/>
      <c r="K573" s="227"/>
      <c r="L573" s="82">
        <f t="shared" si="296"/>
        <v>1</v>
      </c>
      <c r="M573" s="331"/>
      <c r="N573" s="161">
        <f t="shared" si="315"/>
        <v>18.5</v>
      </c>
      <c r="O573" s="161">
        <f t="shared" si="316"/>
        <v>0</v>
      </c>
      <c r="P573" s="187">
        <f t="shared" si="317"/>
        <v>1</v>
      </c>
      <c r="Q573" s="161">
        <f t="shared" si="318"/>
        <v>18.5</v>
      </c>
      <c r="R573" s="85"/>
      <c r="S573" s="86">
        <f t="shared" si="319"/>
        <v>9</v>
      </c>
      <c r="T573" s="87">
        <f t="shared" si="320"/>
        <v>-9</v>
      </c>
      <c r="U573">
        <v>9</v>
      </c>
    </row>
    <row r="574" spans="2:31" ht="20.100000000000001" hidden="1" customHeight="1">
      <c r="B574" s="77">
        <v>6</v>
      </c>
      <c r="C574" s="78" t="s">
        <v>1054</v>
      </c>
      <c r="D574" s="79" t="s">
        <v>1131</v>
      </c>
      <c r="E574" s="80" t="s">
        <v>1132</v>
      </c>
      <c r="F574" s="81">
        <v>19</v>
      </c>
      <c r="G574" s="222"/>
      <c r="H574" s="186"/>
      <c r="I574" s="186">
        <v>12</v>
      </c>
      <c r="J574" s="308"/>
      <c r="K574" s="227"/>
      <c r="L574" s="82">
        <f t="shared" si="296"/>
        <v>12</v>
      </c>
      <c r="M574" s="331">
        <v>12</v>
      </c>
      <c r="N574" s="161">
        <f t="shared" si="315"/>
        <v>228</v>
      </c>
      <c r="O574" s="161">
        <f t="shared" si="316"/>
        <v>228</v>
      </c>
      <c r="P574" s="187">
        <f t="shared" si="317"/>
        <v>0</v>
      </c>
      <c r="Q574" s="161">
        <f t="shared" si="318"/>
        <v>0</v>
      </c>
      <c r="R574" s="85"/>
      <c r="S574" s="86">
        <f t="shared" si="319"/>
        <v>0</v>
      </c>
      <c r="T574" s="87">
        <f t="shared" si="320"/>
        <v>12</v>
      </c>
    </row>
    <row r="575" spans="2:31" ht="20.100000000000001" hidden="1" customHeight="1">
      <c r="B575" s="77">
        <v>6</v>
      </c>
      <c r="C575" s="78" t="s">
        <v>1054</v>
      </c>
      <c r="D575" s="79" t="s">
        <v>1133</v>
      </c>
      <c r="E575" s="80" t="s">
        <v>1134</v>
      </c>
      <c r="F575" s="81">
        <v>14</v>
      </c>
      <c r="G575" s="222">
        <v>42</v>
      </c>
      <c r="H575" s="186"/>
      <c r="I575" s="186"/>
      <c r="J575" s="308"/>
      <c r="K575" s="227"/>
      <c r="L575" s="82">
        <f t="shared" si="296"/>
        <v>42</v>
      </c>
      <c r="M575" s="331">
        <v>42</v>
      </c>
      <c r="N575" s="161">
        <f t="shared" si="315"/>
        <v>588</v>
      </c>
      <c r="O575" s="161">
        <f t="shared" si="316"/>
        <v>588</v>
      </c>
      <c r="P575" s="187">
        <f t="shared" si="317"/>
        <v>0</v>
      </c>
      <c r="Q575" s="161">
        <f t="shared" si="318"/>
        <v>0</v>
      </c>
      <c r="R575" s="85"/>
      <c r="S575" s="86">
        <f t="shared" si="319"/>
        <v>50</v>
      </c>
      <c r="T575" s="87">
        <f t="shared" si="320"/>
        <v>-8</v>
      </c>
      <c r="U575">
        <v>50</v>
      </c>
    </row>
    <row r="576" spans="2:31" ht="20.100000000000001" customHeight="1">
      <c r="B576" s="77">
        <v>6</v>
      </c>
      <c r="C576" s="78" t="s">
        <v>1054</v>
      </c>
      <c r="D576" s="79" t="s">
        <v>1133</v>
      </c>
      <c r="E576" s="80" t="s">
        <v>1134</v>
      </c>
      <c r="F576" s="81">
        <v>14.75</v>
      </c>
      <c r="G576" s="222"/>
      <c r="H576" s="186"/>
      <c r="I576" s="186">
        <v>24</v>
      </c>
      <c r="J576" s="308"/>
      <c r="K576" s="227"/>
      <c r="L576" s="82">
        <f t="shared" si="296"/>
        <v>24</v>
      </c>
      <c r="M576" s="331">
        <v>23</v>
      </c>
      <c r="N576" s="161">
        <f t="shared" si="315"/>
        <v>354</v>
      </c>
      <c r="O576" s="161">
        <f t="shared" si="316"/>
        <v>339.25</v>
      </c>
      <c r="P576" s="187">
        <f t="shared" si="317"/>
        <v>1</v>
      </c>
      <c r="Q576" s="161">
        <f t="shared" si="318"/>
        <v>14.75</v>
      </c>
      <c r="R576" s="85"/>
      <c r="S576" s="86">
        <f t="shared" si="319"/>
        <v>0</v>
      </c>
      <c r="T576" s="87">
        <f t="shared" si="320"/>
        <v>23</v>
      </c>
    </row>
    <row r="577" spans="2:31" ht="20.100000000000001" hidden="1" customHeight="1">
      <c r="B577" s="77">
        <v>6</v>
      </c>
      <c r="C577" s="78" t="s">
        <v>1054</v>
      </c>
      <c r="D577" s="79" t="s">
        <v>1135</v>
      </c>
      <c r="E577" s="80" t="s">
        <v>1136</v>
      </c>
      <c r="F577" s="81">
        <v>18.5</v>
      </c>
      <c r="G577" s="222">
        <v>6</v>
      </c>
      <c r="H577" s="186"/>
      <c r="I577" s="186"/>
      <c r="J577" s="308"/>
      <c r="K577" s="227"/>
      <c r="L577" s="82">
        <f t="shared" ref="L577" si="321">G577+I577-J577-K577+H577</f>
        <v>6</v>
      </c>
      <c r="M577" s="331">
        <v>6</v>
      </c>
      <c r="N577" s="161">
        <f t="shared" ref="N577" si="322">F577*L577</f>
        <v>111</v>
      </c>
      <c r="O577" s="161">
        <f t="shared" ref="O577" si="323">M577*F577</f>
        <v>111</v>
      </c>
      <c r="P577" s="187">
        <f t="shared" ref="P577" si="324">L577-M577</f>
        <v>0</v>
      </c>
      <c r="Q577" s="161">
        <f t="shared" ref="Q577" si="325">N577-O577</f>
        <v>0</v>
      </c>
      <c r="R577" s="232"/>
      <c r="S577" s="86">
        <f t="shared" ref="S577" si="326">U577+Y577+W577+AA577</f>
        <v>10</v>
      </c>
      <c r="T577" s="87">
        <f t="shared" ref="T577" si="327">M577-S577</f>
        <v>-4</v>
      </c>
      <c r="U577">
        <v>10</v>
      </c>
    </row>
    <row r="578" spans="2:31" ht="20.100000000000001" hidden="1" customHeight="1">
      <c r="B578" s="77">
        <v>6</v>
      </c>
      <c r="C578" s="78" t="s">
        <v>1054</v>
      </c>
      <c r="D578" s="79" t="s">
        <v>1135</v>
      </c>
      <c r="E578" s="80" t="s">
        <v>1136</v>
      </c>
      <c r="F578" s="81">
        <v>19</v>
      </c>
      <c r="G578" s="222"/>
      <c r="H578" s="186"/>
      <c r="I578" s="186">
        <v>12</v>
      </c>
      <c r="J578" s="308"/>
      <c r="K578" s="227">
        <v>1</v>
      </c>
      <c r="L578" s="82">
        <f t="shared" si="296"/>
        <v>11</v>
      </c>
      <c r="M578" s="331">
        <v>11</v>
      </c>
      <c r="N578" s="161">
        <f t="shared" si="315"/>
        <v>209</v>
      </c>
      <c r="O578" s="161">
        <f t="shared" si="316"/>
        <v>209</v>
      </c>
      <c r="P578" s="187">
        <f t="shared" si="317"/>
        <v>0</v>
      </c>
      <c r="Q578" s="161">
        <f t="shared" si="318"/>
        <v>0</v>
      </c>
      <c r="R578" s="232"/>
      <c r="S578" s="86">
        <f t="shared" si="319"/>
        <v>10</v>
      </c>
      <c r="T578" s="87">
        <f t="shared" si="320"/>
        <v>1</v>
      </c>
      <c r="U578">
        <v>10</v>
      </c>
    </row>
    <row r="579" spans="2:31" ht="20.100000000000001" hidden="1" customHeight="1">
      <c r="B579" s="77">
        <v>6</v>
      </c>
      <c r="C579" s="78" t="s">
        <v>1054</v>
      </c>
      <c r="D579" s="79" t="s">
        <v>1137</v>
      </c>
      <c r="E579" s="80" t="s">
        <v>1138</v>
      </c>
      <c r="F579" s="81">
        <v>14</v>
      </c>
      <c r="G579" s="222">
        <v>21</v>
      </c>
      <c r="H579" s="186"/>
      <c r="I579" s="186"/>
      <c r="J579" s="308"/>
      <c r="K579" s="227"/>
      <c r="L579" s="82">
        <f t="shared" si="296"/>
        <v>21</v>
      </c>
      <c r="M579" s="331">
        <v>21</v>
      </c>
      <c r="N579" s="161">
        <f t="shared" si="315"/>
        <v>294</v>
      </c>
      <c r="O579" s="161">
        <f t="shared" si="316"/>
        <v>294</v>
      </c>
      <c r="P579" s="187">
        <f t="shared" si="317"/>
        <v>0</v>
      </c>
      <c r="Q579" s="161">
        <f t="shared" si="318"/>
        <v>0</v>
      </c>
      <c r="R579" s="91">
        <v>45712</v>
      </c>
      <c r="S579" s="86">
        <f t="shared" si="319"/>
        <v>21</v>
      </c>
      <c r="T579" s="87">
        <f t="shared" si="320"/>
        <v>0</v>
      </c>
      <c r="W579">
        <v>21</v>
      </c>
      <c r="X579" t="s">
        <v>121</v>
      </c>
      <c r="AD579">
        <f>W579</f>
        <v>21</v>
      </c>
      <c r="AE579" s="89">
        <f>AD579*F579</f>
        <v>294</v>
      </c>
    </row>
    <row r="580" spans="2:31" ht="20.100000000000001" hidden="1" customHeight="1">
      <c r="B580" s="77">
        <v>6</v>
      </c>
      <c r="C580" s="78" t="s">
        <v>1054</v>
      </c>
      <c r="D580" s="79" t="s">
        <v>1139</v>
      </c>
      <c r="E580" s="80" t="s">
        <v>1140</v>
      </c>
      <c r="F580" s="81">
        <v>14</v>
      </c>
      <c r="G580" s="222">
        <v>8</v>
      </c>
      <c r="H580" s="186"/>
      <c r="I580" s="186"/>
      <c r="J580" s="308"/>
      <c r="K580" s="227">
        <v>5</v>
      </c>
      <c r="L580" s="82">
        <f t="shared" si="296"/>
        <v>3</v>
      </c>
      <c r="M580" s="331">
        <v>3</v>
      </c>
      <c r="N580" s="161">
        <f t="shared" si="315"/>
        <v>42</v>
      </c>
      <c r="O580" s="161">
        <f t="shared" si="316"/>
        <v>42</v>
      </c>
      <c r="P580" s="187">
        <f t="shared" si="317"/>
        <v>0</v>
      </c>
      <c r="Q580" s="161">
        <f t="shared" si="318"/>
        <v>0</v>
      </c>
      <c r="R580" s="85"/>
      <c r="S580" s="86">
        <f t="shared" si="319"/>
        <v>16</v>
      </c>
      <c r="T580" s="87">
        <f t="shared" si="320"/>
        <v>-13</v>
      </c>
      <c r="U580">
        <v>16</v>
      </c>
    </row>
    <row r="581" spans="2:31" ht="20.100000000000001" hidden="1" customHeight="1">
      <c r="B581" s="77">
        <v>6</v>
      </c>
      <c r="C581" s="78" t="s">
        <v>1054</v>
      </c>
      <c r="D581" s="79" t="s">
        <v>1139</v>
      </c>
      <c r="E581" s="80" t="s">
        <v>1140</v>
      </c>
      <c r="F581" s="81">
        <v>14</v>
      </c>
      <c r="G581" s="222"/>
      <c r="H581" s="186"/>
      <c r="I581" s="186"/>
      <c r="J581" s="308"/>
      <c r="K581" s="227"/>
      <c r="L581" s="82">
        <f t="shared" si="296"/>
        <v>0</v>
      </c>
      <c r="M581" s="331"/>
      <c r="N581" s="161">
        <f t="shared" si="315"/>
        <v>0</v>
      </c>
      <c r="O581" s="161">
        <f t="shared" si="316"/>
        <v>0</v>
      </c>
      <c r="P581" s="187">
        <f t="shared" si="317"/>
        <v>0</v>
      </c>
      <c r="Q581" s="161">
        <f t="shared" si="318"/>
        <v>0</v>
      </c>
      <c r="R581" s="85"/>
      <c r="S581" s="86">
        <f t="shared" si="319"/>
        <v>0</v>
      </c>
      <c r="T581" s="87">
        <f t="shared" si="320"/>
        <v>0</v>
      </c>
    </row>
    <row r="582" spans="2:31" ht="20.100000000000001" hidden="1" customHeight="1">
      <c r="B582" s="77">
        <v>6</v>
      </c>
      <c r="C582" s="78" t="s">
        <v>1054</v>
      </c>
      <c r="D582" s="79" t="s">
        <v>1141</v>
      </c>
      <c r="E582" s="80" t="s">
        <v>1142</v>
      </c>
      <c r="F582" s="81">
        <v>19</v>
      </c>
      <c r="G582" s="222"/>
      <c r="H582" s="186"/>
      <c r="I582" s="186">
        <v>12</v>
      </c>
      <c r="J582" s="308"/>
      <c r="K582" s="227">
        <v>3</v>
      </c>
      <c r="L582" s="82">
        <f t="shared" si="296"/>
        <v>9</v>
      </c>
      <c r="M582" s="331">
        <v>9</v>
      </c>
      <c r="N582" s="161">
        <f t="shared" si="315"/>
        <v>171</v>
      </c>
      <c r="O582" s="161">
        <f t="shared" si="316"/>
        <v>171</v>
      </c>
      <c r="P582" s="187">
        <f t="shared" si="317"/>
        <v>0</v>
      </c>
      <c r="Q582" s="161">
        <f t="shared" si="318"/>
        <v>0</v>
      </c>
      <c r="R582" s="85"/>
      <c r="S582" s="86">
        <f t="shared" si="319"/>
        <v>0</v>
      </c>
      <c r="T582" s="87">
        <f t="shared" si="320"/>
        <v>9</v>
      </c>
    </row>
    <row r="583" spans="2:31" ht="20.100000000000001" hidden="1" customHeight="1">
      <c r="B583" s="77">
        <v>6</v>
      </c>
      <c r="C583" s="78" t="s">
        <v>1054</v>
      </c>
      <c r="D583" s="79" t="s">
        <v>1141</v>
      </c>
      <c r="E583" s="80" t="s">
        <v>1142</v>
      </c>
      <c r="F583" s="81">
        <v>18.5</v>
      </c>
      <c r="G583" s="222"/>
      <c r="H583" s="186"/>
      <c r="I583" s="186"/>
      <c r="J583" s="308"/>
      <c r="K583" s="227"/>
      <c r="L583" s="82">
        <f t="shared" si="296"/>
        <v>0</v>
      </c>
      <c r="M583" s="331"/>
      <c r="N583" s="161">
        <f t="shared" si="315"/>
        <v>0</v>
      </c>
      <c r="O583" s="161">
        <f t="shared" si="316"/>
        <v>0</v>
      </c>
      <c r="P583" s="187">
        <f t="shared" si="317"/>
        <v>0</v>
      </c>
      <c r="Q583" s="161">
        <f t="shared" si="318"/>
        <v>0</v>
      </c>
      <c r="R583" s="85"/>
      <c r="S583" s="86">
        <f t="shared" si="319"/>
        <v>0</v>
      </c>
      <c r="T583" s="87">
        <f t="shared" si="320"/>
        <v>0</v>
      </c>
    </row>
    <row r="584" spans="2:31" ht="20.100000000000001" hidden="1" customHeight="1">
      <c r="B584" s="77">
        <v>6</v>
      </c>
      <c r="C584" s="78" t="s">
        <v>1054</v>
      </c>
      <c r="D584" s="79" t="s">
        <v>1143</v>
      </c>
      <c r="E584" s="80" t="s">
        <v>1144</v>
      </c>
      <c r="F584" s="81">
        <v>10</v>
      </c>
      <c r="G584" s="222">
        <v>46</v>
      </c>
      <c r="H584" s="186"/>
      <c r="I584" s="186"/>
      <c r="J584" s="308"/>
      <c r="K584" s="227"/>
      <c r="L584" s="82">
        <f t="shared" si="296"/>
        <v>46</v>
      </c>
      <c r="M584" s="331">
        <v>46</v>
      </c>
      <c r="N584" s="161">
        <f t="shared" si="315"/>
        <v>460</v>
      </c>
      <c r="O584" s="161">
        <f t="shared" si="316"/>
        <v>460</v>
      </c>
      <c r="P584" s="187">
        <f t="shared" si="317"/>
        <v>0</v>
      </c>
      <c r="Q584" s="161">
        <f t="shared" si="318"/>
        <v>0</v>
      </c>
      <c r="R584" s="85" t="s">
        <v>1145</v>
      </c>
      <c r="S584" s="86">
        <f t="shared" si="319"/>
        <v>55</v>
      </c>
      <c r="T584" s="87">
        <f t="shared" si="320"/>
        <v>-9</v>
      </c>
      <c r="U584">
        <f>26+11</f>
        <v>37</v>
      </c>
      <c r="W584">
        <v>18</v>
      </c>
      <c r="X584" t="s">
        <v>121</v>
      </c>
      <c r="AD584">
        <f>W584</f>
        <v>18</v>
      </c>
      <c r="AE584" s="89">
        <f>AD584*F584</f>
        <v>180</v>
      </c>
    </row>
    <row r="585" spans="2:31" ht="20.100000000000001" hidden="1" customHeight="1">
      <c r="B585" s="77">
        <v>6</v>
      </c>
      <c r="C585" s="78" t="s">
        <v>1054</v>
      </c>
      <c r="D585" s="79" t="s">
        <v>1146</v>
      </c>
      <c r="E585" s="80" t="s">
        <v>1147</v>
      </c>
      <c r="F585" s="81">
        <v>18.350000000000001</v>
      </c>
      <c r="G585" s="222"/>
      <c r="H585" s="186"/>
      <c r="I585" s="186"/>
      <c r="J585" s="308"/>
      <c r="K585" s="227"/>
      <c r="L585" s="82">
        <f t="shared" si="296"/>
        <v>0</v>
      </c>
      <c r="M585" s="331"/>
      <c r="N585" s="161">
        <f t="shared" si="315"/>
        <v>0</v>
      </c>
      <c r="O585" s="161">
        <f t="shared" si="316"/>
        <v>0</v>
      </c>
      <c r="P585" s="187">
        <f t="shared" si="317"/>
        <v>0</v>
      </c>
      <c r="Q585" s="161">
        <f t="shared" si="318"/>
        <v>0</v>
      </c>
      <c r="R585" s="232" t="s">
        <v>3826</v>
      </c>
      <c r="S585" s="86">
        <f t="shared" si="319"/>
        <v>0</v>
      </c>
      <c r="T585" s="87">
        <f t="shared" si="320"/>
        <v>0</v>
      </c>
    </row>
    <row r="586" spans="2:31" ht="20.100000000000001" hidden="1" customHeight="1">
      <c r="B586" s="77">
        <v>6</v>
      </c>
      <c r="C586" s="78" t="s">
        <v>1054</v>
      </c>
      <c r="D586" s="79" t="s">
        <v>1148</v>
      </c>
      <c r="E586" s="80" t="s">
        <v>1149</v>
      </c>
      <c r="F586" s="81">
        <v>20.55</v>
      </c>
      <c r="G586" s="222"/>
      <c r="H586" s="186"/>
      <c r="I586" s="186"/>
      <c r="J586" s="308"/>
      <c r="K586" s="227"/>
      <c r="L586" s="82">
        <f t="shared" si="296"/>
        <v>0</v>
      </c>
      <c r="M586" s="331"/>
      <c r="N586" s="161">
        <f t="shared" si="315"/>
        <v>0</v>
      </c>
      <c r="O586" s="161">
        <f t="shared" si="316"/>
        <v>0</v>
      </c>
      <c r="P586" s="187">
        <f t="shared" si="317"/>
        <v>0</v>
      </c>
      <c r="Q586" s="161">
        <f t="shared" si="318"/>
        <v>0</v>
      </c>
      <c r="R586" s="85"/>
      <c r="S586" s="86">
        <f t="shared" si="319"/>
        <v>10</v>
      </c>
      <c r="T586" s="87">
        <f t="shared" si="320"/>
        <v>-10</v>
      </c>
      <c r="U586">
        <v>10</v>
      </c>
    </row>
    <row r="587" spans="2:31" ht="20.100000000000001" hidden="1" customHeight="1">
      <c r="B587" s="77">
        <v>6</v>
      </c>
      <c r="C587" s="78" t="s">
        <v>1054</v>
      </c>
      <c r="D587" s="79" t="s">
        <v>1150</v>
      </c>
      <c r="E587" s="80" t="s">
        <v>1151</v>
      </c>
      <c r="F587" s="81">
        <v>23.32</v>
      </c>
      <c r="G587" s="222">
        <v>20</v>
      </c>
      <c r="H587" s="186"/>
      <c r="I587" s="186"/>
      <c r="J587" s="308"/>
      <c r="K587" s="227"/>
      <c r="L587" s="82">
        <f t="shared" ref="L587:L647" si="328">G587+I587-J587-K587+H587</f>
        <v>20</v>
      </c>
      <c r="M587" s="331">
        <v>20</v>
      </c>
      <c r="N587" s="161">
        <f t="shared" si="315"/>
        <v>466.4</v>
      </c>
      <c r="O587" s="161">
        <f t="shared" si="316"/>
        <v>466.4</v>
      </c>
      <c r="P587" s="187">
        <f t="shared" si="317"/>
        <v>0</v>
      </c>
      <c r="Q587" s="161">
        <f t="shared" si="318"/>
        <v>0</v>
      </c>
      <c r="R587" s="232"/>
      <c r="S587" s="86">
        <f t="shared" si="319"/>
        <v>23</v>
      </c>
      <c r="T587" s="87">
        <f t="shared" si="320"/>
        <v>-3</v>
      </c>
      <c r="U587">
        <v>23</v>
      </c>
    </row>
    <row r="588" spans="2:31" ht="20.100000000000001" hidden="1" customHeight="1">
      <c r="B588" s="77">
        <v>6</v>
      </c>
      <c r="C588" s="78" t="s">
        <v>1054</v>
      </c>
      <c r="D588" s="79" t="s">
        <v>1152</v>
      </c>
      <c r="E588" s="80" t="s">
        <v>1153</v>
      </c>
      <c r="F588" s="81">
        <v>20.55</v>
      </c>
      <c r="G588" s="222">
        <v>20</v>
      </c>
      <c r="H588" s="186"/>
      <c r="I588" s="186"/>
      <c r="J588" s="308"/>
      <c r="K588" s="227"/>
      <c r="L588" s="82">
        <f t="shared" si="328"/>
        <v>20</v>
      </c>
      <c r="M588" s="331">
        <v>20</v>
      </c>
      <c r="N588" s="161">
        <f t="shared" si="315"/>
        <v>411</v>
      </c>
      <c r="O588" s="161">
        <f t="shared" si="316"/>
        <v>411</v>
      </c>
      <c r="P588" s="187">
        <f t="shared" si="317"/>
        <v>0</v>
      </c>
      <c r="Q588" s="161">
        <f t="shared" si="318"/>
        <v>0</v>
      </c>
      <c r="R588" s="232"/>
      <c r="S588" s="86">
        <f t="shared" si="319"/>
        <v>28</v>
      </c>
      <c r="T588" s="87">
        <f t="shared" si="320"/>
        <v>-8</v>
      </c>
      <c r="U588">
        <v>28</v>
      </c>
    </row>
    <row r="589" spans="2:31" ht="20.100000000000001" hidden="1" customHeight="1">
      <c r="B589" s="77">
        <v>6</v>
      </c>
      <c r="C589" s="78" t="s">
        <v>1054</v>
      </c>
      <c r="D589" s="79" t="s">
        <v>1154</v>
      </c>
      <c r="E589" s="80" t="s">
        <v>1155</v>
      </c>
      <c r="F589" s="81">
        <v>20.36</v>
      </c>
      <c r="G589" s="222">
        <v>9</v>
      </c>
      <c r="H589" s="186"/>
      <c r="I589" s="186"/>
      <c r="J589" s="308"/>
      <c r="K589" s="227"/>
      <c r="L589" s="82">
        <f t="shared" si="328"/>
        <v>9</v>
      </c>
      <c r="M589" s="331">
        <v>9</v>
      </c>
      <c r="N589" s="161">
        <f t="shared" si="315"/>
        <v>183.24</v>
      </c>
      <c r="O589" s="161">
        <f t="shared" si="316"/>
        <v>183.24</v>
      </c>
      <c r="P589" s="187">
        <f t="shared" si="317"/>
        <v>0</v>
      </c>
      <c r="Q589" s="161">
        <f t="shared" si="318"/>
        <v>0</v>
      </c>
      <c r="R589" s="85"/>
      <c r="S589" s="86">
        <f t="shared" si="319"/>
        <v>14</v>
      </c>
      <c r="T589" s="87">
        <f t="shared" si="320"/>
        <v>-5</v>
      </c>
      <c r="U589">
        <v>14</v>
      </c>
    </row>
    <row r="590" spans="2:31" ht="20.100000000000001" hidden="1" customHeight="1">
      <c r="B590" s="77">
        <v>6</v>
      </c>
      <c r="C590" s="78" t="s">
        <v>1054</v>
      </c>
      <c r="D590" s="79" t="s">
        <v>1154</v>
      </c>
      <c r="E590" s="80" t="s">
        <v>1155</v>
      </c>
      <c r="F590" s="81">
        <v>24.04</v>
      </c>
      <c r="G590" s="222">
        <v>48</v>
      </c>
      <c r="H590" s="186"/>
      <c r="I590" s="186"/>
      <c r="J590" s="308"/>
      <c r="K590" s="227">
        <v>2</v>
      </c>
      <c r="L590" s="82">
        <f t="shared" si="328"/>
        <v>46</v>
      </c>
      <c r="M590" s="331">
        <v>46</v>
      </c>
      <c r="N590" s="161">
        <f t="shared" si="315"/>
        <v>1105.8399999999999</v>
      </c>
      <c r="O590" s="161">
        <f t="shared" si="316"/>
        <v>1105.8399999999999</v>
      </c>
      <c r="P590" s="187">
        <f t="shared" si="317"/>
        <v>0</v>
      </c>
      <c r="Q590" s="161">
        <f t="shared" si="318"/>
        <v>0</v>
      </c>
      <c r="R590" s="85"/>
      <c r="S590" s="86">
        <f t="shared" si="319"/>
        <v>0</v>
      </c>
      <c r="T590" s="87">
        <f t="shared" si="320"/>
        <v>46</v>
      </c>
    </row>
    <row r="591" spans="2:31" ht="20.100000000000001" hidden="1" customHeight="1">
      <c r="B591" s="77">
        <v>6</v>
      </c>
      <c r="C591" s="78" t="s">
        <v>1054</v>
      </c>
      <c r="D591" s="79" t="s">
        <v>1156</v>
      </c>
      <c r="E591" s="80" t="s">
        <v>1157</v>
      </c>
      <c r="F591" s="81">
        <v>21.88</v>
      </c>
      <c r="G591" s="222">
        <v>48</v>
      </c>
      <c r="H591" s="186"/>
      <c r="I591" s="186"/>
      <c r="J591" s="308"/>
      <c r="K591" s="227">
        <v>1</v>
      </c>
      <c r="L591" s="82">
        <f t="shared" si="328"/>
        <v>47</v>
      </c>
      <c r="M591" s="331">
        <v>47</v>
      </c>
      <c r="N591" s="161">
        <f t="shared" si="315"/>
        <v>1028.3599999999999</v>
      </c>
      <c r="O591" s="161">
        <f t="shared" si="316"/>
        <v>1028.3599999999999</v>
      </c>
      <c r="P591" s="187">
        <f t="shared" si="317"/>
        <v>0</v>
      </c>
      <c r="Q591" s="161">
        <f t="shared" si="318"/>
        <v>0</v>
      </c>
      <c r="R591" s="85"/>
      <c r="S591" s="86">
        <f t="shared" si="319"/>
        <v>0</v>
      </c>
      <c r="T591" s="87">
        <f t="shared" si="320"/>
        <v>47</v>
      </c>
    </row>
    <row r="592" spans="2:31" ht="20.100000000000001" hidden="1" customHeight="1">
      <c r="B592" s="77">
        <v>6</v>
      </c>
      <c r="C592" s="78" t="s">
        <v>1054</v>
      </c>
      <c r="D592" s="79" t="s">
        <v>1158</v>
      </c>
      <c r="E592" s="80" t="s">
        <v>1159</v>
      </c>
      <c r="F592" s="81">
        <v>21.88</v>
      </c>
      <c r="G592" s="222">
        <v>48</v>
      </c>
      <c r="H592" s="186"/>
      <c r="I592" s="186"/>
      <c r="J592" s="308"/>
      <c r="K592" s="227">
        <v>4</v>
      </c>
      <c r="L592" s="82">
        <f t="shared" si="328"/>
        <v>44</v>
      </c>
      <c r="M592" s="331">
        <v>44</v>
      </c>
      <c r="N592" s="161">
        <f t="shared" si="315"/>
        <v>962.71999999999991</v>
      </c>
      <c r="O592" s="161">
        <f t="shared" si="316"/>
        <v>962.71999999999991</v>
      </c>
      <c r="P592" s="187">
        <f t="shared" si="317"/>
        <v>0</v>
      </c>
      <c r="Q592" s="161">
        <f t="shared" si="318"/>
        <v>0</v>
      </c>
      <c r="R592" s="85"/>
      <c r="S592" s="86">
        <f t="shared" si="319"/>
        <v>19</v>
      </c>
      <c r="T592" s="87">
        <f t="shared" si="320"/>
        <v>25</v>
      </c>
      <c r="U592">
        <v>19</v>
      </c>
    </row>
    <row r="593" spans="2:31" ht="20.100000000000001" hidden="1" customHeight="1">
      <c r="B593" s="77">
        <v>6</v>
      </c>
      <c r="C593" s="78" t="s">
        <v>1054</v>
      </c>
      <c r="D593" s="79" t="s">
        <v>1160</v>
      </c>
      <c r="E593" s="80" t="s">
        <v>1161</v>
      </c>
      <c r="F593" s="81">
        <v>22.81</v>
      </c>
      <c r="G593" s="222"/>
      <c r="H593" s="186"/>
      <c r="I593" s="186"/>
      <c r="J593" s="308"/>
      <c r="K593" s="227"/>
      <c r="L593" s="82">
        <f t="shared" si="328"/>
        <v>0</v>
      </c>
      <c r="M593" s="331"/>
      <c r="N593" s="161">
        <f t="shared" si="315"/>
        <v>0</v>
      </c>
      <c r="O593" s="161">
        <f t="shared" si="316"/>
        <v>0</v>
      </c>
      <c r="P593" s="187">
        <f t="shared" si="317"/>
        <v>0</v>
      </c>
      <c r="Q593" s="161">
        <f t="shared" si="318"/>
        <v>0</v>
      </c>
      <c r="R593" s="85"/>
      <c r="S593" s="86">
        <f t="shared" si="319"/>
        <v>0</v>
      </c>
      <c r="T593" s="87">
        <f t="shared" si="320"/>
        <v>0</v>
      </c>
    </row>
    <row r="594" spans="2:31" ht="20.100000000000001" hidden="1" customHeight="1">
      <c r="B594" s="77">
        <v>6</v>
      </c>
      <c r="C594" s="78" t="s">
        <v>1054</v>
      </c>
      <c r="D594" s="79" t="s">
        <v>1162</v>
      </c>
      <c r="E594" s="80" t="s">
        <v>1163</v>
      </c>
      <c r="F594" s="81">
        <v>21.88</v>
      </c>
      <c r="G594" s="222">
        <v>7</v>
      </c>
      <c r="H594" s="186"/>
      <c r="I594" s="186"/>
      <c r="J594" s="308"/>
      <c r="K594" s="227">
        <v>9</v>
      </c>
      <c r="L594" s="82">
        <f t="shared" si="328"/>
        <v>-2</v>
      </c>
      <c r="M594" s="331">
        <v>49</v>
      </c>
      <c r="N594" s="161">
        <f t="shared" si="315"/>
        <v>-43.76</v>
      </c>
      <c r="O594" s="161">
        <f t="shared" si="316"/>
        <v>1072.1199999999999</v>
      </c>
      <c r="P594" s="187">
        <f t="shared" si="317"/>
        <v>-51</v>
      </c>
      <c r="Q594" s="161">
        <f t="shared" si="318"/>
        <v>-1115.8799999999999</v>
      </c>
      <c r="R594" s="232"/>
      <c r="S594" s="86">
        <f t="shared" si="319"/>
        <v>0</v>
      </c>
      <c r="T594" s="87">
        <f t="shared" si="320"/>
        <v>49</v>
      </c>
    </row>
    <row r="595" spans="2:31" ht="20.100000000000001" hidden="1" customHeight="1">
      <c r="B595" s="77">
        <v>6</v>
      </c>
      <c r="C595" s="78" t="s">
        <v>1054</v>
      </c>
      <c r="D595" s="79" t="s">
        <v>1164</v>
      </c>
      <c r="E595" s="80" t="s">
        <v>1165</v>
      </c>
      <c r="F595" s="193">
        <v>21.88</v>
      </c>
      <c r="G595" s="222">
        <v>8</v>
      </c>
      <c r="H595" s="186"/>
      <c r="I595" s="186"/>
      <c r="J595" s="308"/>
      <c r="K595" s="227">
        <v>7</v>
      </c>
      <c r="L595" s="82">
        <f t="shared" si="328"/>
        <v>1</v>
      </c>
      <c r="M595" s="331">
        <v>1</v>
      </c>
      <c r="N595" s="161">
        <f t="shared" si="315"/>
        <v>21.88</v>
      </c>
      <c r="O595" s="161">
        <f t="shared" si="316"/>
        <v>21.88</v>
      </c>
      <c r="P595" s="187">
        <f t="shared" si="317"/>
        <v>0</v>
      </c>
      <c r="Q595" s="161">
        <f t="shared" si="318"/>
        <v>0</v>
      </c>
      <c r="R595" s="232" t="s">
        <v>3825</v>
      </c>
      <c r="S595" s="86">
        <f t="shared" si="319"/>
        <v>55</v>
      </c>
      <c r="T595" s="87">
        <f t="shared" si="320"/>
        <v>-54</v>
      </c>
      <c r="U595">
        <f>38+17</f>
        <v>55</v>
      </c>
    </row>
    <row r="596" spans="2:31" ht="20.100000000000001" hidden="1" customHeight="1">
      <c r="B596" s="77">
        <v>6</v>
      </c>
      <c r="C596" s="78" t="s">
        <v>1054</v>
      </c>
      <c r="D596" s="79" t="s">
        <v>1166</v>
      </c>
      <c r="E596" s="80" t="s">
        <v>1167</v>
      </c>
      <c r="F596" s="81">
        <v>9</v>
      </c>
      <c r="G596" s="222">
        <v>24</v>
      </c>
      <c r="H596" s="186"/>
      <c r="I596" s="186"/>
      <c r="J596" s="308"/>
      <c r="K596" s="227"/>
      <c r="L596" s="82">
        <f t="shared" si="328"/>
        <v>24</v>
      </c>
      <c r="M596" s="331">
        <v>24</v>
      </c>
      <c r="N596" s="161">
        <f t="shared" si="315"/>
        <v>216</v>
      </c>
      <c r="O596" s="161">
        <f t="shared" si="316"/>
        <v>216</v>
      </c>
      <c r="P596" s="187">
        <f t="shared" si="317"/>
        <v>0</v>
      </c>
      <c r="Q596" s="161">
        <f t="shared" si="318"/>
        <v>0</v>
      </c>
      <c r="R596" s="91">
        <v>45410</v>
      </c>
      <c r="S596" s="86">
        <f t="shared" si="319"/>
        <v>24</v>
      </c>
      <c r="T596" s="87">
        <f t="shared" si="320"/>
        <v>0</v>
      </c>
      <c r="W596">
        <v>24</v>
      </c>
      <c r="X596" t="s">
        <v>115</v>
      </c>
      <c r="AD596">
        <f>W596</f>
        <v>24</v>
      </c>
      <c r="AE596" s="89">
        <f>AD596*F596</f>
        <v>216</v>
      </c>
    </row>
    <row r="597" spans="2:31" ht="20.100000000000001" hidden="1" customHeight="1">
      <c r="B597" s="77">
        <v>6</v>
      </c>
      <c r="C597" s="78" t="s">
        <v>1054</v>
      </c>
      <c r="D597" s="79" t="s">
        <v>1168</v>
      </c>
      <c r="E597" s="80" t="s">
        <v>1169</v>
      </c>
      <c r="F597" s="81">
        <v>10.15</v>
      </c>
      <c r="G597" s="222"/>
      <c r="H597" s="186"/>
      <c r="I597" s="186"/>
      <c r="J597" s="308"/>
      <c r="K597" s="227"/>
      <c r="L597" s="82">
        <f t="shared" si="328"/>
        <v>0</v>
      </c>
      <c r="M597" s="331"/>
      <c r="N597" s="161">
        <f t="shared" si="315"/>
        <v>0</v>
      </c>
      <c r="O597" s="161">
        <f t="shared" si="316"/>
        <v>0</v>
      </c>
      <c r="P597" s="187">
        <f t="shared" si="317"/>
        <v>0</v>
      </c>
      <c r="Q597" s="161">
        <f t="shared" si="318"/>
        <v>0</v>
      </c>
      <c r="R597" s="233"/>
      <c r="S597" s="86">
        <f t="shared" si="319"/>
        <v>67</v>
      </c>
      <c r="T597" s="87">
        <f t="shared" si="320"/>
        <v>-67</v>
      </c>
      <c r="W597">
        <v>67</v>
      </c>
      <c r="X597" t="s">
        <v>922</v>
      </c>
      <c r="AD597">
        <f>W597</f>
        <v>67</v>
      </c>
      <c r="AE597" s="89">
        <f>AD597*F597</f>
        <v>680.05000000000007</v>
      </c>
    </row>
    <row r="598" spans="2:31" ht="20.100000000000001" hidden="1" customHeight="1">
      <c r="B598" s="77">
        <v>6</v>
      </c>
      <c r="C598" s="78" t="s">
        <v>1054</v>
      </c>
      <c r="D598" s="79" t="s">
        <v>1170</v>
      </c>
      <c r="E598" s="80" t="s">
        <v>1171</v>
      </c>
      <c r="F598" s="81">
        <v>13.1</v>
      </c>
      <c r="G598" s="222"/>
      <c r="H598" s="186"/>
      <c r="I598" s="186"/>
      <c r="J598" s="308"/>
      <c r="K598" s="227"/>
      <c r="L598" s="82">
        <f t="shared" si="328"/>
        <v>0</v>
      </c>
      <c r="M598" s="331"/>
      <c r="N598" s="161">
        <f t="shared" si="315"/>
        <v>0</v>
      </c>
      <c r="O598" s="161">
        <f t="shared" si="316"/>
        <v>0</v>
      </c>
      <c r="P598" s="187">
        <f t="shared" si="317"/>
        <v>0</v>
      </c>
      <c r="Q598" s="161">
        <f t="shared" si="318"/>
        <v>0</v>
      </c>
      <c r="R598" s="85"/>
      <c r="S598" s="86">
        <f t="shared" si="319"/>
        <v>35</v>
      </c>
      <c r="T598" s="87">
        <f t="shared" si="320"/>
        <v>-35</v>
      </c>
      <c r="U598">
        <v>35</v>
      </c>
    </row>
    <row r="599" spans="2:31" ht="20.100000000000001" hidden="1" customHeight="1">
      <c r="B599" s="77">
        <v>6</v>
      </c>
      <c r="C599" s="78" t="s">
        <v>1054</v>
      </c>
      <c r="D599" s="79" t="s">
        <v>1172</v>
      </c>
      <c r="E599" s="80" t="s">
        <v>1173</v>
      </c>
      <c r="F599" s="81">
        <v>13.1</v>
      </c>
      <c r="G599" s="222">
        <v>15</v>
      </c>
      <c r="H599" s="186"/>
      <c r="I599" s="186"/>
      <c r="J599" s="308"/>
      <c r="K599" s="227">
        <v>2</v>
      </c>
      <c r="L599" s="82">
        <f t="shared" si="328"/>
        <v>13</v>
      </c>
      <c r="M599" s="331">
        <v>13</v>
      </c>
      <c r="N599" s="161">
        <f t="shared" si="315"/>
        <v>170.29999999999998</v>
      </c>
      <c r="O599" s="161">
        <f t="shared" si="316"/>
        <v>170.29999999999998</v>
      </c>
      <c r="P599" s="187">
        <f t="shared" si="317"/>
        <v>0</v>
      </c>
      <c r="Q599" s="161">
        <f t="shared" si="318"/>
        <v>0</v>
      </c>
      <c r="R599" s="232"/>
      <c r="S599" s="86">
        <f t="shared" si="319"/>
        <v>22</v>
      </c>
      <c r="T599" s="87">
        <f t="shared" si="320"/>
        <v>-9</v>
      </c>
      <c r="U599">
        <v>22</v>
      </c>
    </row>
    <row r="600" spans="2:31" ht="20.100000000000001" hidden="1" customHeight="1">
      <c r="B600" s="77">
        <v>6</v>
      </c>
      <c r="C600" s="78" t="s">
        <v>1054</v>
      </c>
      <c r="D600" s="79" t="s">
        <v>1174</v>
      </c>
      <c r="E600" s="80" t="s">
        <v>1175</v>
      </c>
      <c r="F600" s="81">
        <v>13.1</v>
      </c>
      <c r="G600" s="222">
        <v>13</v>
      </c>
      <c r="H600" s="186"/>
      <c r="I600" s="186"/>
      <c r="J600" s="308"/>
      <c r="K600" s="227">
        <v>4</v>
      </c>
      <c r="L600" s="82">
        <f t="shared" si="328"/>
        <v>9</v>
      </c>
      <c r="M600" s="331">
        <v>9</v>
      </c>
      <c r="N600" s="161">
        <f t="shared" si="315"/>
        <v>117.89999999999999</v>
      </c>
      <c r="O600" s="161">
        <f t="shared" si="316"/>
        <v>117.89999999999999</v>
      </c>
      <c r="P600" s="187">
        <f t="shared" si="317"/>
        <v>0</v>
      </c>
      <c r="Q600" s="161">
        <f t="shared" si="318"/>
        <v>0</v>
      </c>
      <c r="R600" s="232" t="s">
        <v>3827</v>
      </c>
      <c r="S600" s="86">
        <f t="shared" si="319"/>
        <v>41</v>
      </c>
      <c r="T600" s="87">
        <f t="shared" si="320"/>
        <v>-32</v>
      </c>
      <c r="U600">
        <v>23</v>
      </c>
      <c r="W600">
        <v>18</v>
      </c>
      <c r="X600" t="s">
        <v>1176</v>
      </c>
    </row>
    <row r="601" spans="2:31" ht="20.100000000000001" hidden="1" customHeight="1">
      <c r="B601" s="77">
        <v>6</v>
      </c>
      <c r="C601" s="78" t="s">
        <v>1054</v>
      </c>
      <c r="D601" s="79" t="s">
        <v>1177</v>
      </c>
      <c r="E601" s="80" t="s">
        <v>1178</v>
      </c>
      <c r="F601" s="81">
        <v>13.1</v>
      </c>
      <c r="G601" s="222"/>
      <c r="H601" s="186"/>
      <c r="I601" s="186"/>
      <c r="J601" s="308"/>
      <c r="K601" s="227"/>
      <c r="L601" s="82">
        <f t="shared" si="328"/>
        <v>0</v>
      </c>
      <c r="M601" s="331"/>
      <c r="N601" s="161">
        <f t="shared" si="315"/>
        <v>0</v>
      </c>
      <c r="O601" s="161">
        <f t="shared" si="316"/>
        <v>0</v>
      </c>
      <c r="P601" s="187">
        <f t="shared" si="317"/>
        <v>0</v>
      </c>
      <c r="Q601" s="161">
        <f t="shared" si="318"/>
        <v>0</v>
      </c>
      <c r="R601" s="232" t="s">
        <v>3824</v>
      </c>
      <c r="S601" s="86">
        <f t="shared" si="319"/>
        <v>89</v>
      </c>
      <c r="T601" s="87">
        <f t="shared" si="320"/>
        <v>-89</v>
      </c>
      <c r="U601">
        <v>18</v>
      </c>
      <c r="W601">
        <v>71</v>
      </c>
      <c r="X601" t="s">
        <v>922</v>
      </c>
      <c r="AD601">
        <f>W601</f>
        <v>71</v>
      </c>
      <c r="AE601" s="89">
        <f>AD601*F601</f>
        <v>930.1</v>
      </c>
    </row>
    <row r="602" spans="2:31" ht="20.100000000000001" hidden="1" customHeight="1">
      <c r="B602" s="77">
        <v>6</v>
      </c>
      <c r="C602" s="78" t="s">
        <v>1054</v>
      </c>
      <c r="D602" s="79" t="s">
        <v>1179</v>
      </c>
      <c r="E602" s="80" t="s">
        <v>1180</v>
      </c>
      <c r="F602" s="81">
        <v>7.15</v>
      </c>
      <c r="G602" s="222"/>
      <c r="H602" s="186"/>
      <c r="I602" s="186"/>
      <c r="J602" s="308"/>
      <c r="K602" s="227"/>
      <c r="L602" s="82">
        <f t="shared" si="328"/>
        <v>0</v>
      </c>
      <c r="M602" s="331"/>
      <c r="N602" s="161">
        <f t="shared" si="315"/>
        <v>0</v>
      </c>
      <c r="O602" s="161">
        <f t="shared" si="316"/>
        <v>0</v>
      </c>
      <c r="P602" s="187">
        <f t="shared" si="317"/>
        <v>0</v>
      </c>
      <c r="Q602" s="161">
        <f t="shared" si="318"/>
        <v>0</v>
      </c>
      <c r="R602" s="91">
        <v>45653</v>
      </c>
      <c r="S602" s="86">
        <f t="shared" si="319"/>
        <v>20</v>
      </c>
      <c r="T602" s="87">
        <f t="shared" si="320"/>
        <v>-20</v>
      </c>
      <c r="W602">
        <v>20</v>
      </c>
      <c r="X602" t="s">
        <v>1181</v>
      </c>
      <c r="AD602">
        <f>W602</f>
        <v>20</v>
      </c>
      <c r="AE602" s="89">
        <f>AD602*F602</f>
        <v>143</v>
      </c>
    </row>
    <row r="603" spans="2:31" ht="20.100000000000001" hidden="1" customHeight="1">
      <c r="B603" s="77">
        <v>6</v>
      </c>
      <c r="C603" s="78" t="s">
        <v>1054</v>
      </c>
      <c r="D603" s="79" t="s">
        <v>1182</v>
      </c>
      <c r="E603" s="80" t="s">
        <v>1183</v>
      </c>
      <c r="F603" s="81">
        <v>16.850000000000001</v>
      </c>
      <c r="G603" s="222">
        <v>48</v>
      </c>
      <c r="H603" s="186"/>
      <c r="I603" s="186"/>
      <c r="J603" s="308"/>
      <c r="K603" s="227"/>
      <c r="L603" s="82">
        <f t="shared" si="328"/>
        <v>48</v>
      </c>
      <c r="M603" s="331">
        <v>48</v>
      </c>
      <c r="N603" s="161">
        <f t="shared" si="315"/>
        <v>808.80000000000007</v>
      </c>
      <c r="O603" s="161">
        <f t="shared" si="316"/>
        <v>808.80000000000007</v>
      </c>
      <c r="P603" s="187">
        <f t="shared" si="317"/>
        <v>0</v>
      </c>
      <c r="Q603" s="161">
        <f t="shared" si="318"/>
        <v>0</v>
      </c>
      <c r="R603" s="85"/>
      <c r="S603" s="86">
        <f t="shared" si="319"/>
        <v>48</v>
      </c>
      <c r="T603" s="87">
        <f t="shared" si="320"/>
        <v>0</v>
      </c>
      <c r="U603">
        <v>48</v>
      </c>
    </row>
    <row r="604" spans="2:31" ht="20.100000000000001" hidden="1" customHeight="1">
      <c r="B604" s="77">
        <v>6</v>
      </c>
      <c r="C604" s="78" t="s">
        <v>1054</v>
      </c>
      <c r="D604" s="79" t="s">
        <v>1184</v>
      </c>
      <c r="E604" s="80" t="s">
        <v>1185</v>
      </c>
      <c r="F604" s="81">
        <v>16.850000000000001</v>
      </c>
      <c r="G604" s="222"/>
      <c r="H604" s="186"/>
      <c r="I604" s="186"/>
      <c r="J604" s="308"/>
      <c r="K604" s="227"/>
      <c r="L604" s="82">
        <f t="shared" si="328"/>
        <v>0</v>
      </c>
      <c r="M604" s="331"/>
      <c r="N604" s="161">
        <f t="shared" si="315"/>
        <v>0</v>
      </c>
      <c r="O604" s="161">
        <f t="shared" si="316"/>
        <v>0</v>
      </c>
      <c r="P604" s="187">
        <f t="shared" si="317"/>
        <v>0</v>
      </c>
      <c r="Q604" s="161">
        <f t="shared" si="318"/>
        <v>0</v>
      </c>
      <c r="R604" s="91">
        <v>46119</v>
      </c>
      <c r="S604" s="86">
        <f t="shared" si="319"/>
        <v>30</v>
      </c>
      <c r="T604" s="87">
        <f t="shared" si="320"/>
        <v>-30</v>
      </c>
      <c r="W604">
        <v>30</v>
      </c>
      <c r="X604" t="s">
        <v>1186</v>
      </c>
      <c r="AD604">
        <f>W604</f>
        <v>30</v>
      </c>
      <c r="AE604" s="89">
        <f>AD604*F604</f>
        <v>505.50000000000006</v>
      </c>
    </row>
    <row r="605" spans="2:31" ht="20.100000000000001" hidden="1" customHeight="1">
      <c r="B605" s="77">
        <v>6</v>
      </c>
      <c r="C605" s="78" t="s">
        <v>1054</v>
      </c>
      <c r="D605" s="79" t="s">
        <v>1187</v>
      </c>
      <c r="E605" s="80" t="s">
        <v>1188</v>
      </c>
      <c r="F605" s="81">
        <v>16.850000000000001</v>
      </c>
      <c r="G605" s="222">
        <v>48</v>
      </c>
      <c r="H605" s="186"/>
      <c r="I605" s="186"/>
      <c r="J605" s="308"/>
      <c r="K605" s="227"/>
      <c r="L605" s="82">
        <f t="shared" si="328"/>
        <v>48</v>
      </c>
      <c r="M605" s="331">
        <v>48</v>
      </c>
      <c r="N605" s="161">
        <f t="shared" si="315"/>
        <v>808.80000000000007</v>
      </c>
      <c r="O605" s="161">
        <f t="shared" si="316"/>
        <v>808.80000000000007</v>
      </c>
      <c r="P605" s="187">
        <f t="shared" si="317"/>
        <v>0</v>
      </c>
      <c r="Q605" s="161">
        <f t="shared" si="318"/>
        <v>0</v>
      </c>
      <c r="R605" s="85"/>
      <c r="S605" s="86">
        <f t="shared" si="319"/>
        <v>48</v>
      </c>
      <c r="T605" s="87">
        <f t="shared" si="320"/>
        <v>0</v>
      </c>
      <c r="U605">
        <v>48</v>
      </c>
    </row>
    <row r="606" spans="2:31" ht="20.100000000000001" hidden="1" customHeight="1">
      <c r="B606" s="77">
        <v>6</v>
      </c>
      <c r="C606" s="78" t="s">
        <v>1054</v>
      </c>
      <c r="D606" s="79" t="s">
        <v>1189</v>
      </c>
      <c r="E606" s="80" t="s">
        <v>1190</v>
      </c>
      <c r="F606" s="81">
        <v>16.850000000000001</v>
      </c>
      <c r="G606" s="222">
        <v>24</v>
      </c>
      <c r="H606" s="186"/>
      <c r="I606" s="186"/>
      <c r="J606" s="308"/>
      <c r="K606" s="227"/>
      <c r="L606" s="82">
        <f t="shared" si="328"/>
        <v>24</v>
      </c>
      <c r="M606" s="331">
        <v>24</v>
      </c>
      <c r="N606" s="161">
        <f t="shared" si="315"/>
        <v>404.40000000000003</v>
      </c>
      <c r="O606" s="161">
        <f t="shared" si="316"/>
        <v>404.40000000000003</v>
      </c>
      <c r="P606" s="187">
        <f t="shared" si="317"/>
        <v>0</v>
      </c>
      <c r="Q606" s="161">
        <f t="shared" si="318"/>
        <v>0</v>
      </c>
      <c r="R606" s="85"/>
      <c r="S606" s="86">
        <f t="shared" si="319"/>
        <v>24</v>
      </c>
      <c r="T606" s="87">
        <f t="shared" si="320"/>
        <v>0</v>
      </c>
      <c r="U606">
        <v>24</v>
      </c>
    </row>
    <row r="607" spans="2:31" ht="20.100000000000001" hidden="1" customHeight="1">
      <c r="B607" s="77">
        <v>6</v>
      </c>
      <c r="C607" s="78" t="s">
        <v>1054</v>
      </c>
      <c r="D607" s="79" t="s">
        <v>1191</v>
      </c>
      <c r="E607" s="80" t="s">
        <v>1192</v>
      </c>
      <c r="F607" s="81">
        <v>35.700000000000003</v>
      </c>
      <c r="G607" s="222"/>
      <c r="H607" s="186"/>
      <c r="I607" s="186"/>
      <c r="J607" s="308"/>
      <c r="K607" s="227"/>
      <c r="L607" s="82">
        <f t="shared" si="328"/>
        <v>0</v>
      </c>
      <c r="M607" s="331"/>
      <c r="N607" s="161">
        <f t="shared" si="315"/>
        <v>0</v>
      </c>
      <c r="O607" s="161">
        <f t="shared" si="316"/>
        <v>0</v>
      </c>
      <c r="P607" s="187">
        <f t="shared" si="317"/>
        <v>0</v>
      </c>
      <c r="Q607" s="161">
        <f t="shared" si="318"/>
        <v>0</v>
      </c>
      <c r="R607" s="85"/>
      <c r="S607" s="86">
        <f t="shared" si="319"/>
        <v>0</v>
      </c>
      <c r="T607" s="87">
        <f t="shared" si="320"/>
        <v>0</v>
      </c>
    </row>
    <row r="608" spans="2:31" ht="20.100000000000001" hidden="1" customHeight="1">
      <c r="B608" s="77">
        <v>6</v>
      </c>
      <c r="C608" s="78" t="s">
        <v>1054</v>
      </c>
      <c r="D608" s="79" t="s">
        <v>1193</v>
      </c>
      <c r="E608" s="80" t="s">
        <v>1194</v>
      </c>
      <c r="F608" s="81">
        <v>34</v>
      </c>
      <c r="G608" s="222">
        <v>1</v>
      </c>
      <c r="H608" s="186"/>
      <c r="I608" s="186"/>
      <c r="J608" s="308"/>
      <c r="K608" s="227"/>
      <c r="L608" s="82">
        <f t="shared" si="328"/>
        <v>1</v>
      </c>
      <c r="M608" s="331">
        <v>1</v>
      </c>
      <c r="N608" s="161">
        <f t="shared" si="315"/>
        <v>34</v>
      </c>
      <c r="O608" s="161">
        <f t="shared" si="316"/>
        <v>34</v>
      </c>
      <c r="P608" s="187">
        <f t="shared" si="317"/>
        <v>0</v>
      </c>
      <c r="Q608" s="161">
        <f t="shared" si="318"/>
        <v>0</v>
      </c>
      <c r="R608" s="85"/>
      <c r="S608" s="86">
        <f t="shared" si="319"/>
        <v>0</v>
      </c>
      <c r="T608" s="87">
        <f t="shared" si="320"/>
        <v>1</v>
      </c>
    </row>
    <row r="609" spans="2:31" ht="20.100000000000001" hidden="1" customHeight="1">
      <c r="B609" s="77">
        <v>7</v>
      </c>
      <c r="C609" s="78" t="s">
        <v>1195</v>
      </c>
      <c r="D609" s="79" t="s">
        <v>1196</v>
      </c>
      <c r="E609" s="80" t="s">
        <v>1197</v>
      </c>
      <c r="F609" s="81">
        <v>27.5</v>
      </c>
      <c r="G609" s="222"/>
      <c r="H609" s="186"/>
      <c r="I609" s="186"/>
      <c r="J609" s="308"/>
      <c r="K609" s="227"/>
      <c r="L609" s="82">
        <f t="shared" si="328"/>
        <v>0</v>
      </c>
      <c r="M609" s="331"/>
      <c r="N609" s="161">
        <f t="shared" si="315"/>
        <v>0</v>
      </c>
      <c r="O609" s="161">
        <f t="shared" si="316"/>
        <v>0</v>
      </c>
      <c r="P609" s="187">
        <f t="shared" si="317"/>
        <v>0</v>
      </c>
      <c r="Q609" s="161">
        <f t="shared" si="318"/>
        <v>0</v>
      </c>
      <c r="R609" s="85"/>
      <c r="S609" s="86">
        <f t="shared" si="319"/>
        <v>0</v>
      </c>
      <c r="T609" s="87">
        <f t="shared" si="320"/>
        <v>0</v>
      </c>
    </row>
    <row r="610" spans="2:31" ht="20.100000000000001" hidden="1" customHeight="1">
      <c r="B610" s="77">
        <v>7</v>
      </c>
      <c r="C610" s="78" t="s">
        <v>1195</v>
      </c>
      <c r="D610" s="79" t="s">
        <v>1198</v>
      </c>
      <c r="E610" s="80" t="s">
        <v>1199</v>
      </c>
      <c r="F610" s="81">
        <v>27.5</v>
      </c>
      <c r="G610" s="222"/>
      <c r="H610" s="186"/>
      <c r="I610" s="186"/>
      <c r="J610" s="308"/>
      <c r="K610" s="227"/>
      <c r="L610" s="82">
        <f t="shared" si="328"/>
        <v>0</v>
      </c>
      <c r="M610" s="331"/>
      <c r="N610" s="161">
        <f t="shared" si="315"/>
        <v>0</v>
      </c>
      <c r="O610" s="161">
        <f t="shared" si="316"/>
        <v>0</v>
      </c>
      <c r="P610" s="187">
        <f t="shared" si="317"/>
        <v>0</v>
      </c>
      <c r="Q610" s="161">
        <f t="shared" si="318"/>
        <v>0</v>
      </c>
      <c r="R610" s="85"/>
      <c r="S610" s="86">
        <f t="shared" si="319"/>
        <v>0</v>
      </c>
      <c r="T610" s="87">
        <f t="shared" si="320"/>
        <v>0</v>
      </c>
    </row>
    <row r="611" spans="2:31" ht="20.100000000000001" hidden="1" customHeight="1">
      <c r="B611" s="77">
        <v>7</v>
      </c>
      <c r="C611" s="78" t="s">
        <v>1195</v>
      </c>
      <c r="D611" s="79" t="s">
        <v>1200</v>
      </c>
      <c r="E611" s="80" t="s">
        <v>1201</v>
      </c>
      <c r="F611" s="81">
        <v>27.25</v>
      </c>
      <c r="G611" s="222"/>
      <c r="H611" s="186"/>
      <c r="I611" s="186"/>
      <c r="J611" s="308"/>
      <c r="K611" s="227"/>
      <c r="L611" s="82">
        <f t="shared" si="328"/>
        <v>0</v>
      </c>
      <c r="M611" s="331"/>
      <c r="N611" s="161">
        <f t="shared" si="315"/>
        <v>0</v>
      </c>
      <c r="O611" s="161">
        <f t="shared" si="316"/>
        <v>0</v>
      </c>
      <c r="P611" s="187">
        <f t="shared" si="317"/>
        <v>0</v>
      </c>
      <c r="Q611" s="161">
        <f t="shared" si="318"/>
        <v>0</v>
      </c>
      <c r="R611" s="85"/>
      <c r="S611" s="86">
        <f t="shared" si="319"/>
        <v>0</v>
      </c>
      <c r="T611" s="87">
        <f t="shared" si="320"/>
        <v>0</v>
      </c>
    </row>
    <row r="612" spans="2:31" ht="20.100000000000001" hidden="1" customHeight="1">
      <c r="B612" s="77">
        <v>7</v>
      </c>
      <c r="C612" s="78" t="s">
        <v>1195</v>
      </c>
      <c r="D612" s="79" t="s">
        <v>1202</v>
      </c>
      <c r="E612" s="80" t="s">
        <v>1203</v>
      </c>
      <c r="F612" s="81">
        <v>29.47</v>
      </c>
      <c r="G612" s="222"/>
      <c r="H612" s="186"/>
      <c r="I612" s="186"/>
      <c r="J612" s="308"/>
      <c r="K612" s="227"/>
      <c r="L612" s="82">
        <f t="shared" si="328"/>
        <v>0</v>
      </c>
      <c r="M612" s="331"/>
      <c r="N612" s="161">
        <f t="shared" si="315"/>
        <v>0</v>
      </c>
      <c r="O612" s="161">
        <f t="shared" si="316"/>
        <v>0</v>
      </c>
      <c r="P612" s="187">
        <f t="shared" si="317"/>
        <v>0</v>
      </c>
      <c r="Q612" s="161">
        <f t="shared" si="318"/>
        <v>0</v>
      </c>
      <c r="R612" s="85"/>
      <c r="S612" s="86">
        <f t="shared" si="319"/>
        <v>0</v>
      </c>
      <c r="T612" s="87">
        <f t="shared" si="320"/>
        <v>0</v>
      </c>
    </row>
    <row r="613" spans="2:31" ht="20.100000000000001" hidden="1" customHeight="1">
      <c r="B613" s="77">
        <v>7</v>
      </c>
      <c r="C613" s="78" t="s">
        <v>1195</v>
      </c>
      <c r="D613" s="79" t="s">
        <v>1204</v>
      </c>
      <c r="E613" s="80" t="s">
        <v>1205</v>
      </c>
      <c r="F613" s="273">
        <v>56.308999999999997</v>
      </c>
      <c r="G613" s="222"/>
      <c r="H613" s="186"/>
      <c r="I613" s="186">
        <v>24</v>
      </c>
      <c r="J613" s="308"/>
      <c r="K613" s="227">
        <v>9</v>
      </c>
      <c r="L613" s="82">
        <f t="shared" si="328"/>
        <v>15</v>
      </c>
      <c r="M613" s="331">
        <v>15</v>
      </c>
      <c r="N613" s="161">
        <f t="shared" si="315"/>
        <v>844.63499999999999</v>
      </c>
      <c r="O613" s="161">
        <f t="shared" si="316"/>
        <v>844.63499999999999</v>
      </c>
      <c r="P613" s="187">
        <f t="shared" si="317"/>
        <v>0</v>
      </c>
      <c r="Q613" s="161">
        <f t="shared" si="318"/>
        <v>0</v>
      </c>
      <c r="R613" s="232" t="s">
        <v>3828</v>
      </c>
      <c r="S613" s="86">
        <f t="shared" si="319"/>
        <v>14</v>
      </c>
      <c r="T613" s="87">
        <f t="shared" si="320"/>
        <v>1</v>
      </c>
      <c r="U613">
        <v>14</v>
      </c>
    </row>
    <row r="614" spans="2:31" ht="20.100000000000001" hidden="1" customHeight="1">
      <c r="B614" s="77">
        <v>7</v>
      </c>
      <c r="C614" s="78" t="s">
        <v>1195</v>
      </c>
      <c r="D614" s="79" t="s">
        <v>1206</v>
      </c>
      <c r="E614" s="80" t="s">
        <v>1207</v>
      </c>
      <c r="F614" s="81">
        <v>54.48</v>
      </c>
      <c r="G614" s="222"/>
      <c r="H614" s="186"/>
      <c r="I614" s="186"/>
      <c r="J614" s="308"/>
      <c r="K614" s="227"/>
      <c r="L614" s="82">
        <f t="shared" si="328"/>
        <v>0</v>
      </c>
      <c r="M614" s="331"/>
      <c r="N614" s="161">
        <f t="shared" si="315"/>
        <v>0</v>
      </c>
      <c r="O614" s="161">
        <f t="shared" si="316"/>
        <v>0</v>
      </c>
      <c r="P614" s="187">
        <f t="shared" si="317"/>
        <v>0</v>
      </c>
      <c r="Q614" s="161">
        <f t="shared" si="318"/>
        <v>0</v>
      </c>
      <c r="R614" s="85"/>
      <c r="S614" s="86">
        <f t="shared" si="319"/>
        <v>0</v>
      </c>
      <c r="T614" s="87">
        <f t="shared" si="320"/>
        <v>0</v>
      </c>
    </row>
    <row r="615" spans="2:31" ht="20.100000000000001" hidden="1" customHeight="1">
      <c r="B615" s="77">
        <v>7</v>
      </c>
      <c r="C615" s="78" t="s">
        <v>1195</v>
      </c>
      <c r="D615" s="79" t="s">
        <v>1208</v>
      </c>
      <c r="E615" s="80" t="s">
        <v>1209</v>
      </c>
      <c r="F615" s="81">
        <v>19.059999999999999</v>
      </c>
      <c r="G615" s="222">
        <v>21</v>
      </c>
      <c r="H615" s="186"/>
      <c r="I615" s="186"/>
      <c r="J615" s="308"/>
      <c r="K615" s="227"/>
      <c r="L615" s="82">
        <f t="shared" si="328"/>
        <v>21</v>
      </c>
      <c r="M615" s="345">
        <v>21</v>
      </c>
      <c r="N615" s="161">
        <f t="shared" si="315"/>
        <v>400.26</v>
      </c>
      <c r="O615" s="161">
        <f t="shared" si="316"/>
        <v>400.26</v>
      </c>
      <c r="P615" s="187">
        <f t="shared" si="317"/>
        <v>0</v>
      </c>
      <c r="Q615" s="161">
        <f t="shared" si="318"/>
        <v>0</v>
      </c>
      <c r="R615" s="85" t="s">
        <v>1210</v>
      </c>
      <c r="S615" s="86">
        <f t="shared" si="319"/>
        <v>29</v>
      </c>
      <c r="T615" s="87">
        <f t="shared" si="320"/>
        <v>-8</v>
      </c>
      <c r="U615">
        <v>8</v>
      </c>
      <c r="W615">
        <f>10+11</f>
        <v>21</v>
      </c>
      <c r="X615" t="s">
        <v>121</v>
      </c>
      <c r="AD615">
        <f t="shared" ref="AD615:AD617" si="329">W615</f>
        <v>21</v>
      </c>
      <c r="AE615" s="89">
        <f>AD615*F615</f>
        <v>400.26</v>
      </c>
    </row>
    <row r="616" spans="2:31" ht="20.100000000000001" hidden="1" customHeight="1">
      <c r="B616" s="77">
        <v>7</v>
      </c>
      <c r="C616" s="78" t="s">
        <v>1195</v>
      </c>
      <c r="D616" s="79" t="s">
        <v>1211</v>
      </c>
      <c r="E616" s="80" t="s">
        <v>1212</v>
      </c>
      <c r="F616" s="81">
        <v>35.15</v>
      </c>
      <c r="G616" s="222">
        <v>17</v>
      </c>
      <c r="H616" s="186"/>
      <c r="I616" s="186"/>
      <c r="J616" s="308"/>
      <c r="K616" s="227">
        <v>5</v>
      </c>
      <c r="L616" s="82">
        <f t="shared" ref="L616" si="330">G616+I616-J616-K616+H616</f>
        <v>12</v>
      </c>
      <c r="M616" s="331">
        <v>12</v>
      </c>
      <c r="N616" s="161">
        <f t="shared" ref="N616" si="331">F616*L616</f>
        <v>421.79999999999995</v>
      </c>
      <c r="O616" s="161">
        <f t="shared" ref="O616" si="332">M616*F616</f>
        <v>421.79999999999995</v>
      </c>
      <c r="P616" s="187">
        <f t="shared" ref="P616" si="333">L616-M616</f>
        <v>0</v>
      </c>
      <c r="Q616" s="161">
        <f t="shared" ref="Q616" si="334">N616-O616</f>
        <v>0</v>
      </c>
      <c r="R616" s="85" t="s">
        <v>1213</v>
      </c>
      <c r="S616" s="86">
        <f t="shared" ref="S616" si="335">U616+Y616+W616+AA616</f>
        <v>43</v>
      </c>
      <c r="T616" s="87">
        <f t="shared" ref="T616" si="336">M616-S616</f>
        <v>-31</v>
      </c>
      <c r="U616">
        <v>35</v>
      </c>
      <c r="W616">
        <v>8</v>
      </c>
      <c r="X616" t="s">
        <v>121</v>
      </c>
      <c r="AD616">
        <f t="shared" ref="AD616" si="337">W616</f>
        <v>8</v>
      </c>
      <c r="AE616" s="89">
        <f>AD616*F616</f>
        <v>281.2</v>
      </c>
    </row>
    <row r="617" spans="2:31" ht="20.100000000000001" hidden="1" customHeight="1">
      <c r="B617" s="77">
        <v>7</v>
      </c>
      <c r="C617" s="78" t="s">
        <v>1195</v>
      </c>
      <c r="D617" s="79" t="s">
        <v>1211</v>
      </c>
      <c r="E617" s="80" t="s">
        <v>1212</v>
      </c>
      <c r="F617" s="275">
        <v>34.51</v>
      </c>
      <c r="G617" s="222"/>
      <c r="H617" s="186"/>
      <c r="I617" s="186">
        <v>24</v>
      </c>
      <c r="J617" s="308"/>
      <c r="K617" s="227">
        <v>6</v>
      </c>
      <c r="L617" s="82">
        <f t="shared" si="328"/>
        <v>18</v>
      </c>
      <c r="M617" s="331">
        <v>18</v>
      </c>
      <c r="N617" s="161">
        <f t="shared" si="315"/>
        <v>621.17999999999995</v>
      </c>
      <c r="O617" s="161">
        <f t="shared" si="316"/>
        <v>621.17999999999995</v>
      </c>
      <c r="P617" s="187">
        <f t="shared" si="317"/>
        <v>0</v>
      </c>
      <c r="Q617" s="161">
        <f t="shared" si="318"/>
        <v>0</v>
      </c>
      <c r="R617" s="85" t="s">
        <v>1213</v>
      </c>
      <c r="S617" s="86">
        <f t="shared" si="319"/>
        <v>43</v>
      </c>
      <c r="T617" s="87">
        <f t="shared" si="320"/>
        <v>-25</v>
      </c>
      <c r="U617">
        <v>35</v>
      </c>
      <c r="W617">
        <v>8</v>
      </c>
      <c r="X617" t="s">
        <v>121</v>
      </c>
      <c r="AD617">
        <f t="shared" si="329"/>
        <v>8</v>
      </c>
      <c r="AE617" s="89">
        <f>AD617*F617</f>
        <v>276.08</v>
      </c>
    </row>
    <row r="618" spans="2:31" ht="20.100000000000001" hidden="1" customHeight="1">
      <c r="B618" s="77">
        <v>7</v>
      </c>
      <c r="C618" s="78" t="s">
        <v>1195</v>
      </c>
      <c r="D618" s="79" t="s">
        <v>1214</v>
      </c>
      <c r="E618" s="80" t="s">
        <v>1215</v>
      </c>
      <c r="F618" s="81">
        <v>134.53</v>
      </c>
      <c r="G618" s="222">
        <v>10</v>
      </c>
      <c r="H618" s="186"/>
      <c r="I618" s="186"/>
      <c r="J618" s="308"/>
      <c r="K618" s="227">
        <v>2</v>
      </c>
      <c r="L618" s="82">
        <f t="shared" si="328"/>
        <v>8</v>
      </c>
      <c r="M618" s="331">
        <v>8</v>
      </c>
      <c r="N618" s="161">
        <f t="shared" si="315"/>
        <v>1076.24</v>
      </c>
      <c r="O618" s="161">
        <f t="shared" si="316"/>
        <v>1076.24</v>
      </c>
      <c r="P618" s="187">
        <f t="shared" si="317"/>
        <v>0</v>
      </c>
      <c r="Q618" s="161">
        <f t="shared" si="318"/>
        <v>0</v>
      </c>
      <c r="R618" s="85"/>
      <c r="S618" s="86">
        <f t="shared" si="319"/>
        <v>10</v>
      </c>
      <c r="T618" s="87">
        <f t="shared" si="320"/>
        <v>-2</v>
      </c>
      <c r="U618">
        <v>10</v>
      </c>
    </row>
    <row r="619" spans="2:31" ht="20.100000000000001" hidden="1" customHeight="1">
      <c r="B619" s="77">
        <v>7</v>
      </c>
      <c r="C619" s="78" t="s">
        <v>1195</v>
      </c>
      <c r="D619" s="79" t="s">
        <v>1216</v>
      </c>
      <c r="E619" s="80" t="s">
        <v>1217</v>
      </c>
      <c r="F619" s="81">
        <v>68.97</v>
      </c>
      <c r="G619" s="222">
        <v>20</v>
      </c>
      <c r="H619" s="186"/>
      <c r="I619" s="186"/>
      <c r="J619" s="308"/>
      <c r="K619" s="227"/>
      <c r="L619" s="82">
        <f t="shared" si="328"/>
        <v>20</v>
      </c>
      <c r="M619" s="331">
        <v>20</v>
      </c>
      <c r="N619" s="161">
        <f t="shared" si="315"/>
        <v>1379.4</v>
      </c>
      <c r="O619" s="161">
        <f t="shared" si="316"/>
        <v>1379.4</v>
      </c>
      <c r="P619" s="187">
        <f t="shared" si="317"/>
        <v>0</v>
      </c>
      <c r="Q619" s="161">
        <f t="shared" si="318"/>
        <v>0</v>
      </c>
      <c r="R619" s="85" t="s">
        <v>1218</v>
      </c>
      <c r="S619" s="86">
        <f t="shared" si="319"/>
        <v>20</v>
      </c>
      <c r="T619" s="87">
        <f t="shared" si="320"/>
        <v>0</v>
      </c>
      <c r="W619">
        <f>2+18</f>
        <v>20</v>
      </c>
      <c r="X619" t="s">
        <v>641</v>
      </c>
      <c r="AD619">
        <f>W619</f>
        <v>20</v>
      </c>
      <c r="AE619" s="89">
        <f>AD619*F619</f>
        <v>1379.4</v>
      </c>
    </row>
    <row r="620" spans="2:31" ht="20.100000000000001" hidden="1" customHeight="1">
      <c r="B620" s="77">
        <v>7</v>
      </c>
      <c r="C620" s="78" t="s">
        <v>1195</v>
      </c>
      <c r="D620" s="79" t="s">
        <v>1219</v>
      </c>
      <c r="E620" s="80" t="s">
        <v>1220</v>
      </c>
      <c r="F620" s="81">
        <v>50.48</v>
      </c>
      <c r="G620" s="222">
        <v>7</v>
      </c>
      <c r="H620" s="186"/>
      <c r="I620" s="186"/>
      <c r="J620" s="308"/>
      <c r="K620" s="227"/>
      <c r="L620" s="82">
        <f t="shared" si="328"/>
        <v>7</v>
      </c>
      <c r="M620" s="331">
        <v>7</v>
      </c>
      <c r="N620" s="161">
        <f t="shared" si="315"/>
        <v>353.35999999999996</v>
      </c>
      <c r="O620" s="161">
        <f t="shared" si="316"/>
        <v>353.35999999999996</v>
      </c>
      <c r="P620" s="187">
        <f t="shared" si="317"/>
        <v>0</v>
      </c>
      <c r="Q620" s="161">
        <f t="shared" si="318"/>
        <v>0</v>
      </c>
      <c r="R620" s="85" t="s">
        <v>1221</v>
      </c>
      <c r="S620" s="86">
        <f t="shared" si="319"/>
        <v>7</v>
      </c>
      <c r="T620" s="87">
        <f t="shared" si="320"/>
        <v>0</v>
      </c>
      <c r="W620">
        <v>7</v>
      </c>
      <c r="X620" t="s">
        <v>121</v>
      </c>
      <c r="AD620">
        <f>W620</f>
        <v>7</v>
      </c>
      <c r="AE620" s="89">
        <f>AD620*F620</f>
        <v>353.35999999999996</v>
      </c>
    </row>
    <row r="621" spans="2:31" ht="20.100000000000001" hidden="1" customHeight="1">
      <c r="B621" s="77">
        <v>7</v>
      </c>
      <c r="C621" s="78" t="s">
        <v>1195</v>
      </c>
      <c r="D621" s="79" t="s">
        <v>1222</v>
      </c>
      <c r="E621" s="80" t="s">
        <v>1223</v>
      </c>
      <c r="F621" s="81">
        <v>30.07</v>
      </c>
      <c r="G621" s="222">
        <v>13</v>
      </c>
      <c r="H621" s="186"/>
      <c r="I621" s="186"/>
      <c r="J621" s="308"/>
      <c r="K621" s="227"/>
      <c r="L621" s="82">
        <f t="shared" si="328"/>
        <v>13</v>
      </c>
      <c r="M621" s="331">
        <v>13</v>
      </c>
      <c r="N621" s="161">
        <f t="shared" si="315"/>
        <v>390.91</v>
      </c>
      <c r="O621" s="161">
        <f t="shared" si="316"/>
        <v>390.91</v>
      </c>
      <c r="P621" s="187">
        <f t="shared" si="317"/>
        <v>0</v>
      </c>
      <c r="Q621" s="161">
        <f t="shared" si="318"/>
        <v>0</v>
      </c>
      <c r="R621" s="85"/>
      <c r="S621" s="86">
        <f t="shared" si="319"/>
        <v>13</v>
      </c>
      <c r="T621" s="87">
        <f t="shared" si="320"/>
        <v>0</v>
      </c>
      <c r="U621">
        <v>13</v>
      </c>
    </row>
    <row r="622" spans="2:31" ht="20.100000000000001" hidden="1" customHeight="1">
      <c r="B622" s="77">
        <v>7</v>
      </c>
      <c r="C622" s="78" t="s">
        <v>1195</v>
      </c>
      <c r="D622" s="79" t="s">
        <v>1224</v>
      </c>
      <c r="E622" s="80" t="s">
        <v>1225</v>
      </c>
      <c r="F622" s="81">
        <v>59.55</v>
      </c>
      <c r="G622" s="222">
        <v>21</v>
      </c>
      <c r="H622" s="186"/>
      <c r="I622" s="186"/>
      <c r="J622" s="308"/>
      <c r="K622" s="227"/>
      <c r="L622" s="82">
        <f t="shared" si="328"/>
        <v>21</v>
      </c>
      <c r="M622" s="331">
        <v>21</v>
      </c>
      <c r="N622" s="161">
        <f t="shared" si="315"/>
        <v>1250.55</v>
      </c>
      <c r="O622" s="161">
        <f t="shared" si="316"/>
        <v>1250.55</v>
      </c>
      <c r="P622" s="187">
        <f t="shared" si="317"/>
        <v>0</v>
      </c>
      <c r="Q622" s="161">
        <f t="shared" si="318"/>
        <v>0</v>
      </c>
      <c r="R622" s="85"/>
      <c r="S622" s="86">
        <f t="shared" si="319"/>
        <v>0</v>
      </c>
      <c r="T622" s="87">
        <f t="shared" si="320"/>
        <v>21</v>
      </c>
    </row>
    <row r="623" spans="2:31" ht="20.100000000000001" hidden="1" customHeight="1">
      <c r="B623" s="77">
        <v>7</v>
      </c>
      <c r="C623" s="78" t="s">
        <v>1195</v>
      </c>
      <c r="D623" s="79" t="s">
        <v>1226</v>
      </c>
      <c r="E623" s="80" t="s">
        <v>1227</v>
      </c>
      <c r="F623" s="81">
        <v>25.5</v>
      </c>
      <c r="G623" s="222">
        <v>20</v>
      </c>
      <c r="H623" s="186"/>
      <c r="I623" s="186"/>
      <c r="J623" s="308"/>
      <c r="K623" s="227"/>
      <c r="L623" s="82">
        <f t="shared" si="328"/>
        <v>20</v>
      </c>
      <c r="M623" s="331">
        <v>20</v>
      </c>
      <c r="N623" s="161">
        <f t="shared" si="315"/>
        <v>510</v>
      </c>
      <c r="O623" s="161">
        <f t="shared" si="316"/>
        <v>510</v>
      </c>
      <c r="P623" s="187">
        <f t="shared" si="317"/>
        <v>0</v>
      </c>
      <c r="Q623" s="161">
        <f t="shared" si="318"/>
        <v>0</v>
      </c>
      <c r="R623" s="85"/>
      <c r="S623" s="86">
        <f t="shared" si="319"/>
        <v>20</v>
      </c>
      <c r="T623" s="87">
        <f t="shared" si="320"/>
        <v>0</v>
      </c>
      <c r="U623">
        <v>20</v>
      </c>
    </row>
    <row r="624" spans="2:31" ht="20.100000000000001" hidden="1" customHeight="1">
      <c r="B624" s="77">
        <v>7</v>
      </c>
      <c r="C624" s="78" t="s">
        <v>1195</v>
      </c>
      <c r="D624" s="79" t="s">
        <v>1228</v>
      </c>
      <c r="E624" s="80" t="s">
        <v>1229</v>
      </c>
      <c r="F624" s="81">
        <v>34.58</v>
      </c>
      <c r="G624" s="222"/>
      <c r="H624" s="186"/>
      <c r="I624" s="186"/>
      <c r="J624" s="308"/>
      <c r="K624" s="227"/>
      <c r="L624" s="82">
        <f t="shared" si="328"/>
        <v>0</v>
      </c>
      <c r="M624" s="331"/>
      <c r="N624" s="161">
        <f t="shared" si="315"/>
        <v>0</v>
      </c>
      <c r="O624" s="161">
        <f t="shared" si="316"/>
        <v>0</v>
      </c>
      <c r="P624" s="187">
        <f t="shared" si="317"/>
        <v>0</v>
      </c>
      <c r="Q624" s="161">
        <f t="shared" si="318"/>
        <v>0</v>
      </c>
      <c r="R624" s="85"/>
      <c r="S624" s="86">
        <f t="shared" si="319"/>
        <v>0</v>
      </c>
      <c r="T624" s="87">
        <f t="shared" si="320"/>
        <v>0</v>
      </c>
    </row>
    <row r="625" spans="2:21" ht="20.100000000000001" hidden="1" customHeight="1">
      <c r="B625" s="77">
        <v>7</v>
      </c>
      <c r="C625" s="78" t="s">
        <v>1195</v>
      </c>
      <c r="D625" s="79" t="s">
        <v>1230</v>
      </c>
      <c r="E625" s="80" t="s">
        <v>1231</v>
      </c>
      <c r="F625" s="81">
        <v>39.08</v>
      </c>
      <c r="G625" s="222">
        <v>11</v>
      </c>
      <c r="H625" s="186"/>
      <c r="I625" s="186"/>
      <c r="J625" s="308"/>
      <c r="K625" s="227"/>
      <c r="L625" s="82">
        <f t="shared" si="328"/>
        <v>11</v>
      </c>
      <c r="M625" s="331">
        <v>11</v>
      </c>
      <c r="N625" s="161">
        <f t="shared" si="315"/>
        <v>429.88</v>
      </c>
      <c r="O625" s="161">
        <f t="shared" si="316"/>
        <v>429.88</v>
      </c>
      <c r="P625" s="187">
        <f t="shared" si="317"/>
        <v>0</v>
      </c>
      <c r="Q625" s="161">
        <f t="shared" si="318"/>
        <v>0</v>
      </c>
      <c r="R625" s="85"/>
      <c r="S625" s="86">
        <f t="shared" si="319"/>
        <v>17</v>
      </c>
      <c r="T625" s="87">
        <f t="shared" si="320"/>
        <v>-6</v>
      </c>
      <c r="U625">
        <v>17</v>
      </c>
    </row>
    <row r="626" spans="2:21" ht="20.100000000000001" hidden="1" customHeight="1">
      <c r="B626" s="77">
        <v>7</v>
      </c>
      <c r="C626" s="78" t="s">
        <v>1195</v>
      </c>
      <c r="D626" s="79" t="s">
        <v>1230</v>
      </c>
      <c r="E626" s="80" t="s">
        <v>1231</v>
      </c>
      <c r="F626" s="81">
        <v>38.81</v>
      </c>
      <c r="G626" s="222">
        <v>8</v>
      </c>
      <c r="H626" s="186"/>
      <c r="I626" s="186"/>
      <c r="J626" s="308"/>
      <c r="K626" s="227">
        <v>8</v>
      </c>
      <c r="L626" s="82">
        <f t="shared" si="328"/>
        <v>0</v>
      </c>
      <c r="M626" s="331"/>
      <c r="N626" s="161">
        <f t="shared" si="315"/>
        <v>0</v>
      </c>
      <c r="O626" s="161">
        <f t="shared" si="316"/>
        <v>0</v>
      </c>
      <c r="P626" s="187">
        <f t="shared" si="317"/>
        <v>0</v>
      </c>
      <c r="Q626" s="161">
        <f t="shared" si="318"/>
        <v>0</v>
      </c>
      <c r="R626" s="85"/>
      <c r="S626" s="86">
        <f t="shared" si="319"/>
        <v>0</v>
      </c>
      <c r="T626" s="87">
        <f t="shared" ref="T626:T686" si="338">M626-S626</f>
        <v>0</v>
      </c>
    </row>
    <row r="627" spans="2:21" ht="20.100000000000001" hidden="1" customHeight="1">
      <c r="B627" s="77">
        <v>7</v>
      </c>
      <c r="C627" s="78" t="s">
        <v>1195</v>
      </c>
      <c r="D627" s="79" t="s">
        <v>1232</v>
      </c>
      <c r="E627" s="80" t="s">
        <v>1233</v>
      </c>
      <c r="F627" s="81">
        <v>54.89</v>
      </c>
      <c r="G627" s="222"/>
      <c r="H627" s="186"/>
      <c r="I627" s="186"/>
      <c r="J627" s="308"/>
      <c r="K627" s="227"/>
      <c r="L627" s="82">
        <f t="shared" si="328"/>
        <v>0</v>
      </c>
      <c r="M627" s="331"/>
      <c r="N627" s="161">
        <f t="shared" ref="N627:N686" si="339">F627*L627</f>
        <v>0</v>
      </c>
      <c r="O627" s="161">
        <f t="shared" ref="O627:O686" si="340">M627*F627</f>
        <v>0</v>
      </c>
      <c r="P627" s="187">
        <f t="shared" ref="P627:P686" si="341">L627-M627</f>
        <v>0</v>
      </c>
      <c r="Q627" s="161">
        <f t="shared" ref="Q627:Q686" si="342">N627-O627</f>
        <v>0</v>
      </c>
      <c r="R627" s="85"/>
      <c r="S627" s="86">
        <f t="shared" ref="S627:S686" si="343">U627+Y627+W627+AA627</f>
        <v>0</v>
      </c>
      <c r="T627" s="87">
        <f t="shared" si="338"/>
        <v>0</v>
      </c>
    </row>
    <row r="628" spans="2:21" ht="20.100000000000001" hidden="1" customHeight="1">
      <c r="B628" s="77">
        <v>7</v>
      </c>
      <c r="C628" s="78" t="s">
        <v>1195</v>
      </c>
      <c r="D628" s="79" t="s">
        <v>1234</v>
      </c>
      <c r="E628" s="80" t="s">
        <v>1235</v>
      </c>
      <c r="F628" s="81">
        <v>21.08</v>
      </c>
      <c r="G628" s="222">
        <v>34</v>
      </c>
      <c r="H628" s="186"/>
      <c r="I628" s="186"/>
      <c r="J628" s="308"/>
      <c r="K628" s="227">
        <v>2</v>
      </c>
      <c r="L628" s="82">
        <f t="shared" si="328"/>
        <v>32</v>
      </c>
      <c r="M628" s="331">
        <v>32</v>
      </c>
      <c r="N628" s="161">
        <f t="shared" si="339"/>
        <v>674.56</v>
      </c>
      <c r="O628" s="161">
        <f t="shared" si="340"/>
        <v>674.56</v>
      </c>
      <c r="P628" s="187">
        <f t="shared" si="341"/>
        <v>0</v>
      </c>
      <c r="Q628" s="161">
        <f t="shared" si="342"/>
        <v>0</v>
      </c>
      <c r="R628" s="85"/>
      <c r="S628" s="86">
        <f t="shared" si="343"/>
        <v>35</v>
      </c>
      <c r="T628" s="87">
        <f t="shared" si="338"/>
        <v>-3</v>
      </c>
      <c r="U628">
        <v>35</v>
      </c>
    </row>
    <row r="629" spans="2:21" ht="20.100000000000001" hidden="1" customHeight="1">
      <c r="B629" s="77">
        <v>7</v>
      </c>
      <c r="C629" s="78" t="s">
        <v>1195</v>
      </c>
      <c r="D629" s="79" t="s">
        <v>1236</v>
      </c>
      <c r="E629" s="80" t="s">
        <v>1237</v>
      </c>
      <c r="F629" s="81">
        <v>43.56</v>
      </c>
      <c r="G629" s="222"/>
      <c r="H629" s="186"/>
      <c r="I629" s="186"/>
      <c r="J629" s="308"/>
      <c r="K629" s="227"/>
      <c r="L629" s="82">
        <f t="shared" si="328"/>
        <v>0</v>
      </c>
      <c r="M629" s="331"/>
      <c r="N629" s="161">
        <f t="shared" si="339"/>
        <v>0</v>
      </c>
      <c r="O629" s="161">
        <f t="shared" si="340"/>
        <v>0</v>
      </c>
      <c r="P629" s="187">
        <f t="shared" si="341"/>
        <v>0</v>
      </c>
      <c r="Q629" s="161">
        <f t="shared" si="342"/>
        <v>0</v>
      </c>
      <c r="R629" s="85"/>
      <c r="S629" s="86">
        <f t="shared" si="343"/>
        <v>0</v>
      </c>
      <c r="T629" s="87">
        <f t="shared" si="338"/>
        <v>0</v>
      </c>
    </row>
    <row r="630" spans="2:21" ht="20.100000000000001" hidden="1" customHeight="1">
      <c r="B630" s="77">
        <v>7</v>
      </c>
      <c r="C630" s="78" t="s">
        <v>1195</v>
      </c>
      <c r="D630" s="79" t="s">
        <v>1238</v>
      </c>
      <c r="E630" s="80" t="s">
        <v>1239</v>
      </c>
      <c r="F630" s="81">
        <v>21.35</v>
      </c>
      <c r="G630" s="222"/>
      <c r="H630" s="186"/>
      <c r="I630" s="186"/>
      <c r="J630" s="308"/>
      <c r="K630" s="227"/>
      <c r="L630" s="82">
        <f t="shared" si="328"/>
        <v>0</v>
      </c>
      <c r="M630" s="331"/>
      <c r="N630" s="161">
        <f t="shared" si="339"/>
        <v>0</v>
      </c>
      <c r="O630" s="161">
        <f t="shared" si="340"/>
        <v>0</v>
      </c>
      <c r="P630" s="187">
        <f t="shared" si="341"/>
        <v>0</v>
      </c>
      <c r="Q630" s="161">
        <f t="shared" si="342"/>
        <v>0</v>
      </c>
      <c r="R630" s="85"/>
      <c r="S630" s="86">
        <f t="shared" si="343"/>
        <v>2</v>
      </c>
      <c r="T630" s="87">
        <f t="shared" si="338"/>
        <v>-2</v>
      </c>
      <c r="U630">
        <v>2</v>
      </c>
    </row>
    <row r="631" spans="2:21" ht="20.100000000000001" hidden="1" customHeight="1">
      <c r="B631" s="77">
        <v>7</v>
      </c>
      <c r="C631" s="78" t="s">
        <v>1195</v>
      </c>
      <c r="D631" s="79" t="s">
        <v>1240</v>
      </c>
      <c r="E631" s="80" t="s">
        <v>1241</v>
      </c>
      <c r="F631" s="81">
        <v>24.69</v>
      </c>
      <c r="G631" s="222">
        <v>3</v>
      </c>
      <c r="H631" s="186"/>
      <c r="I631" s="186"/>
      <c r="J631" s="308"/>
      <c r="K631" s="227"/>
      <c r="L631" s="82">
        <f t="shared" si="328"/>
        <v>3</v>
      </c>
      <c r="M631" s="331">
        <v>3</v>
      </c>
      <c r="N631" s="161">
        <f t="shared" si="339"/>
        <v>74.070000000000007</v>
      </c>
      <c r="O631" s="161">
        <f t="shared" si="340"/>
        <v>74.070000000000007</v>
      </c>
      <c r="P631" s="187">
        <f t="shared" si="341"/>
        <v>0</v>
      </c>
      <c r="Q631" s="161">
        <f t="shared" si="342"/>
        <v>0</v>
      </c>
      <c r="R631" s="85"/>
      <c r="S631" s="86">
        <f t="shared" si="343"/>
        <v>6</v>
      </c>
      <c r="T631" s="87">
        <f t="shared" si="338"/>
        <v>-3</v>
      </c>
      <c r="U631">
        <v>6</v>
      </c>
    </row>
    <row r="632" spans="2:21" ht="20.100000000000001" hidden="1" customHeight="1">
      <c r="B632" s="77">
        <v>7</v>
      </c>
      <c r="C632" s="78" t="s">
        <v>1195</v>
      </c>
      <c r="D632" s="79" t="s">
        <v>1242</v>
      </c>
      <c r="E632" s="80" t="s">
        <v>1243</v>
      </c>
      <c r="F632" s="81">
        <v>32.799999999999997</v>
      </c>
      <c r="G632" s="222">
        <v>1</v>
      </c>
      <c r="H632" s="186"/>
      <c r="I632" s="186"/>
      <c r="J632" s="308"/>
      <c r="K632" s="227"/>
      <c r="L632" s="82">
        <f t="shared" si="328"/>
        <v>1</v>
      </c>
      <c r="M632" s="331">
        <v>1</v>
      </c>
      <c r="N632" s="161">
        <f t="shared" si="339"/>
        <v>32.799999999999997</v>
      </c>
      <c r="O632" s="161">
        <f t="shared" si="340"/>
        <v>32.799999999999997</v>
      </c>
      <c r="P632" s="187">
        <f t="shared" si="341"/>
        <v>0</v>
      </c>
      <c r="Q632" s="161">
        <f t="shared" si="342"/>
        <v>0</v>
      </c>
      <c r="R632" s="85"/>
      <c r="S632" s="86">
        <f t="shared" si="343"/>
        <v>2</v>
      </c>
      <c r="T632" s="87">
        <f t="shared" si="338"/>
        <v>-1</v>
      </c>
      <c r="U632">
        <v>2</v>
      </c>
    </row>
    <row r="633" spans="2:21" ht="20.100000000000001" hidden="1" customHeight="1">
      <c r="B633" s="77">
        <v>7</v>
      </c>
      <c r="C633" s="78" t="s">
        <v>1195</v>
      </c>
      <c r="D633" s="79" t="s">
        <v>1244</v>
      </c>
      <c r="E633" s="80" t="s">
        <v>1245</v>
      </c>
      <c r="F633" s="81">
        <v>19.7</v>
      </c>
      <c r="G633" s="222">
        <v>14</v>
      </c>
      <c r="H633" s="186"/>
      <c r="I633" s="186"/>
      <c r="J633" s="308"/>
      <c r="K633" s="227"/>
      <c r="L633" s="82">
        <f t="shared" si="328"/>
        <v>14</v>
      </c>
      <c r="M633" s="331">
        <v>14</v>
      </c>
      <c r="N633" s="161">
        <f t="shared" si="339"/>
        <v>275.8</v>
      </c>
      <c r="O633" s="161">
        <f t="shared" si="340"/>
        <v>275.8</v>
      </c>
      <c r="P633" s="187">
        <f t="shared" si="341"/>
        <v>0</v>
      </c>
      <c r="Q633" s="161">
        <f t="shared" si="342"/>
        <v>0</v>
      </c>
      <c r="R633" s="85"/>
      <c r="S633" s="86">
        <f t="shared" si="343"/>
        <v>0</v>
      </c>
      <c r="T633" s="87">
        <f t="shared" si="338"/>
        <v>14</v>
      </c>
    </row>
    <row r="634" spans="2:21" ht="20.100000000000001" hidden="1" customHeight="1">
      <c r="B634" s="77">
        <v>7</v>
      </c>
      <c r="C634" s="78" t="s">
        <v>1195</v>
      </c>
      <c r="D634" s="79" t="s">
        <v>1246</v>
      </c>
      <c r="E634" s="80" t="s">
        <v>1247</v>
      </c>
      <c r="F634" s="81">
        <v>28.5</v>
      </c>
      <c r="G634" s="222">
        <v>18</v>
      </c>
      <c r="H634" s="186"/>
      <c r="I634" s="186"/>
      <c r="J634" s="308"/>
      <c r="K634" s="227">
        <v>1</v>
      </c>
      <c r="L634" s="82">
        <f t="shared" si="328"/>
        <v>17</v>
      </c>
      <c r="M634" s="331">
        <v>17</v>
      </c>
      <c r="N634" s="161">
        <f t="shared" si="339"/>
        <v>484.5</v>
      </c>
      <c r="O634" s="161">
        <f t="shared" si="340"/>
        <v>484.5</v>
      </c>
      <c r="P634" s="187">
        <f t="shared" si="341"/>
        <v>0</v>
      </c>
      <c r="Q634" s="161">
        <f t="shared" si="342"/>
        <v>0</v>
      </c>
      <c r="R634" s="85"/>
      <c r="S634" s="86">
        <f t="shared" si="343"/>
        <v>19</v>
      </c>
      <c r="T634" s="87">
        <f t="shared" si="338"/>
        <v>-2</v>
      </c>
      <c r="U634">
        <v>19</v>
      </c>
    </row>
    <row r="635" spans="2:21" ht="20.100000000000001" hidden="1" customHeight="1">
      <c r="B635" s="77">
        <v>7</v>
      </c>
      <c r="C635" s="78" t="s">
        <v>1195</v>
      </c>
      <c r="D635" s="79" t="s">
        <v>1248</v>
      </c>
      <c r="E635" s="80" t="s">
        <v>1249</v>
      </c>
      <c r="F635" s="81">
        <v>31.13</v>
      </c>
      <c r="G635" s="222">
        <v>15</v>
      </c>
      <c r="H635" s="186"/>
      <c r="I635" s="186"/>
      <c r="J635" s="308"/>
      <c r="K635" s="227"/>
      <c r="L635" s="82">
        <f t="shared" si="328"/>
        <v>15</v>
      </c>
      <c r="M635" s="331">
        <v>15</v>
      </c>
      <c r="N635" s="161">
        <f t="shared" si="339"/>
        <v>466.95</v>
      </c>
      <c r="O635" s="161">
        <f t="shared" si="340"/>
        <v>466.95</v>
      </c>
      <c r="P635" s="187">
        <f t="shared" si="341"/>
        <v>0</v>
      </c>
      <c r="Q635" s="161">
        <f t="shared" si="342"/>
        <v>0</v>
      </c>
      <c r="R635" s="85"/>
      <c r="S635" s="86">
        <f t="shared" si="343"/>
        <v>20</v>
      </c>
      <c r="T635" s="87">
        <f t="shared" si="338"/>
        <v>-5</v>
      </c>
      <c r="U635">
        <v>20</v>
      </c>
    </row>
    <row r="636" spans="2:21" ht="20.100000000000001" hidden="1" customHeight="1">
      <c r="B636" s="77">
        <v>7</v>
      </c>
      <c r="C636" s="78" t="s">
        <v>1195</v>
      </c>
      <c r="D636" s="79" t="s">
        <v>1250</v>
      </c>
      <c r="E636" s="80" t="s">
        <v>1251</v>
      </c>
      <c r="F636" s="81">
        <v>44.44</v>
      </c>
      <c r="G636" s="222"/>
      <c r="H636" s="186"/>
      <c r="I636" s="186"/>
      <c r="J636" s="308"/>
      <c r="K636" s="227"/>
      <c r="L636" s="82">
        <f t="shared" si="328"/>
        <v>0</v>
      </c>
      <c r="M636" s="331"/>
      <c r="N636" s="161">
        <f t="shared" si="339"/>
        <v>0</v>
      </c>
      <c r="O636" s="161">
        <f t="shared" si="340"/>
        <v>0</v>
      </c>
      <c r="P636" s="187">
        <f t="shared" si="341"/>
        <v>0</v>
      </c>
      <c r="Q636" s="161">
        <f t="shared" si="342"/>
        <v>0</v>
      </c>
      <c r="R636" s="85"/>
      <c r="S636" s="86">
        <f t="shared" si="343"/>
        <v>0</v>
      </c>
      <c r="T636" s="87">
        <f t="shared" si="338"/>
        <v>0</v>
      </c>
    </row>
    <row r="637" spans="2:21" ht="20.100000000000001" hidden="1" customHeight="1">
      <c r="B637" s="77">
        <v>7</v>
      </c>
      <c r="C637" s="78" t="s">
        <v>1195</v>
      </c>
      <c r="D637" s="79" t="s">
        <v>1252</v>
      </c>
      <c r="E637" s="80" t="s">
        <v>1253</v>
      </c>
      <c r="F637" s="81">
        <v>17.600000000000001</v>
      </c>
      <c r="G637" s="222">
        <v>11</v>
      </c>
      <c r="H637" s="186"/>
      <c r="I637" s="186"/>
      <c r="J637" s="308"/>
      <c r="K637" s="227"/>
      <c r="L637" s="82">
        <f t="shared" si="328"/>
        <v>11</v>
      </c>
      <c r="M637" s="331">
        <v>11</v>
      </c>
      <c r="N637" s="161">
        <f t="shared" si="339"/>
        <v>193.60000000000002</v>
      </c>
      <c r="O637" s="161">
        <f t="shared" si="340"/>
        <v>193.60000000000002</v>
      </c>
      <c r="P637" s="187">
        <f t="shared" si="341"/>
        <v>0</v>
      </c>
      <c r="Q637" s="161">
        <f t="shared" si="342"/>
        <v>0</v>
      </c>
      <c r="R637" s="85"/>
      <c r="S637" s="86">
        <f t="shared" si="343"/>
        <v>13</v>
      </c>
      <c r="T637" s="87">
        <f t="shared" si="338"/>
        <v>-2</v>
      </c>
      <c r="U637">
        <v>13</v>
      </c>
    </row>
    <row r="638" spans="2:21" ht="20.100000000000001" hidden="1" customHeight="1">
      <c r="B638" s="77">
        <v>7</v>
      </c>
      <c r="C638" s="78" t="s">
        <v>1195</v>
      </c>
      <c r="D638" s="79" t="s">
        <v>1254</v>
      </c>
      <c r="E638" s="80" t="s">
        <v>1255</v>
      </c>
      <c r="F638" s="81">
        <v>29.25</v>
      </c>
      <c r="G638" s="222"/>
      <c r="H638" s="186"/>
      <c r="I638" s="186"/>
      <c r="J638" s="308"/>
      <c r="K638" s="227"/>
      <c r="L638" s="82">
        <f t="shared" si="328"/>
        <v>0</v>
      </c>
      <c r="M638" s="331"/>
      <c r="N638" s="161">
        <f t="shared" si="339"/>
        <v>0</v>
      </c>
      <c r="O638" s="161">
        <f t="shared" si="340"/>
        <v>0</v>
      </c>
      <c r="P638" s="187">
        <f t="shared" si="341"/>
        <v>0</v>
      </c>
      <c r="Q638" s="161">
        <f t="shared" si="342"/>
        <v>0</v>
      </c>
      <c r="R638" s="232"/>
      <c r="S638" s="86">
        <f t="shared" si="343"/>
        <v>0</v>
      </c>
      <c r="T638" s="87">
        <f t="shared" si="338"/>
        <v>0</v>
      </c>
    </row>
    <row r="639" spans="2:21" ht="20.100000000000001" hidden="1" customHeight="1">
      <c r="B639" s="77">
        <v>7</v>
      </c>
      <c r="C639" s="78" t="s">
        <v>1195</v>
      </c>
      <c r="D639" s="79" t="s">
        <v>1256</v>
      </c>
      <c r="E639" s="80" t="s">
        <v>1257</v>
      </c>
      <c r="F639" s="81">
        <v>20.96</v>
      </c>
      <c r="G639" s="222">
        <v>7</v>
      </c>
      <c r="H639" s="186"/>
      <c r="I639" s="186"/>
      <c r="J639" s="308"/>
      <c r="K639" s="227"/>
      <c r="L639" s="82">
        <f t="shared" si="328"/>
        <v>7</v>
      </c>
      <c r="M639" s="331">
        <v>7</v>
      </c>
      <c r="N639" s="161">
        <f t="shared" si="339"/>
        <v>146.72</v>
      </c>
      <c r="O639" s="161">
        <f t="shared" si="340"/>
        <v>146.72</v>
      </c>
      <c r="P639" s="187">
        <f t="shared" si="341"/>
        <v>0</v>
      </c>
      <c r="Q639" s="161">
        <f t="shared" si="342"/>
        <v>0</v>
      </c>
      <c r="R639" s="232"/>
      <c r="S639" s="86">
        <f t="shared" si="343"/>
        <v>10</v>
      </c>
      <c r="T639" s="87">
        <f t="shared" si="338"/>
        <v>-3</v>
      </c>
      <c r="U639">
        <v>10</v>
      </c>
    </row>
    <row r="640" spans="2:21" ht="20.100000000000001" hidden="1" customHeight="1">
      <c r="B640" s="77">
        <v>7</v>
      </c>
      <c r="C640" s="78" t="s">
        <v>1195</v>
      </c>
      <c r="D640" s="79" t="s">
        <v>1258</v>
      </c>
      <c r="E640" s="80" t="s">
        <v>1259</v>
      </c>
      <c r="F640" s="81">
        <v>34.479999999999997</v>
      </c>
      <c r="G640" s="222">
        <v>1</v>
      </c>
      <c r="H640" s="186"/>
      <c r="I640" s="186"/>
      <c r="J640" s="308"/>
      <c r="K640" s="227"/>
      <c r="L640" s="82">
        <f t="shared" si="328"/>
        <v>1</v>
      </c>
      <c r="M640" s="331">
        <v>1</v>
      </c>
      <c r="N640" s="161">
        <f t="shared" si="339"/>
        <v>34.479999999999997</v>
      </c>
      <c r="O640" s="161">
        <f t="shared" si="340"/>
        <v>34.479999999999997</v>
      </c>
      <c r="P640" s="187">
        <f t="shared" si="341"/>
        <v>0</v>
      </c>
      <c r="Q640" s="161">
        <f t="shared" si="342"/>
        <v>0</v>
      </c>
      <c r="R640" s="85"/>
      <c r="S640" s="86">
        <f t="shared" si="343"/>
        <v>1</v>
      </c>
      <c r="T640" s="87">
        <f t="shared" si="338"/>
        <v>0</v>
      </c>
      <c r="U640">
        <v>1</v>
      </c>
    </row>
    <row r="641" spans="2:31" ht="20.100000000000001" hidden="1" customHeight="1">
      <c r="B641" s="77">
        <v>7</v>
      </c>
      <c r="C641" s="78" t="s">
        <v>1195</v>
      </c>
      <c r="D641" s="79" t="s">
        <v>1260</v>
      </c>
      <c r="E641" s="80" t="s">
        <v>1261</v>
      </c>
      <c r="F641" s="81">
        <v>34.03</v>
      </c>
      <c r="G641" s="222">
        <v>19</v>
      </c>
      <c r="H641" s="186"/>
      <c r="I641" s="186"/>
      <c r="J641" s="308"/>
      <c r="K641" s="227"/>
      <c r="L641" s="82">
        <f t="shared" si="328"/>
        <v>19</v>
      </c>
      <c r="M641" s="331">
        <v>19</v>
      </c>
      <c r="N641" s="161">
        <f t="shared" si="339"/>
        <v>646.57000000000005</v>
      </c>
      <c r="O641" s="161">
        <f t="shared" si="340"/>
        <v>646.57000000000005</v>
      </c>
      <c r="P641" s="187">
        <f t="shared" si="341"/>
        <v>0</v>
      </c>
      <c r="Q641" s="161">
        <f t="shared" si="342"/>
        <v>0</v>
      </c>
      <c r="R641" s="85"/>
      <c r="S641" s="86">
        <f t="shared" si="343"/>
        <v>40</v>
      </c>
      <c r="T641" s="87">
        <f t="shared" si="338"/>
        <v>-21</v>
      </c>
      <c r="U641">
        <v>40</v>
      </c>
    </row>
    <row r="642" spans="2:31" ht="20.100000000000001" hidden="1" customHeight="1">
      <c r="B642" s="77">
        <v>7</v>
      </c>
      <c r="C642" s="78" t="s">
        <v>1195</v>
      </c>
      <c r="D642" s="79" t="s">
        <v>1260</v>
      </c>
      <c r="E642" s="80" t="s">
        <v>1261</v>
      </c>
      <c r="F642" s="81">
        <v>38.39</v>
      </c>
      <c r="G642" s="222">
        <v>2</v>
      </c>
      <c r="H642" s="186"/>
      <c r="I642" s="186"/>
      <c r="J642" s="308"/>
      <c r="K642" s="227">
        <v>2</v>
      </c>
      <c r="L642" s="82">
        <f t="shared" si="328"/>
        <v>0</v>
      </c>
      <c r="M642" s="331"/>
      <c r="N642" s="161">
        <f t="shared" si="339"/>
        <v>0</v>
      </c>
      <c r="O642" s="161">
        <f t="shared" si="340"/>
        <v>0</v>
      </c>
      <c r="P642" s="187">
        <f t="shared" si="341"/>
        <v>0</v>
      </c>
      <c r="Q642" s="161">
        <f t="shared" si="342"/>
        <v>0</v>
      </c>
      <c r="R642" s="85"/>
      <c r="S642" s="86">
        <f t="shared" si="343"/>
        <v>0</v>
      </c>
      <c r="T642" s="87">
        <f t="shared" si="338"/>
        <v>0</v>
      </c>
    </row>
    <row r="643" spans="2:31" ht="20.100000000000001" hidden="1" customHeight="1">
      <c r="B643" s="77">
        <v>7</v>
      </c>
      <c r="C643" s="78" t="s">
        <v>1195</v>
      </c>
      <c r="D643" s="79" t="s">
        <v>1262</v>
      </c>
      <c r="E643" s="80" t="s">
        <v>1263</v>
      </c>
      <c r="F643" s="81">
        <v>44.86</v>
      </c>
      <c r="G643" s="222">
        <v>48</v>
      </c>
      <c r="H643" s="186"/>
      <c r="I643" s="186"/>
      <c r="J643" s="308"/>
      <c r="K643" s="227">
        <v>5</v>
      </c>
      <c r="L643" s="82">
        <f t="shared" si="328"/>
        <v>43</v>
      </c>
      <c r="M643" s="331">
        <v>43</v>
      </c>
      <c r="N643" s="161">
        <f t="shared" si="339"/>
        <v>1928.98</v>
      </c>
      <c r="O643" s="161">
        <f t="shared" si="340"/>
        <v>1928.98</v>
      </c>
      <c r="P643" s="187">
        <f t="shared" si="341"/>
        <v>0</v>
      </c>
      <c r="Q643" s="161">
        <f t="shared" si="342"/>
        <v>0</v>
      </c>
      <c r="R643" s="85"/>
      <c r="S643" s="86">
        <f t="shared" si="343"/>
        <v>13</v>
      </c>
      <c r="T643" s="87">
        <f t="shared" si="338"/>
        <v>30</v>
      </c>
      <c r="U643">
        <v>13</v>
      </c>
    </row>
    <row r="644" spans="2:31" ht="20.100000000000001" hidden="1" customHeight="1">
      <c r="B644" s="77">
        <v>7</v>
      </c>
      <c r="C644" s="78" t="s">
        <v>1195</v>
      </c>
      <c r="D644" s="79" t="s">
        <v>1264</v>
      </c>
      <c r="E644" s="80" t="s">
        <v>1265</v>
      </c>
      <c r="F644" s="81">
        <v>25.15</v>
      </c>
      <c r="G644" s="222"/>
      <c r="H644" s="186"/>
      <c r="I644" s="186"/>
      <c r="J644" s="308"/>
      <c r="K644" s="227"/>
      <c r="L644" s="82">
        <f t="shared" si="328"/>
        <v>0</v>
      </c>
      <c r="M644" s="331">
        <v>0</v>
      </c>
      <c r="N644" s="161">
        <f t="shared" si="339"/>
        <v>0</v>
      </c>
      <c r="O644" s="161">
        <f t="shared" si="340"/>
        <v>0</v>
      </c>
      <c r="P644" s="187">
        <f t="shared" si="341"/>
        <v>0</v>
      </c>
      <c r="Q644" s="161">
        <f t="shared" si="342"/>
        <v>0</v>
      </c>
      <c r="R644" s="85"/>
      <c r="S644" s="86">
        <f t="shared" si="343"/>
        <v>0</v>
      </c>
      <c r="T644" s="87">
        <f t="shared" si="338"/>
        <v>0</v>
      </c>
    </row>
    <row r="645" spans="2:31" ht="20.100000000000001" hidden="1" customHeight="1">
      <c r="B645" s="77">
        <v>7</v>
      </c>
      <c r="C645" s="78" t="s">
        <v>1195</v>
      </c>
      <c r="D645" s="79" t="s">
        <v>1266</v>
      </c>
      <c r="E645" s="80" t="s">
        <v>1267</v>
      </c>
      <c r="F645" s="81">
        <v>35.43</v>
      </c>
      <c r="G645" s="222"/>
      <c r="H645" s="186"/>
      <c r="I645" s="186"/>
      <c r="J645" s="308"/>
      <c r="K645" s="235"/>
      <c r="L645" s="82">
        <f t="shared" si="328"/>
        <v>0</v>
      </c>
      <c r="M645" s="331"/>
      <c r="N645" s="161">
        <f t="shared" si="339"/>
        <v>0</v>
      </c>
      <c r="O645" s="161">
        <f t="shared" si="340"/>
        <v>0</v>
      </c>
      <c r="P645" s="187">
        <f t="shared" si="341"/>
        <v>0</v>
      </c>
      <c r="Q645" s="161">
        <f t="shared" si="342"/>
        <v>0</v>
      </c>
      <c r="R645" s="232"/>
      <c r="S645" s="86">
        <f t="shared" si="343"/>
        <v>0</v>
      </c>
      <c r="T645" s="87">
        <f t="shared" si="338"/>
        <v>0</v>
      </c>
    </row>
    <row r="646" spans="2:31" ht="20.100000000000001" hidden="1" customHeight="1">
      <c r="B646" s="77">
        <v>7</v>
      </c>
      <c r="C646" s="78" t="s">
        <v>1195</v>
      </c>
      <c r="D646" s="79" t="s">
        <v>1268</v>
      </c>
      <c r="E646" s="80" t="s">
        <v>1269</v>
      </c>
      <c r="F646" s="81">
        <v>45.88</v>
      </c>
      <c r="G646" s="222">
        <v>28</v>
      </c>
      <c r="H646" s="186"/>
      <c r="I646" s="186"/>
      <c r="J646" s="308"/>
      <c r="K646" s="227">
        <v>1</v>
      </c>
      <c r="L646" s="82">
        <f t="shared" si="328"/>
        <v>27</v>
      </c>
      <c r="M646" s="331">
        <v>27</v>
      </c>
      <c r="N646" s="161">
        <f t="shared" si="339"/>
        <v>1238.76</v>
      </c>
      <c r="O646" s="161">
        <f t="shared" si="340"/>
        <v>1238.76</v>
      </c>
      <c r="P646" s="187">
        <f t="shared" si="341"/>
        <v>0</v>
      </c>
      <c r="Q646" s="161">
        <f t="shared" si="342"/>
        <v>0</v>
      </c>
      <c r="R646" s="85"/>
      <c r="S646" s="86">
        <f t="shared" si="343"/>
        <v>46</v>
      </c>
      <c r="T646" s="87">
        <f t="shared" si="338"/>
        <v>-19</v>
      </c>
      <c r="U646">
        <v>46</v>
      </c>
    </row>
    <row r="647" spans="2:31" ht="20.100000000000001" hidden="1" customHeight="1">
      <c r="B647" s="77">
        <v>7</v>
      </c>
      <c r="C647" s="78" t="s">
        <v>1195</v>
      </c>
      <c r="D647" s="79" t="s">
        <v>1270</v>
      </c>
      <c r="E647" s="80" t="s">
        <v>1271</v>
      </c>
      <c r="F647" s="81">
        <v>43.34</v>
      </c>
      <c r="G647" s="222">
        <v>4</v>
      </c>
      <c r="H647" s="186"/>
      <c r="I647" s="186"/>
      <c r="J647" s="308"/>
      <c r="K647" s="227"/>
      <c r="L647" s="82">
        <f t="shared" si="328"/>
        <v>4</v>
      </c>
      <c r="M647" s="331">
        <v>4</v>
      </c>
      <c r="N647" s="161">
        <f t="shared" si="339"/>
        <v>173.36</v>
      </c>
      <c r="O647" s="161">
        <f t="shared" si="340"/>
        <v>173.36</v>
      </c>
      <c r="P647" s="187">
        <f t="shared" si="341"/>
        <v>0</v>
      </c>
      <c r="Q647" s="161">
        <f t="shared" si="342"/>
        <v>0</v>
      </c>
      <c r="R647" s="85"/>
      <c r="S647" s="86">
        <f t="shared" si="343"/>
        <v>1</v>
      </c>
      <c r="T647" s="87">
        <f t="shared" si="338"/>
        <v>3</v>
      </c>
      <c r="AA647">
        <v>1</v>
      </c>
      <c r="AB647" s="88" t="s">
        <v>202</v>
      </c>
      <c r="AD647">
        <f>AA647</f>
        <v>1</v>
      </c>
      <c r="AE647" s="89">
        <f>AD647*F647</f>
        <v>43.34</v>
      </c>
    </row>
    <row r="648" spans="2:31" ht="20.100000000000001" hidden="1" customHeight="1">
      <c r="B648" s="77">
        <v>7</v>
      </c>
      <c r="C648" s="78" t="s">
        <v>1195</v>
      </c>
      <c r="D648" s="79" t="s">
        <v>1270</v>
      </c>
      <c r="E648" s="80" t="s">
        <v>1271</v>
      </c>
      <c r="F648" s="81">
        <v>43.34</v>
      </c>
      <c r="G648" s="222"/>
      <c r="H648" s="186"/>
      <c r="I648" s="186"/>
      <c r="J648" s="308"/>
      <c r="K648" s="227"/>
      <c r="L648" s="82">
        <f t="shared" ref="L648:L711" si="344">G648+I648-J648-K648+H648</f>
        <v>0</v>
      </c>
      <c r="M648" s="331"/>
      <c r="N648" s="161">
        <f t="shared" si="339"/>
        <v>0</v>
      </c>
      <c r="O648" s="161">
        <f t="shared" si="340"/>
        <v>0</v>
      </c>
      <c r="P648" s="187">
        <f t="shared" si="341"/>
        <v>0</v>
      </c>
      <c r="Q648" s="161">
        <f t="shared" si="342"/>
        <v>0</v>
      </c>
      <c r="R648" s="85"/>
      <c r="S648" s="86">
        <f t="shared" si="343"/>
        <v>9</v>
      </c>
      <c r="T648" s="87">
        <f t="shared" si="338"/>
        <v>-9</v>
      </c>
      <c r="U648">
        <v>9</v>
      </c>
    </row>
    <row r="649" spans="2:31" ht="20.100000000000001" hidden="1" customHeight="1">
      <c r="B649" s="77">
        <v>7</v>
      </c>
      <c r="C649" s="78" t="s">
        <v>1195</v>
      </c>
      <c r="D649" s="79" t="s">
        <v>1272</v>
      </c>
      <c r="E649" s="80" t="s">
        <v>1273</v>
      </c>
      <c r="F649" s="81">
        <v>90.96</v>
      </c>
      <c r="G649" s="222">
        <v>11</v>
      </c>
      <c r="H649" s="186"/>
      <c r="I649" s="186"/>
      <c r="J649" s="308"/>
      <c r="K649" s="227"/>
      <c r="L649" s="82">
        <f t="shared" si="344"/>
        <v>11</v>
      </c>
      <c r="M649" s="331">
        <v>11</v>
      </c>
      <c r="N649" s="161">
        <f t="shared" si="339"/>
        <v>1000.56</v>
      </c>
      <c r="O649" s="161">
        <f t="shared" si="340"/>
        <v>1000.56</v>
      </c>
      <c r="P649" s="187">
        <f t="shared" si="341"/>
        <v>0</v>
      </c>
      <c r="Q649" s="161">
        <f t="shared" si="342"/>
        <v>0</v>
      </c>
      <c r="R649" s="91">
        <v>45850</v>
      </c>
      <c r="S649" s="86">
        <f t="shared" si="343"/>
        <v>8</v>
      </c>
      <c r="T649" s="87">
        <f t="shared" si="338"/>
        <v>3</v>
      </c>
      <c r="W649">
        <v>8</v>
      </c>
      <c r="X649" t="s">
        <v>121</v>
      </c>
      <c r="AD649">
        <f>W649</f>
        <v>8</v>
      </c>
      <c r="AE649" s="89">
        <f>AD649*F649</f>
        <v>727.68</v>
      </c>
    </row>
    <row r="650" spans="2:31" ht="20.100000000000001" hidden="1" customHeight="1">
      <c r="B650" s="77">
        <v>7</v>
      </c>
      <c r="C650" s="78" t="s">
        <v>1195</v>
      </c>
      <c r="D650" s="79" t="s">
        <v>1274</v>
      </c>
      <c r="E650" s="80" t="s">
        <v>1275</v>
      </c>
      <c r="F650" s="81">
        <v>176.2</v>
      </c>
      <c r="G650" s="222">
        <v>3</v>
      </c>
      <c r="H650" s="186"/>
      <c r="I650" s="186"/>
      <c r="J650" s="308"/>
      <c r="K650" s="227"/>
      <c r="L650" s="82">
        <f t="shared" si="344"/>
        <v>3</v>
      </c>
      <c r="M650" s="331">
        <v>3</v>
      </c>
      <c r="N650" s="161">
        <f t="shared" si="339"/>
        <v>528.59999999999991</v>
      </c>
      <c r="O650" s="161">
        <f t="shared" si="340"/>
        <v>528.59999999999991</v>
      </c>
      <c r="P650" s="187">
        <f t="shared" si="341"/>
        <v>0</v>
      </c>
      <c r="Q650" s="161">
        <f t="shared" si="342"/>
        <v>0</v>
      </c>
      <c r="R650" s="85"/>
      <c r="S650" s="86">
        <f t="shared" si="343"/>
        <v>1</v>
      </c>
      <c r="T650" s="87">
        <f t="shared" si="338"/>
        <v>2</v>
      </c>
      <c r="AA650">
        <v>1</v>
      </c>
      <c r="AB650" s="88" t="s">
        <v>1276</v>
      </c>
      <c r="AD650">
        <f>AA650</f>
        <v>1</v>
      </c>
      <c r="AE650" s="89">
        <f>AD650*F650</f>
        <v>176.2</v>
      </c>
    </row>
    <row r="651" spans="2:31" ht="20.100000000000001" hidden="1" customHeight="1">
      <c r="B651" s="77">
        <v>7</v>
      </c>
      <c r="C651" s="78" t="s">
        <v>1195</v>
      </c>
      <c r="D651" s="79" t="s">
        <v>1277</v>
      </c>
      <c r="E651" s="80" t="s">
        <v>1278</v>
      </c>
      <c r="F651" s="81">
        <v>28.1</v>
      </c>
      <c r="G651" s="222">
        <v>11</v>
      </c>
      <c r="H651" s="186"/>
      <c r="I651" s="186"/>
      <c r="J651" s="308"/>
      <c r="K651" s="227"/>
      <c r="L651" s="82">
        <f t="shared" si="344"/>
        <v>11</v>
      </c>
      <c r="M651" s="331">
        <v>11</v>
      </c>
      <c r="N651" s="161">
        <f t="shared" si="339"/>
        <v>309.10000000000002</v>
      </c>
      <c r="O651" s="161">
        <f t="shared" si="340"/>
        <v>309.10000000000002</v>
      </c>
      <c r="P651" s="187">
        <f t="shared" si="341"/>
        <v>0</v>
      </c>
      <c r="Q651" s="161">
        <f t="shared" si="342"/>
        <v>0</v>
      </c>
      <c r="R651" s="85"/>
      <c r="S651" s="86">
        <f t="shared" si="343"/>
        <v>16</v>
      </c>
      <c r="T651" s="87">
        <f t="shared" si="338"/>
        <v>-5</v>
      </c>
      <c r="U651">
        <v>15</v>
      </c>
      <c r="AA651">
        <v>1</v>
      </c>
      <c r="AB651" s="88" t="s">
        <v>171</v>
      </c>
      <c r="AD651">
        <f>AA651</f>
        <v>1</v>
      </c>
      <c r="AE651" s="89">
        <f>AD651*F651</f>
        <v>28.1</v>
      </c>
    </row>
    <row r="652" spans="2:31" ht="20.100000000000001" hidden="1" customHeight="1">
      <c r="B652" s="77">
        <v>7</v>
      </c>
      <c r="C652" s="78" t="s">
        <v>1195</v>
      </c>
      <c r="D652" s="79" t="s">
        <v>1279</v>
      </c>
      <c r="E652" s="80" t="s">
        <v>1280</v>
      </c>
      <c r="F652" s="81">
        <v>95.24</v>
      </c>
      <c r="G652" s="222">
        <v>9</v>
      </c>
      <c r="H652" s="186"/>
      <c r="I652" s="186"/>
      <c r="J652" s="308"/>
      <c r="K652" s="227"/>
      <c r="L652" s="82">
        <f t="shared" si="344"/>
        <v>9</v>
      </c>
      <c r="M652" s="331">
        <v>9</v>
      </c>
      <c r="N652" s="161">
        <f t="shared" si="339"/>
        <v>857.16</v>
      </c>
      <c r="O652" s="161">
        <f t="shared" si="340"/>
        <v>857.16</v>
      </c>
      <c r="P652" s="187">
        <f t="shared" si="341"/>
        <v>0</v>
      </c>
      <c r="Q652" s="161">
        <f t="shared" si="342"/>
        <v>0</v>
      </c>
      <c r="R652" s="85"/>
      <c r="S652" s="86">
        <f t="shared" si="343"/>
        <v>10</v>
      </c>
      <c r="T652" s="87">
        <f t="shared" si="338"/>
        <v>-1</v>
      </c>
      <c r="AA652">
        <v>10</v>
      </c>
      <c r="AB652" s="88" t="s">
        <v>542</v>
      </c>
      <c r="AD652">
        <f>AA652</f>
        <v>10</v>
      </c>
      <c r="AE652" s="89">
        <f>AD652*F652</f>
        <v>952.4</v>
      </c>
    </row>
    <row r="653" spans="2:31" ht="20.100000000000001" hidden="1" customHeight="1">
      <c r="B653" s="77">
        <v>7</v>
      </c>
      <c r="C653" s="78" t="s">
        <v>1195</v>
      </c>
      <c r="D653" s="79" t="s">
        <v>1281</v>
      </c>
      <c r="E653" s="80" t="s">
        <v>1282</v>
      </c>
      <c r="F653" s="81">
        <v>41.86</v>
      </c>
      <c r="G653" s="222">
        <v>2</v>
      </c>
      <c r="H653" s="186"/>
      <c r="I653" s="186">
        <v>12</v>
      </c>
      <c r="J653" s="308"/>
      <c r="K653" s="227">
        <v>4</v>
      </c>
      <c r="L653" s="82">
        <f t="shared" si="344"/>
        <v>10</v>
      </c>
      <c r="M653" s="331">
        <v>10</v>
      </c>
      <c r="N653" s="161">
        <f t="shared" si="339"/>
        <v>418.6</v>
      </c>
      <c r="O653" s="161">
        <f t="shared" si="340"/>
        <v>418.6</v>
      </c>
      <c r="P653" s="187">
        <f t="shared" si="341"/>
        <v>0</v>
      </c>
      <c r="Q653" s="161">
        <f t="shared" si="342"/>
        <v>0</v>
      </c>
      <c r="R653" s="85"/>
      <c r="S653" s="86">
        <f t="shared" si="343"/>
        <v>5</v>
      </c>
      <c r="T653" s="87">
        <f t="shared" si="338"/>
        <v>5</v>
      </c>
      <c r="U653">
        <v>5</v>
      </c>
    </row>
    <row r="654" spans="2:31" ht="20.100000000000001" hidden="1" customHeight="1">
      <c r="B654" s="77">
        <v>7</v>
      </c>
      <c r="C654" s="78" t="s">
        <v>1195</v>
      </c>
      <c r="D654" s="79" t="s">
        <v>1283</v>
      </c>
      <c r="E654" s="80" t="s">
        <v>1284</v>
      </c>
      <c r="F654" s="81">
        <v>35.380000000000003</v>
      </c>
      <c r="G654" s="222"/>
      <c r="H654" s="186"/>
      <c r="I654" s="186"/>
      <c r="J654" s="308"/>
      <c r="K654" s="227"/>
      <c r="L654" s="82">
        <f t="shared" si="344"/>
        <v>0</v>
      </c>
      <c r="M654" s="331"/>
      <c r="N654" s="161">
        <f t="shared" si="339"/>
        <v>0</v>
      </c>
      <c r="O654" s="161">
        <f t="shared" si="340"/>
        <v>0</v>
      </c>
      <c r="P654" s="187">
        <f t="shared" si="341"/>
        <v>0</v>
      </c>
      <c r="Q654" s="161">
        <f t="shared" si="342"/>
        <v>0</v>
      </c>
      <c r="R654" s="85"/>
      <c r="S654" s="86">
        <f t="shared" si="343"/>
        <v>0</v>
      </c>
      <c r="T654" s="87">
        <f t="shared" si="338"/>
        <v>0</v>
      </c>
    </row>
    <row r="655" spans="2:31" ht="20.100000000000001" hidden="1" customHeight="1">
      <c r="B655" s="77">
        <v>7</v>
      </c>
      <c r="C655" s="78" t="s">
        <v>1195</v>
      </c>
      <c r="D655" s="79" t="s">
        <v>1285</v>
      </c>
      <c r="E655" s="80" t="s">
        <v>1286</v>
      </c>
      <c r="F655" s="81">
        <v>199.95</v>
      </c>
      <c r="G655" s="222"/>
      <c r="H655" s="186"/>
      <c r="I655" s="186"/>
      <c r="J655" s="308"/>
      <c r="K655" s="227"/>
      <c r="L655" s="82">
        <f t="shared" si="344"/>
        <v>0</v>
      </c>
      <c r="M655" s="331"/>
      <c r="N655" s="161">
        <f t="shared" si="339"/>
        <v>0</v>
      </c>
      <c r="O655" s="161">
        <f t="shared" si="340"/>
        <v>0</v>
      </c>
      <c r="P655" s="187">
        <f t="shared" si="341"/>
        <v>0</v>
      </c>
      <c r="Q655" s="161">
        <f t="shared" si="342"/>
        <v>0</v>
      </c>
      <c r="R655" s="85"/>
      <c r="S655" s="86">
        <f t="shared" si="343"/>
        <v>0</v>
      </c>
      <c r="T655" s="87">
        <f t="shared" si="338"/>
        <v>0</v>
      </c>
    </row>
    <row r="656" spans="2:31" ht="20.100000000000001" hidden="1" customHeight="1">
      <c r="B656" s="77">
        <v>7</v>
      </c>
      <c r="C656" s="78" t="s">
        <v>1195</v>
      </c>
      <c r="D656" s="79" t="s">
        <v>1287</v>
      </c>
      <c r="E656" s="80" t="s">
        <v>1288</v>
      </c>
      <c r="F656" s="81">
        <v>28.86</v>
      </c>
      <c r="G656" s="222"/>
      <c r="H656" s="186"/>
      <c r="I656" s="186"/>
      <c r="J656" s="308"/>
      <c r="K656" s="227"/>
      <c r="L656" s="82">
        <f t="shared" si="344"/>
        <v>0</v>
      </c>
      <c r="M656" s="331"/>
      <c r="N656" s="161">
        <f t="shared" si="339"/>
        <v>0</v>
      </c>
      <c r="O656" s="161">
        <f t="shared" si="340"/>
        <v>0</v>
      </c>
      <c r="P656" s="187">
        <f t="shared" si="341"/>
        <v>0</v>
      </c>
      <c r="Q656" s="161">
        <f t="shared" si="342"/>
        <v>0</v>
      </c>
      <c r="R656" s="85"/>
      <c r="S656" s="86">
        <f t="shared" si="343"/>
        <v>0</v>
      </c>
      <c r="T656" s="87">
        <f t="shared" si="338"/>
        <v>0</v>
      </c>
    </row>
    <row r="657" spans="2:31" ht="20.100000000000001" hidden="1" customHeight="1">
      <c r="B657" s="77">
        <v>7</v>
      </c>
      <c r="C657" s="78" t="s">
        <v>1195</v>
      </c>
      <c r="D657" s="79" t="s">
        <v>1289</v>
      </c>
      <c r="E657" s="80" t="s">
        <v>1290</v>
      </c>
      <c r="F657" s="81">
        <v>34.520000000000003</v>
      </c>
      <c r="G657" s="222">
        <v>5</v>
      </c>
      <c r="H657" s="186"/>
      <c r="I657" s="186"/>
      <c r="J657" s="308"/>
      <c r="K657" s="227"/>
      <c r="L657" s="82">
        <f t="shared" si="344"/>
        <v>5</v>
      </c>
      <c r="M657" s="331">
        <v>5</v>
      </c>
      <c r="N657" s="161">
        <f t="shared" si="339"/>
        <v>172.60000000000002</v>
      </c>
      <c r="O657" s="161">
        <f t="shared" si="340"/>
        <v>172.60000000000002</v>
      </c>
      <c r="P657" s="187">
        <f t="shared" si="341"/>
        <v>0</v>
      </c>
      <c r="Q657" s="161">
        <f t="shared" si="342"/>
        <v>0</v>
      </c>
      <c r="R657" s="85"/>
      <c r="S657" s="86">
        <f t="shared" si="343"/>
        <v>8</v>
      </c>
      <c r="T657" s="87">
        <f t="shared" si="338"/>
        <v>-3</v>
      </c>
      <c r="U657">
        <v>8</v>
      </c>
    </row>
    <row r="658" spans="2:31" ht="20.100000000000001" hidden="1" customHeight="1">
      <c r="B658" s="77">
        <v>7</v>
      </c>
      <c r="C658" s="78" t="s">
        <v>1195</v>
      </c>
      <c r="D658" s="79" t="s">
        <v>1291</v>
      </c>
      <c r="E658" s="80" t="s">
        <v>1292</v>
      </c>
      <c r="F658" s="81">
        <v>15.91</v>
      </c>
      <c r="G658" s="222">
        <v>24</v>
      </c>
      <c r="H658" s="186"/>
      <c r="I658" s="186"/>
      <c r="J658" s="308"/>
      <c r="K658" s="227">
        <v>9</v>
      </c>
      <c r="L658" s="82">
        <f t="shared" si="344"/>
        <v>15</v>
      </c>
      <c r="M658" s="331">
        <v>15</v>
      </c>
      <c r="N658" s="161">
        <f t="shared" si="339"/>
        <v>238.65</v>
      </c>
      <c r="O658" s="161">
        <f t="shared" si="340"/>
        <v>238.65</v>
      </c>
      <c r="P658" s="187">
        <f t="shared" si="341"/>
        <v>0</v>
      </c>
      <c r="Q658" s="161">
        <f t="shared" si="342"/>
        <v>0</v>
      </c>
      <c r="R658" s="232" t="s">
        <v>3831</v>
      </c>
      <c r="S658" s="86">
        <f t="shared" si="343"/>
        <v>41</v>
      </c>
      <c r="T658" s="87">
        <f t="shared" si="338"/>
        <v>-26</v>
      </c>
      <c r="U658">
        <v>41</v>
      </c>
    </row>
    <row r="659" spans="2:31" ht="20.100000000000001" hidden="1" customHeight="1">
      <c r="B659" s="77">
        <v>7</v>
      </c>
      <c r="C659" s="78" t="s">
        <v>1195</v>
      </c>
      <c r="D659" s="79" t="s">
        <v>1293</v>
      </c>
      <c r="E659" s="80" t="s">
        <v>1294</v>
      </c>
      <c r="F659" s="81">
        <v>96.19</v>
      </c>
      <c r="G659" s="222">
        <v>14</v>
      </c>
      <c r="H659" s="186"/>
      <c r="I659" s="186"/>
      <c r="J659" s="308">
        <v>14</v>
      </c>
      <c r="K659" s="227"/>
      <c r="L659" s="82">
        <f t="shared" si="344"/>
        <v>0</v>
      </c>
      <c r="M659" s="331"/>
      <c r="N659" s="161">
        <f t="shared" si="339"/>
        <v>0</v>
      </c>
      <c r="O659" s="161">
        <f t="shared" si="340"/>
        <v>0</v>
      </c>
      <c r="P659" s="187">
        <f t="shared" si="341"/>
        <v>0</v>
      </c>
      <c r="Q659" s="161">
        <f t="shared" si="342"/>
        <v>0</v>
      </c>
      <c r="R659" s="85"/>
      <c r="S659" s="86">
        <f t="shared" si="343"/>
        <v>15</v>
      </c>
      <c r="T659" s="87">
        <f t="shared" si="338"/>
        <v>-15</v>
      </c>
      <c r="U659">
        <v>15</v>
      </c>
    </row>
    <row r="660" spans="2:31" ht="20.100000000000001" hidden="1" customHeight="1">
      <c r="B660" s="77">
        <v>7</v>
      </c>
      <c r="C660" s="78" t="s">
        <v>1195</v>
      </c>
      <c r="D660" s="79" t="s">
        <v>1295</v>
      </c>
      <c r="E660" s="80" t="s">
        <v>1296</v>
      </c>
      <c r="F660" s="81">
        <v>44.79</v>
      </c>
      <c r="G660" s="222"/>
      <c r="H660" s="186"/>
      <c r="I660" s="186"/>
      <c r="J660" s="308"/>
      <c r="K660" s="227"/>
      <c r="L660" s="82">
        <f t="shared" si="344"/>
        <v>0</v>
      </c>
      <c r="M660" s="331"/>
      <c r="N660" s="161">
        <f t="shared" si="339"/>
        <v>0</v>
      </c>
      <c r="O660" s="161">
        <f t="shared" si="340"/>
        <v>0</v>
      </c>
      <c r="P660" s="187">
        <f t="shared" si="341"/>
        <v>0</v>
      </c>
      <c r="Q660" s="161">
        <f t="shared" si="342"/>
        <v>0</v>
      </c>
      <c r="R660" s="85"/>
      <c r="S660" s="86">
        <f t="shared" si="343"/>
        <v>1</v>
      </c>
      <c r="T660" s="87">
        <f t="shared" si="338"/>
        <v>-1</v>
      </c>
      <c r="U660">
        <v>1</v>
      </c>
    </row>
    <row r="661" spans="2:31" ht="20.100000000000001" hidden="1" customHeight="1">
      <c r="B661" s="77">
        <v>7</v>
      </c>
      <c r="C661" s="78" t="s">
        <v>1195</v>
      </c>
      <c r="D661" s="79" t="s">
        <v>1297</v>
      </c>
      <c r="E661" s="80" t="s">
        <v>1298</v>
      </c>
      <c r="F661" s="81">
        <v>53.81</v>
      </c>
      <c r="G661" s="222">
        <v>46</v>
      </c>
      <c r="H661" s="186"/>
      <c r="I661" s="186"/>
      <c r="J661" s="308"/>
      <c r="K661" s="227">
        <v>14</v>
      </c>
      <c r="L661" s="82">
        <f t="shared" si="344"/>
        <v>32</v>
      </c>
      <c r="M661" s="334">
        <v>32</v>
      </c>
      <c r="N661" s="161">
        <f t="shared" si="339"/>
        <v>1721.92</v>
      </c>
      <c r="O661" s="161">
        <f t="shared" si="340"/>
        <v>1721.92</v>
      </c>
      <c r="P661" s="187">
        <f t="shared" si="341"/>
        <v>0</v>
      </c>
      <c r="Q661" s="161">
        <f t="shared" si="342"/>
        <v>0</v>
      </c>
      <c r="R661" s="85"/>
      <c r="S661" s="86">
        <f t="shared" si="343"/>
        <v>0</v>
      </c>
      <c r="T661" s="87">
        <f t="shared" si="338"/>
        <v>32</v>
      </c>
    </row>
    <row r="662" spans="2:31" ht="20.100000000000001" hidden="1" customHeight="1">
      <c r="B662" s="77">
        <v>7</v>
      </c>
      <c r="C662" s="78" t="s">
        <v>1195</v>
      </c>
      <c r="D662" s="79" t="s">
        <v>1299</v>
      </c>
      <c r="E662" s="80" t="s">
        <v>1300</v>
      </c>
      <c r="F662" s="81">
        <v>138.1</v>
      </c>
      <c r="G662" s="222">
        <v>10</v>
      </c>
      <c r="H662" s="186"/>
      <c r="I662" s="186"/>
      <c r="J662" s="308"/>
      <c r="K662" s="227"/>
      <c r="L662" s="82">
        <f t="shared" si="344"/>
        <v>10</v>
      </c>
      <c r="M662" s="331">
        <v>10</v>
      </c>
      <c r="N662" s="161">
        <f t="shared" si="339"/>
        <v>1381</v>
      </c>
      <c r="O662" s="161">
        <f t="shared" si="340"/>
        <v>1381</v>
      </c>
      <c r="P662" s="187">
        <f t="shared" si="341"/>
        <v>0</v>
      </c>
      <c r="Q662" s="161">
        <f t="shared" si="342"/>
        <v>0</v>
      </c>
      <c r="R662" s="85"/>
      <c r="S662" s="86">
        <f t="shared" si="343"/>
        <v>10</v>
      </c>
      <c r="T662" s="87">
        <f t="shared" si="338"/>
        <v>0</v>
      </c>
      <c r="AA662">
        <v>10</v>
      </c>
      <c r="AB662" s="88" t="s">
        <v>1301</v>
      </c>
      <c r="AD662">
        <f>AA662</f>
        <v>10</v>
      </c>
      <c r="AE662" s="89">
        <f>AD662*F662</f>
        <v>1381</v>
      </c>
    </row>
    <row r="663" spans="2:31" ht="20.100000000000001" hidden="1" customHeight="1">
      <c r="B663" s="77">
        <v>7</v>
      </c>
      <c r="C663" s="78" t="s">
        <v>1195</v>
      </c>
      <c r="D663" s="79" t="s">
        <v>1302</v>
      </c>
      <c r="E663" s="80" t="s">
        <v>1303</v>
      </c>
      <c r="F663" s="81">
        <v>104.77</v>
      </c>
      <c r="G663" s="222">
        <v>7</v>
      </c>
      <c r="H663" s="186"/>
      <c r="I663" s="186"/>
      <c r="J663" s="308"/>
      <c r="K663" s="227"/>
      <c r="L663" s="82">
        <f t="shared" si="344"/>
        <v>7</v>
      </c>
      <c r="M663" s="331">
        <v>7</v>
      </c>
      <c r="N663" s="161">
        <f t="shared" si="339"/>
        <v>733.39</v>
      </c>
      <c r="O663" s="161">
        <f t="shared" si="340"/>
        <v>733.39</v>
      </c>
      <c r="P663" s="187">
        <f t="shared" si="341"/>
        <v>0</v>
      </c>
      <c r="Q663" s="161">
        <f t="shared" si="342"/>
        <v>0</v>
      </c>
      <c r="R663" s="91">
        <v>45866</v>
      </c>
      <c r="S663" s="86">
        <f t="shared" si="343"/>
        <v>7</v>
      </c>
      <c r="T663" s="87">
        <f t="shared" si="338"/>
        <v>0</v>
      </c>
      <c r="W663">
        <v>7</v>
      </c>
      <c r="X663" t="s">
        <v>121</v>
      </c>
      <c r="AD663">
        <f>W663</f>
        <v>7</v>
      </c>
      <c r="AE663" s="89">
        <f>AD663*F663</f>
        <v>733.39</v>
      </c>
    </row>
    <row r="664" spans="2:31" ht="20.100000000000001" hidden="1" customHeight="1">
      <c r="B664" s="77">
        <v>7</v>
      </c>
      <c r="C664" s="78" t="s">
        <v>1195</v>
      </c>
      <c r="D664" s="79" t="s">
        <v>1304</v>
      </c>
      <c r="E664" s="80" t="s">
        <v>1305</v>
      </c>
      <c r="F664" s="81">
        <v>15.72</v>
      </c>
      <c r="G664" s="222"/>
      <c r="H664" s="186"/>
      <c r="I664" s="186"/>
      <c r="J664" s="308"/>
      <c r="K664" s="227"/>
      <c r="L664" s="82">
        <f t="shared" si="344"/>
        <v>0</v>
      </c>
      <c r="M664" s="331"/>
      <c r="N664" s="161">
        <f t="shared" si="339"/>
        <v>0</v>
      </c>
      <c r="O664" s="161">
        <f t="shared" si="340"/>
        <v>0</v>
      </c>
      <c r="P664" s="187">
        <f t="shared" si="341"/>
        <v>0</v>
      </c>
      <c r="Q664" s="161">
        <f t="shared" si="342"/>
        <v>0</v>
      </c>
      <c r="R664" s="85"/>
      <c r="S664" s="86">
        <f t="shared" si="343"/>
        <v>0</v>
      </c>
      <c r="T664" s="87">
        <f t="shared" si="338"/>
        <v>0</v>
      </c>
    </row>
    <row r="665" spans="2:31" ht="20.100000000000001" hidden="1" customHeight="1">
      <c r="B665" s="77">
        <v>7</v>
      </c>
      <c r="C665" s="78" t="s">
        <v>1195</v>
      </c>
      <c r="D665" s="79" t="s">
        <v>1306</v>
      </c>
      <c r="E665" s="80" t="s">
        <v>1307</v>
      </c>
      <c r="F665" s="81">
        <v>104.5</v>
      </c>
      <c r="G665" s="222">
        <v>7</v>
      </c>
      <c r="H665" s="186"/>
      <c r="I665" s="186"/>
      <c r="J665" s="308"/>
      <c r="K665" s="227"/>
      <c r="L665" s="82">
        <f t="shared" si="344"/>
        <v>7</v>
      </c>
      <c r="M665" s="331">
        <v>7</v>
      </c>
      <c r="N665" s="161">
        <f t="shared" si="339"/>
        <v>731.5</v>
      </c>
      <c r="O665" s="161">
        <f t="shared" si="340"/>
        <v>731.5</v>
      </c>
      <c r="P665" s="187">
        <f t="shared" si="341"/>
        <v>0</v>
      </c>
      <c r="Q665" s="161">
        <f t="shared" si="342"/>
        <v>0</v>
      </c>
      <c r="R665" s="85" t="s">
        <v>1308</v>
      </c>
      <c r="S665" s="86">
        <f t="shared" si="343"/>
        <v>0</v>
      </c>
      <c r="T665" s="87">
        <f t="shared" si="338"/>
        <v>7</v>
      </c>
    </row>
    <row r="666" spans="2:31" ht="20.100000000000001" hidden="1" customHeight="1">
      <c r="B666" s="77">
        <v>7</v>
      </c>
      <c r="C666" s="78" t="s">
        <v>1195</v>
      </c>
      <c r="D666" s="79" t="s">
        <v>1309</v>
      </c>
      <c r="E666" s="80" t="s">
        <v>1310</v>
      </c>
      <c r="F666" s="81">
        <v>307.70999999999998</v>
      </c>
      <c r="G666" s="222"/>
      <c r="H666" s="186"/>
      <c r="I666" s="186"/>
      <c r="J666" s="308"/>
      <c r="K666" s="227"/>
      <c r="L666" s="82">
        <f t="shared" si="344"/>
        <v>0</v>
      </c>
      <c r="M666" s="331"/>
      <c r="N666" s="161">
        <f t="shared" ref="N666:N673" si="345">F666*L666</f>
        <v>0</v>
      </c>
      <c r="O666" s="161">
        <f t="shared" ref="O666:O673" si="346">M666*F666</f>
        <v>0</v>
      </c>
      <c r="P666" s="187">
        <f t="shared" ref="P666:P673" si="347">L666-M666</f>
        <v>0</v>
      </c>
      <c r="Q666" s="161">
        <f t="shared" ref="Q666:Q673" si="348">N666-O666</f>
        <v>0</v>
      </c>
      <c r="R666" s="85"/>
      <c r="S666" s="86">
        <f t="shared" si="343"/>
        <v>0</v>
      </c>
      <c r="T666" s="87">
        <f t="shared" si="338"/>
        <v>0</v>
      </c>
    </row>
    <row r="667" spans="2:31" ht="20.100000000000001" hidden="1" customHeight="1">
      <c r="B667" s="77">
        <v>7</v>
      </c>
      <c r="C667" s="78" t="s">
        <v>1195</v>
      </c>
      <c r="D667" s="79" t="s">
        <v>4772</v>
      </c>
      <c r="E667" s="80" t="s">
        <v>4717</v>
      </c>
      <c r="F667" s="81">
        <v>180.38</v>
      </c>
      <c r="G667" s="222"/>
      <c r="H667" s="186"/>
      <c r="I667" s="186">
        <v>3</v>
      </c>
      <c r="J667" s="308"/>
      <c r="K667" s="227"/>
      <c r="L667" s="82">
        <f t="shared" si="344"/>
        <v>3</v>
      </c>
      <c r="M667" s="331">
        <v>3</v>
      </c>
      <c r="N667" s="161">
        <f t="shared" si="345"/>
        <v>541.14</v>
      </c>
      <c r="O667" s="161">
        <f t="shared" si="346"/>
        <v>541.14</v>
      </c>
      <c r="P667" s="187">
        <f t="shared" si="347"/>
        <v>0</v>
      </c>
      <c r="Q667" s="161">
        <f t="shared" si="348"/>
        <v>0</v>
      </c>
      <c r="R667" s="85"/>
      <c r="S667" s="86"/>
      <c r="T667" s="87"/>
    </row>
    <row r="668" spans="2:31" ht="20.100000000000001" hidden="1" customHeight="1">
      <c r="B668" s="77">
        <v>7</v>
      </c>
      <c r="C668" s="78" t="s">
        <v>1195</v>
      </c>
      <c r="D668" s="79" t="s">
        <v>4773</v>
      </c>
      <c r="E668" s="80" t="s">
        <v>4718</v>
      </c>
      <c r="F668" s="81">
        <v>180.38</v>
      </c>
      <c r="G668" s="222"/>
      <c r="H668" s="186"/>
      <c r="I668" s="186">
        <v>3</v>
      </c>
      <c r="J668" s="308"/>
      <c r="K668" s="227"/>
      <c r="L668" s="82">
        <f t="shared" si="344"/>
        <v>3</v>
      </c>
      <c r="M668" s="331">
        <v>3</v>
      </c>
      <c r="N668" s="161">
        <f t="shared" si="345"/>
        <v>541.14</v>
      </c>
      <c r="O668" s="161">
        <f t="shared" si="346"/>
        <v>541.14</v>
      </c>
      <c r="P668" s="187">
        <f t="shared" si="347"/>
        <v>0</v>
      </c>
      <c r="Q668" s="161">
        <f t="shared" si="348"/>
        <v>0</v>
      </c>
      <c r="R668" s="85"/>
      <c r="S668" s="86"/>
      <c r="T668" s="87"/>
    </row>
    <row r="669" spans="2:31" ht="20.100000000000001" hidden="1" customHeight="1">
      <c r="B669" s="77">
        <v>7</v>
      </c>
      <c r="C669" s="78" t="s">
        <v>1195</v>
      </c>
      <c r="D669" s="79" t="s">
        <v>4774</v>
      </c>
      <c r="E669" s="80" t="s">
        <v>4719</v>
      </c>
      <c r="F669" s="81">
        <v>180.38</v>
      </c>
      <c r="G669" s="222"/>
      <c r="H669" s="186"/>
      <c r="I669" s="186">
        <v>3</v>
      </c>
      <c r="J669" s="308"/>
      <c r="K669" s="227"/>
      <c r="L669" s="82">
        <f t="shared" si="344"/>
        <v>3</v>
      </c>
      <c r="M669" s="331">
        <v>3</v>
      </c>
      <c r="N669" s="161">
        <f t="shared" si="345"/>
        <v>541.14</v>
      </c>
      <c r="O669" s="161">
        <f t="shared" si="346"/>
        <v>541.14</v>
      </c>
      <c r="P669" s="187">
        <f t="shared" si="347"/>
        <v>0</v>
      </c>
      <c r="Q669" s="161">
        <f t="shared" si="348"/>
        <v>0</v>
      </c>
      <c r="R669" s="85"/>
      <c r="S669" s="86"/>
      <c r="T669" s="87"/>
    </row>
    <row r="670" spans="2:31" ht="20.100000000000001" hidden="1" customHeight="1">
      <c r="B670" s="77">
        <v>7</v>
      </c>
      <c r="C670" s="78" t="s">
        <v>1195</v>
      </c>
      <c r="D670" s="79" t="s">
        <v>4775</v>
      </c>
      <c r="E670" s="80" t="s">
        <v>4720</v>
      </c>
      <c r="F670" s="81">
        <v>198.71</v>
      </c>
      <c r="G670" s="222"/>
      <c r="H670" s="186"/>
      <c r="I670" s="186">
        <v>3</v>
      </c>
      <c r="J670" s="308"/>
      <c r="K670" s="227"/>
      <c r="L670" s="82">
        <f t="shared" si="344"/>
        <v>3</v>
      </c>
      <c r="M670" s="331">
        <v>3</v>
      </c>
      <c r="N670" s="161">
        <f t="shared" si="345"/>
        <v>596.13</v>
      </c>
      <c r="O670" s="161">
        <f t="shared" si="346"/>
        <v>596.13</v>
      </c>
      <c r="P670" s="187">
        <f t="shared" si="347"/>
        <v>0</v>
      </c>
      <c r="Q670" s="161">
        <f t="shared" si="348"/>
        <v>0</v>
      </c>
      <c r="R670" s="85"/>
      <c r="S670" s="86"/>
      <c r="T670" s="87"/>
    </row>
    <row r="671" spans="2:31" ht="20.100000000000001" hidden="1" customHeight="1">
      <c r="B671" s="77">
        <v>7</v>
      </c>
      <c r="C671" s="78" t="s">
        <v>1195</v>
      </c>
      <c r="D671" s="79" t="s">
        <v>1311</v>
      </c>
      <c r="E671" s="80" t="s">
        <v>1312</v>
      </c>
      <c r="F671" s="81">
        <v>33.33</v>
      </c>
      <c r="G671" s="222">
        <v>28</v>
      </c>
      <c r="H671" s="186"/>
      <c r="I671" s="186"/>
      <c r="J671" s="308"/>
      <c r="K671" s="227"/>
      <c r="L671" s="82">
        <f t="shared" si="344"/>
        <v>28</v>
      </c>
      <c r="M671" s="331">
        <v>28</v>
      </c>
      <c r="N671" s="161">
        <f t="shared" si="345"/>
        <v>933.24</v>
      </c>
      <c r="O671" s="161">
        <f t="shared" si="346"/>
        <v>933.24</v>
      </c>
      <c r="P671" s="187">
        <f t="shared" si="347"/>
        <v>0</v>
      </c>
      <c r="Q671" s="161">
        <f t="shared" si="348"/>
        <v>0</v>
      </c>
      <c r="R671" s="85"/>
      <c r="S671" s="86">
        <f t="shared" si="343"/>
        <v>27</v>
      </c>
      <c r="T671" s="87">
        <f t="shared" si="338"/>
        <v>1</v>
      </c>
      <c r="U671">
        <v>27</v>
      </c>
    </row>
    <row r="672" spans="2:31" ht="20.100000000000001" hidden="1" customHeight="1">
      <c r="B672" s="77">
        <v>7</v>
      </c>
      <c r="C672" s="78" t="s">
        <v>1195</v>
      </c>
      <c r="D672" s="79" t="s">
        <v>1313</v>
      </c>
      <c r="E672" s="80" t="s">
        <v>1314</v>
      </c>
      <c r="F672" s="81">
        <v>71.13</v>
      </c>
      <c r="G672" s="222"/>
      <c r="H672" s="186"/>
      <c r="I672" s="186"/>
      <c r="J672" s="308"/>
      <c r="K672" s="227"/>
      <c r="L672" s="82">
        <f t="shared" si="344"/>
        <v>0</v>
      </c>
      <c r="M672" s="331"/>
      <c r="N672" s="161">
        <f t="shared" si="345"/>
        <v>0</v>
      </c>
      <c r="O672" s="161">
        <f t="shared" si="346"/>
        <v>0</v>
      </c>
      <c r="P672" s="187">
        <f t="shared" si="347"/>
        <v>0</v>
      </c>
      <c r="Q672" s="161">
        <f t="shared" si="348"/>
        <v>0</v>
      </c>
      <c r="R672" s="85"/>
      <c r="S672" s="86">
        <f t="shared" si="343"/>
        <v>0</v>
      </c>
      <c r="T672" s="87">
        <f t="shared" si="338"/>
        <v>0</v>
      </c>
    </row>
    <row r="673" spans="2:31" ht="20.100000000000001" hidden="1" customHeight="1">
      <c r="B673" s="77">
        <v>7</v>
      </c>
      <c r="C673" s="78" t="s">
        <v>1195</v>
      </c>
      <c r="D673" s="79" t="s">
        <v>1315</v>
      </c>
      <c r="E673" s="80" t="s">
        <v>1316</v>
      </c>
      <c r="F673" s="81">
        <v>62.8</v>
      </c>
      <c r="G673" s="222">
        <v>3</v>
      </c>
      <c r="H673" s="186"/>
      <c r="I673" s="186"/>
      <c r="J673" s="308"/>
      <c r="K673" s="227">
        <v>3</v>
      </c>
      <c r="L673" s="82">
        <f t="shared" si="344"/>
        <v>0</v>
      </c>
      <c r="M673" s="331"/>
      <c r="N673" s="161">
        <f t="shared" si="345"/>
        <v>0</v>
      </c>
      <c r="O673" s="161">
        <f t="shared" si="346"/>
        <v>0</v>
      </c>
      <c r="P673" s="187">
        <f t="shared" si="347"/>
        <v>0</v>
      </c>
      <c r="Q673" s="161">
        <f t="shared" si="348"/>
        <v>0</v>
      </c>
      <c r="R673" s="85"/>
      <c r="S673" s="86">
        <f t="shared" si="343"/>
        <v>8</v>
      </c>
      <c r="T673" s="87">
        <f t="shared" si="338"/>
        <v>-8</v>
      </c>
      <c r="U673">
        <v>8</v>
      </c>
    </row>
    <row r="674" spans="2:31" ht="20.100000000000001" hidden="1" customHeight="1">
      <c r="B674" s="77">
        <v>7</v>
      </c>
      <c r="C674" s="78" t="s">
        <v>1195</v>
      </c>
      <c r="D674" s="79" t="s">
        <v>1315</v>
      </c>
      <c r="E674" s="80" t="s">
        <v>1316</v>
      </c>
      <c r="F674" s="277">
        <v>66.5</v>
      </c>
      <c r="G674" s="222"/>
      <c r="H674" s="186"/>
      <c r="I674" s="186">
        <v>12</v>
      </c>
      <c r="J674" s="308"/>
      <c r="K674" s="227"/>
      <c r="L674" s="82">
        <f t="shared" ref="L674" si="349">G674+I674-J674-K674+H674</f>
        <v>12</v>
      </c>
      <c r="M674" s="331">
        <v>12</v>
      </c>
      <c r="N674" s="161">
        <f t="shared" ref="N674" si="350">F674*L674</f>
        <v>798</v>
      </c>
      <c r="O674" s="161">
        <f t="shared" ref="O674" si="351">M674*F674</f>
        <v>798</v>
      </c>
      <c r="P674" s="187">
        <f t="shared" ref="P674" si="352">L674-M674</f>
        <v>0</v>
      </c>
      <c r="Q674" s="161">
        <f t="shared" ref="Q674" si="353">N674-O674</f>
        <v>0</v>
      </c>
      <c r="R674" s="85"/>
      <c r="S674" s="86">
        <f t="shared" ref="S674" si="354">U674+Y674+W674+AA674</f>
        <v>8</v>
      </c>
      <c r="T674" s="87">
        <f t="shared" ref="T674" si="355">M674-S674</f>
        <v>4</v>
      </c>
      <c r="U674">
        <v>8</v>
      </c>
    </row>
    <row r="675" spans="2:31" ht="20.100000000000001" hidden="1" customHeight="1">
      <c r="B675" s="77">
        <v>7</v>
      </c>
      <c r="C675" s="78" t="s">
        <v>1195</v>
      </c>
      <c r="D675" s="79" t="s">
        <v>1317</v>
      </c>
      <c r="E675" s="80" t="s">
        <v>1318</v>
      </c>
      <c r="F675" s="81">
        <v>132.80000000000001</v>
      </c>
      <c r="G675" s="222">
        <v>9</v>
      </c>
      <c r="H675" s="186"/>
      <c r="I675" s="186">
        <v>16</v>
      </c>
      <c r="J675" s="308"/>
      <c r="K675" s="227">
        <v>10</v>
      </c>
      <c r="L675" s="82">
        <f t="shared" si="344"/>
        <v>15</v>
      </c>
      <c r="M675" s="331">
        <v>15</v>
      </c>
      <c r="N675" s="161">
        <f t="shared" si="339"/>
        <v>1992.0000000000002</v>
      </c>
      <c r="O675" s="161">
        <f t="shared" si="340"/>
        <v>1992.0000000000002</v>
      </c>
      <c r="P675" s="187">
        <f t="shared" si="341"/>
        <v>0</v>
      </c>
      <c r="Q675" s="161">
        <f t="shared" si="342"/>
        <v>0</v>
      </c>
      <c r="R675" s="85"/>
      <c r="S675" s="86">
        <f t="shared" si="343"/>
        <v>0</v>
      </c>
      <c r="T675" s="87">
        <f t="shared" si="338"/>
        <v>15</v>
      </c>
    </row>
    <row r="676" spans="2:31" ht="20.100000000000001" hidden="1" customHeight="1">
      <c r="B676" s="77">
        <v>7</v>
      </c>
      <c r="C676" s="78" t="s">
        <v>1195</v>
      </c>
      <c r="D676" s="79" t="s">
        <v>1319</v>
      </c>
      <c r="E676" s="80" t="s">
        <v>1320</v>
      </c>
      <c r="F676" s="81">
        <v>40.42</v>
      </c>
      <c r="G676" s="222"/>
      <c r="H676" s="186"/>
      <c r="I676" s="186"/>
      <c r="J676" s="308"/>
      <c r="K676" s="227"/>
      <c r="L676" s="82">
        <f t="shared" si="344"/>
        <v>0</v>
      </c>
      <c r="M676" s="331"/>
      <c r="N676" s="161">
        <f t="shared" si="339"/>
        <v>0</v>
      </c>
      <c r="O676" s="161">
        <f t="shared" si="340"/>
        <v>0</v>
      </c>
      <c r="P676" s="187">
        <f t="shared" si="341"/>
        <v>0</v>
      </c>
      <c r="Q676" s="161">
        <f t="shared" si="342"/>
        <v>0</v>
      </c>
      <c r="R676" s="85"/>
      <c r="S676" s="86">
        <f t="shared" si="343"/>
        <v>0</v>
      </c>
      <c r="T676" s="87">
        <f t="shared" si="338"/>
        <v>0</v>
      </c>
    </row>
    <row r="677" spans="2:31" ht="20.100000000000001" hidden="1" customHeight="1">
      <c r="B677" s="77">
        <v>7</v>
      </c>
      <c r="C677" s="78" t="s">
        <v>1195</v>
      </c>
      <c r="D677" s="79" t="s">
        <v>1321</v>
      </c>
      <c r="E677" s="80" t="s">
        <v>1322</v>
      </c>
      <c r="F677" s="81">
        <v>30.85</v>
      </c>
      <c r="G677" s="222">
        <v>43</v>
      </c>
      <c r="H677" s="186"/>
      <c r="I677" s="186"/>
      <c r="J677" s="308"/>
      <c r="K677" s="227"/>
      <c r="L677" s="82">
        <f t="shared" si="344"/>
        <v>43</v>
      </c>
      <c r="M677" s="331">
        <v>43</v>
      </c>
      <c r="N677" s="161">
        <f t="shared" si="339"/>
        <v>1326.55</v>
      </c>
      <c r="O677" s="161">
        <f t="shared" si="340"/>
        <v>1326.55</v>
      </c>
      <c r="P677" s="187">
        <f t="shared" si="341"/>
        <v>0</v>
      </c>
      <c r="Q677" s="161">
        <f t="shared" si="342"/>
        <v>0</v>
      </c>
      <c r="R677" s="85" t="s">
        <v>1323</v>
      </c>
      <c r="S677" s="86">
        <f t="shared" si="343"/>
        <v>43</v>
      </c>
      <c r="T677" s="87">
        <f t="shared" si="338"/>
        <v>0</v>
      </c>
      <c r="W677">
        <f>39+4</f>
        <v>43</v>
      </c>
      <c r="X677" t="s">
        <v>121</v>
      </c>
      <c r="AD677">
        <f>W677</f>
        <v>43</v>
      </c>
      <c r="AE677" s="89">
        <f>AD677*F677</f>
        <v>1326.55</v>
      </c>
    </row>
    <row r="678" spans="2:31" ht="20.100000000000001" hidden="1" customHeight="1">
      <c r="B678" s="77">
        <v>7</v>
      </c>
      <c r="C678" s="78" t="s">
        <v>1195</v>
      </c>
      <c r="D678" s="79" t="s">
        <v>1324</v>
      </c>
      <c r="E678" s="80" t="s">
        <v>1325</v>
      </c>
      <c r="F678" s="81">
        <v>41.89</v>
      </c>
      <c r="G678" s="222"/>
      <c r="H678" s="186"/>
      <c r="I678" s="186"/>
      <c r="J678" s="308"/>
      <c r="K678" s="227"/>
      <c r="L678" s="82">
        <f t="shared" si="344"/>
        <v>0</v>
      </c>
      <c r="M678" s="331"/>
      <c r="N678" s="161">
        <f t="shared" si="339"/>
        <v>0</v>
      </c>
      <c r="O678" s="161">
        <f t="shared" si="340"/>
        <v>0</v>
      </c>
      <c r="P678" s="187">
        <f t="shared" si="341"/>
        <v>0</v>
      </c>
      <c r="Q678" s="161">
        <f t="shared" si="342"/>
        <v>0</v>
      </c>
      <c r="R678" s="85"/>
      <c r="S678" s="86">
        <f t="shared" si="343"/>
        <v>0</v>
      </c>
      <c r="T678" s="87">
        <f t="shared" si="338"/>
        <v>0</v>
      </c>
    </row>
    <row r="679" spans="2:31" ht="20.100000000000001" hidden="1" customHeight="1">
      <c r="B679" s="77">
        <v>7</v>
      </c>
      <c r="C679" s="78" t="s">
        <v>1195</v>
      </c>
      <c r="D679" s="79" t="s">
        <v>1326</v>
      </c>
      <c r="E679" s="80" t="s">
        <v>1327</v>
      </c>
      <c r="F679" s="81">
        <v>24.25</v>
      </c>
      <c r="G679" s="222">
        <v>1</v>
      </c>
      <c r="H679" s="186"/>
      <c r="I679" s="186"/>
      <c r="J679" s="308"/>
      <c r="K679" s="227"/>
      <c r="L679" s="82">
        <f t="shared" si="344"/>
        <v>1</v>
      </c>
      <c r="M679" s="331">
        <v>1</v>
      </c>
      <c r="N679" s="161">
        <f t="shared" si="339"/>
        <v>24.25</v>
      </c>
      <c r="O679" s="161">
        <f t="shared" si="340"/>
        <v>24.25</v>
      </c>
      <c r="P679" s="187">
        <f t="shared" si="341"/>
        <v>0</v>
      </c>
      <c r="Q679" s="161">
        <f t="shared" si="342"/>
        <v>0</v>
      </c>
      <c r="R679" s="85"/>
      <c r="S679" s="86">
        <f t="shared" si="343"/>
        <v>1</v>
      </c>
      <c r="T679" s="87">
        <f t="shared" si="338"/>
        <v>0</v>
      </c>
      <c r="AA679">
        <v>1</v>
      </c>
      <c r="AB679" t="s">
        <v>1328</v>
      </c>
      <c r="AD679">
        <f>AA679</f>
        <v>1</v>
      </c>
      <c r="AE679" s="89">
        <f>AD679*F679</f>
        <v>24.25</v>
      </c>
    </row>
    <row r="680" spans="2:31" ht="20.100000000000001" hidden="1" customHeight="1">
      <c r="B680" s="77">
        <v>7</v>
      </c>
      <c r="C680" s="78" t="s">
        <v>1195</v>
      </c>
      <c r="D680" s="79" t="s">
        <v>1329</v>
      </c>
      <c r="E680" s="80" t="s">
        <v>1330</v>
      </c>
      <c r="F680" s="81">
        <v>37.04</v>
      </c>
      <c r="G680" s="222"/>
      <c r="H680" s="186"/>
      <c r="I680" s="186"/>
      <c r="J680" s="308"/>
      <c r="K680" s="227"/>
      <c r="L680" s="82">
        <f t="shared" si="344"/>
        <v>0</v>
      </c>
      <c r="M680" s="331"/>
      <c r="N680" s="161">
        <f t="shared" si="339"/>
        <v>0</v>
      </c>
      <c r="O680" s="161">
        <f t="shared" si="340"/>
        <v>0</v>
      </c>
      <c r="P680" s="187">
        <f t="shared" si="341"/>
        <v>0</v>
      </c>
      <c r="Q680" s="161">
        <f t="shared" si="342"/>
        <v>0</v>
      </c>
      <c r="R680" s="85"/>
      <c r="S680" s="86">
        <f t="shared" si="343"/>
        <v>0</v>
      </c>
      <c r="T680" s="87">
        <f t="shared" si="338"/>
        <v>0</v>
      </c>
    </row>
    <row r="681" spans="2:31" ht="20.100000000000001" hidden="1" customHeight="1">
      <c r="B681" s="77">
        <v>7</v>
      </c>
      <c r="C681" s="78" t="s">
        <v>1195</v>
      </c>
      <c r="D681" s="79" t="s">
        <v>1331</v>
      </c>
      <c r="E681" s="80" t="s">
        <v>1332</v>
      </c>
      <c r="F681" s="81">
        <v>53.26</v>
      </c>
      <c r="G681" s="222"/>
      <c r="H681" s="186"/>
      <c r="I681" s="186"/>
      <c r="J681" s="308"/>
      <c r="K681" s="227"/>
      <c r="L681" s="82">
        <f t="shared" si="344"/>
        <v>0</v>
      </c>
      <c r="M681" s="331"/>
      <c r="N681" s="161">
        <f t="shared" si="339"/>
        <v>0</v>
      </c>
      <c r="O681" s="161">
        <f t="shared" si="340"/>
        <v>0</v>
      </c>
      <c r="P681" s="187">
        <f t="shared" si="341"/>
        <v>0</v>
      </c>
      <c r="Q681" s="161">
        <f t="shared" si="342"/>
        <v>0</v>
      </c>
      <c r="R681" s="85"/>
      <c r="S681" s="86">
        <f t="shared" si="343"/>
        <v>0</v>
      </c>
      <c r="T681" s="87">
        <f t="shared" si="338"/>
        <v>0</v>
      </c>
    </row>
    <row r="682" spans="2:31" ht="20.100000000000001" hidden="1" customHeight="1">
      <c r="B682" s="77">
        <v>7</v>
      </c>
      <c r="C682" s="78" t="s">
        <v>1195</v>
      </c>
      <c r="D682" s="79" t="s">
        <v>1333</v>
      </c>
      <c r="E682" s="80" t="s">
        <v>1334</v>
      </c>
      <c r="F682" s="81">
        <v>12.39</v>
      </c>
      <c r="G682" s="222">
        <v>8</v>
      </c>
      <c r="H682" s="186"/>
      <c r="I682" s="186"/>
      <c r="J682" s="308"/>
      <c r="K682" s="227">
        <v>3</v>
      </c>
      <c r="L682" s="82">
        <f t="shared" si="344"/>
        <v>5</v>
      </c>
      <c r="M682" s="335">
        <v>5</v>
      </c>
      <c r="N682" s="161">
        <f t="shared" si="339"/>
        <v>61.95</v>
      </c>
      <c r="O682" s="161">
        <f t="shared" si="340"/>
        <v>61.95</v>
      </c>
      <c r="P682" s="187">
        <f t="shared" si="341"/>
        <v>0</v>
      </c>
      <c r="Q682" s="161">
        <f t="shared" si="342"/>
        <v>0</v>
      </c>
      <c r="R682" s="85"/>
      <c r="S682" s="86">
        <f t="shared" si="343"/>
        <v>12</v>
      </c>
      <c r="T682" s="87">
        <f t="shared" si="338"/>
        <v>-7</v>
      </c>
      <c r="U682">
        <v>12</v>
      </c>
    </row>
    <row r="683" spans="2:31" ht="20.100000000000001" hidden="1" customHeight="1">
      <c r="B683" s="77">
        <v>7</v>
      </c>
      <c r="C683" s="78" t="s">
        <v>1195</v>
      </c>
      <c r="D683" s="79" t="s">
        <v>1335</v>
      </c>
      <c r="E683" s="80" t="s">
        <v>1336</v>
      </c>
      <c r="F683" s="81">
        <v>35.549999999999997</v>
      </c>
      <c r="G683" s="222">
        <v>21</v>
      </c>
      <c r="H683" s="186"/>
      <c r="I683" s="186"/>
      <c r="J683" s="308"/>
      <c r="K683" s="227">
        <v>1</v>
      </c>
      <c r="L683" s="82">
        <f t="shared" si="344"/>
        <v>20</v>
      </c>
      <c r="M683" s="331">
        <f>9+11</f>
        <v>20</v>
      </c>
      <c r="N683" s="161">
        <f t="shared" si="339"/>
        <v>711</v>
      </c>
      <c r="O683" s="161">
        <f t="shared" si="340"/>
        <v>711</v>
      </c>
      <c r="P683" s="187">
        <f t="shared" si="341"/>
        <v>0</v>
      </c>
      <c r="Q683" s="161">
        <f t="shared" si="342"/>
        <v>0</v>
      </c>
      <c r="R683" s="85"/>
      <c r="S683" s="86">
        <f t="shared" si="343"/>
        <v>11</v>
      </c>
      <c r="T683" s="87">
        <f t="shared" si="338"/>
        <v>9</v>
      </c>
      <c r="U683">
        <v>11</v>
      </c>
    </row>
    <row r="684" spans="2:31" ht="20.100000000000001" hidden="1" customHeight="1">
      <c r="B684" s="77">
        <v>7</v>
      </c>
      <c r="C684" s="78" t="s">
        <v>1195</v>
      </c>
      <c r="D684" s="79" t="s">
        <v>1337</v>
      </c>
      <c r="E684" s="80" t="s">
        <v>1338</v>
      </c>
      <c r="F684" s="81">
        <v>125.05</v>
      </c>
      <c r="G684" s="222">
        <v>1</v>
      </c>
      <c r="H684" s="186"/>
      <c r="I684" s="186"/>
      <c r="J684" s="308"/>
      <c r="K684" s="227"/>
      <c r="L684" s="82">
        <f t="shared" si="344"/>
        <v>1</v>
      </c>
      <c r="M684" s="331">
        <v>1</v>
      </c>
      <c r="N684" s="161">
        <f t="shared" si="339"/>
        <v>125.05</v>
      </c>
      <c r="O684" s="161">
        <f t="shared" si="340"/>
        <v>125.05</v>
      </c>
      <c r="P684" s="187">
        <f t="shared" si="341"/>
        <v>0</v>
      </c>
      <c r="Q684" s="161">
        <f t="shared" si="342"/>
        <v>0</v>
      </c>
      <c r="R684" s="85"/>
      <c r="S684" s="86">
        <f t="shared" si="343"/>
        <v>2</v>
      </c>
      <c r="T684" s="87">
        <f t="shared" si="338"/>
        <v>-1</v>
      </c>
      <c r="U684">
        <v>2</v>
      </c>
    </row>
    <row r="685" spans="2:31" ht="20.100000000000001" hidden="1" customHeight="1">
      <c r="B685" s="77">
        <v>7</v>
      </c>
      <c r="C685" s="78" t="s">
        <v>1195</v>
      </c>
      <c r="D685" s="79" t="s">
        <v>1339</v>
      </c>
      <c r="E685" s="80" t="s">
        <v>1340</v>
      </c>
      <c r="F685" s="81">
        <v>97.21</v>
      </c>
      <c r="G685" s="222"/>
      <c r="H685" s="186"/>
      <c r="I685" s="186"/>
      <c r="J685" s="308"/>
      <c r="K685" s="227"/>
      <c r="L685" s="82">
        <f t="shared" si="344"/>
        <v>0</v>
      </c>
      <c r="M685" s="331"/>
      <c r="N685" s="161">
        <f t="shared" si="339"/>
        <v>0</v>
      </c>
      <c r="O685" s="161">
        <f t="shared" si="340"/>
        <v>0</v>
      </c>
      <c r="P685" s="187">
        <f t="shared" si="341"/>
        <v>0</v>
      </c>
      <c r="Q685" s="161">
        <f t="shared" si="342"/>
        <v>0</v>
      </c>
      <c r="R685" s="85"/>
      <c r="S685" s="86">
        <f t="shared" si="343"/>
        <v>0</v>
      </c>
      <c r="T685" s="87">
        <f t="shared" si="338"/>
        <v>0</v>
      </c>
    </row>
    <row r="686" spans="2:31" ht="20.100000000000001" hidden="1" customHeight="1">
      <c r="B686" s="77">
        <v>7</v>
      </c>
      <c r="C686" s="78" t="s">
        <v>1195</v>
      </c>
      <c r="D686" s="79" t="s">
        <v>1341</v>
      </c>
      <c r="E686" s="80" t="s">
        <v>1342</v>
      </c>
      <c r="F686" s="81">
        <v>12.39</v>
      </c>
      <c r="G686" s="222">
        <v>15</v>
      </c>
      <c r="H686" s="186"/>
      <c r="I686" s="186"/>
      <c r="J686" s="308"/>
      <c r="K686" s="227"/>
      <c r="L686" s="82">
        <f t="shared" si="344"/>
        <v>15</v>
      </c>
      <c r="M686" s="331">
        <v>15</v>
      </c>
      <c r="N686" s="161">
        <f t="shared" si="339"/>
        <v>185.85000000000002</v>
      </c>
      <c r="O686" s="161">
        <f t="shared" si="340"/>
        <v>185.85000000000002</v>
      </c>
      <c r="P686" s="187">
        <f t="shared" si="341"/>
        <v>0</v>
      </c>
      <c r="Q686" s="161">
        <f t="shared" si="342"/>
        <v>0</v>
      </c>
      <c r="R686" s="232"/>
      <c r="S686" s="86">
        <f t="shared" si="343"/>
        <v>17</v>
      </c>
      <c r="T686" s="87">
        <f t="shared" si="338"/>
        <v>-2</v>
      </c>
      <c r="U686">
        <v>17</v>
      </c>
    </row>
    <row r="687" spans="2:31" ht="20.100000000000001" hidden="1" customHeight="1">
      <c r="B687" s="77">
        <v>7</v>
      </c>
      <c r="C687" s="78" t="s">
        <v>1195</v>
      </c>
      <c r="D687" s="79" t="s">
        <v>1343</v>
      </c>
      <c r="E687" s="80" t="s">
        <v>1344</v>
      </c>
      <c r="F687" s="81">
        <v>97.21</v>
      </c>
      <c r="G687" s="222"/>
      <c r="H687" s="186"/>
      <c r="I687" s="186"/>
      <c r="J687" s="308"/>
      <c r="K687" s="227"/>
      <c r="L687" s="82">
        <f t="shared" si="344"/>
        <v>0</v>
      </c>
      <c r="M687" s="331"/>
      <c r="N687" s="161">
        <f t="shared" ref="N687:N740" si="356">F687*L687</f>
        <v>0</v>
      </c>
      <c r="O687" s="161">
        <f t="shared" ref="O687:O740" si="357">M687*F687</f>
        <v>0</v>
      </c>
      <c r="P687" s="187">
        <f t="shared" ref="P687:P740" si="358">L687-M687</f>
        <v>0</v>
      </c>
      <c r="Q687" s="161">
        <f t="shared" ref="Q687:Q740" si="359">N687-O687</f>
        <v>0</v>
      </c>
      <c r="R687" s="85"/>
      <c r="S687" s="86">
        <f t="shared" ref="S687:S740" si="360">U687+Y687+W687+AA687</f>
        <v>0</v>
      </c>
      <c r="T687" s="87">
        <f t="shared" ref="T687:T739" si="361">M687-S687</f>
        <v>0</v>
      </c>
    </row>
    <row r="688" spans="2:31" ht="20.100000000000001" hidden="1" customHeight="1">
      <c r="B688" s="77">
        <v>7</v>
      </c>
      <c r="C688" s="78" t="s">
        <v>1195</v>
      </c>
      <c r="D688" s="79" t="s">
        <v>1345</v>
      </c>
      <c r="E688" s="80" t="s">
        <v>1346</v>
      </c>
      <c r="F688" s="81">
        <v>35.549999999999997</v>
      </c>
      <c r="G688" s="222">
        <v>7</v>
      </c>
      <c r="H688" s="186"/>
      <c r="I688" s="186"/>
      <c r="J688" s="308"/>
      <c r="K688" s="227">
        <v>1</v>
      </c>
      <c r="L688" s="82">
        <f t="shared" si="344"/>
        <v>6</v>
      </c>
      <c r="M688" s="331">
        <v>6</v>
      </c>
      <c r="N688" s="161">
        <f t="shared" si="356"/>
        <v>213.29999999999998</v>
      </c>
      <c r="O688" s="161">
        <f t="shared" si="357"/>
        <v>213.29999999999998</v>
      </c>
      <c r="P688" s="187">
        <f t="shared" si="358"/>
        <v>0</v>
      </c>
      <c r="Q688" s="161">
        <f t="shared" si="359"/>
        <v>0</v>
      </c>
      <c r="R688" s="85"/>
      <c r="S688" s="86">
        <f t="shared" si="360"/>
        <v>10</v>
      </c>
      <c r="T688" s="87">
        <f t="shared" si="361"/>
        <v>-4</v>
      </c>
      <c r="U688">
        <v>10</v>
      </c>
    </row>
    <row r="689" spans="2:21" ht="20.100000000000001" hidden="1" customHeight="1">
      <c r="B689" s="77">
        <v>7</v>
      </c>
      <c r="C689" s="78" t="s">
        <v>1195</v>
      </c>
      <c r="D689" s="79" t="s">
        <v>1345</v>
      </c>
      <c r="E689" s="80" t="s">
        <v>1346</v>
      </c>
      <c r="F689" s="81">
        <v>35.549999999999997</v>
      </c>
      <c r="G689" s="222"/>
      <c r="H689" s="186"/>
      <c r="I689" s="186"/>
      <c r="J689" s="308"/>
      <c r="K689" s="227"/>
      <c r="L689" s="82">
        <f t="shared" si="344"/>
        <v>0</v>
      </c>
      <c r="M689" s="331"/>
      <c r="N689" s="161">
        <f t="shared" si="356"/>
        <v>0</v>
      </c>
      <c r="O689" s="161">
        <f t="shared" si="357"/>
        <v>0</v>
      </c>
      <c r="P689" s="187">
        <f t="shared" si="358"/>
        <v>0</v>
      </c>
      <c r="Q689" s="161">
        <f t="shared" si="359"/>
        <v>0</v>
      </c>
      <c r="R689" s="85"/>
      <c r="S689" s="86">
        <f t="shared" si="360"/>
        <v>0</v>
      </c>
      <c r="T689" s="87">
        <f t="shared" si="361"/>
        <v>0</v>
      </c>
    </row>
    <row r="690" spans="2:21" ht="20.100000000000001" hidden="1" customHeight="1">
      <c r="B690" s="77">
        <v>7</v>
      </c>
      <c r="C690" s="78" t="s">
        <v>1195</v>
      </c>
      <c r="D690" s="79" t="s">
        <v>1347</v>
      </c>
      <c r="E690" s="80" t="s">
        <v>1348</v>
      </c>
      <c r="F690" s="81">
        <v>97.21</v>
      </c>
      <c r="G690" s="222"/>
      <c r="H690" s="186"/>
      <c r="I690" s="186"/>
      <c r="J690" s="308"/>
      <c r="K690" s="227"/>
      <c r="L690" s="82">
        <f t="shared" si="344"/>
        <v>0</v>
      </c>
      <c r="M690" s="331"/>
      <c r="N690" s="161">
        <f t="shared" si="356"/>
        <v>0</v>
      </c>
      <c r="O690" s="161">
        <f t="shared" si="357"/>
        <v>0</v>
      </c>
      <c r="P690" s="187">
        <f t="shared" si="358"/>
        <v>0</v>
      </c>
      <c r="Q690" s="161">
        <f t="shared" si="359"/>
        <v>0</v>
      </c>
      <c r="R690" s="232" t="s">
        <v>3833</v>
      </c>
      <c r="S690" s="86">
        <f t="shared" si="360"/>
        <v>1</v>
      </c>
      <c r="T690" s="87">
        <f t="shared" si="361"/>
        <v>-1</v>
      </c>
      <c r="U690">
        <v>1</v>
      </c>
    </row>
    <row r="691" spans="2:21" ht="20.100000000000001" hidden="1" customHeight="1">
      <c r="B691" s="77">
        <v>7</v>
      </c>
      <c r="C691" s="78" t="s">
        <v>1195</v>
      </c>
      <c r="D691" s="79" t="s">
        <v>1349</v>
      </c>
      <c r="E691" s="80" t="s">
        <v>1348</v>
      </c>
      <c r="F691" s="81">
        <v>125.05</v>
      </c>
      <c r="G691" s="222">
        <v>1</v>
      </c>
      <c r="H691" s="186"/>
      <c r="I691" s="186"/>
      <c r="J691" s="308"/>
      <c r="K691" s="227"/>
      <c r="L691" s="82">
        <f t="shared" si="344"/>
        <v>1</v>
      </c>
      <c r="M691" s="331">
        <v>1</v>
      </c>
      <c r="N691" s="161">
        <f t="shared" si="356"/>
        <v>125.05</v>
      </c>
      <c r="O691" s="161">
        <f t="shared" si="357"/>
        <v>125.05</v>
      </c>
      <c r="P691" s="187">
        <f t="shared" si="358"/>
        <v>0</v>
      </c>
      <c r="Q691" s="161">
        <f t="shared" si="359"/>
        <v>0</v>
      </c>
      <c r="R691" s="85"/>
      <c r="S691" s="86">
        <f t="shared" si="360"/>
        <v>0</v>
      </c>
      <c r="T691" s="87">
        <f t="shared" si="361"/>
        <v>1</v>
      </c>
    </row>
    <row r="692" spans="2:21" ht="20.100000000000001" hidden="1" customHeight="1">
      <c r="B692" s="77">
        <v>7</v>
      </c>
      <c r="C692" s="78" t="s">
        <v>1195</v>
      </c>
      <c r="D692" s="79" t="s">
        <v>1350</v>
      </c>
      <c r="E692" s="80" t="s">
        <v>1351</v>
      </c>
      <c r="F692" s="81">
        <v>12.39</v>
      </c>
      <c r="G692" s="222">
        <v>9</v>
      </c>
      <c r="H692" s="186"/>
      <c r="I692" s="186"/>
      <c r="J692" s="308"/>
      <c r="K692" s="227"/>
      <c r="L692" s="82">
        <f t="shared" si="344"/>
        <v>9</v>
      </c>
      <c r="M692" s="331">
        <v>9</v>
      </c>
      <c r="N692" s="161">
        <f t="shared" si="356"/>
        <v>111.51</v>
      </c>
      <c r="O692" s="161">
        <f t="shared" si="357"/>
        <v>111.51</v>
      </c>
      <c r="P692" s="187">
        <f t="shared" si="358"/>
        <v>0</v>
      </c>
      <c r="Q692" s="161">
        <f t="shared" si="359"/>
        <v>0</v>
      </c>
      <c r="R692" s="85"/>
      <c r="S692" s="86">
        <f t="shared" si="360"/>
        <v>12</v>
      </c>
      <c r="T692" s="87">
        <f t="shared" si="361"/>
        <v>-3</v>
      </c>
      <c r="U692">
        <v>12</v>
      </c>
    </row>
    <row r="693" spans="2:21" ht="20.100000000000001" hidden="1" customHeight="1">
      <c r="B693" s="77">
        <v>7</v>
      </c>
      <c r="C693" s="78" t="s">
        <v>1195</v>
      </c>
      <c r="D693" s="79" t="s">
        <v>1352</v>
      </c>
      <c r="E693" s="80" t="s">
        <v>1353</v>
      </c>
      <c r="F693" s="81">
        <v>35.549999999999997</v>
      </c>
      <c r="G693" s="222">
        <v>8</v>
      </c>
      <c r="H693" s="186"/>
      <c r="I693" s="186"/>
      <c r="J693" s="308"/>
      <c r="K693" s="227"/>
      <c r="L693" s="82">
        <f t="shared" si="344"/>
        <v>8</v>
      </c>
      <c r="M693" s="331">
        <v>8</v>
      </c>
      <c r="N693" s="161">
        <f t="shared" si="356"/>
        <v>284.39999999999998</v>
      </c>
      <c r="O693" s="161">
        <f t="shared" si="357"/>
        <v>284.39999999999998</v>
      </c>
      <c r="P693" s="187">
        <f t="shared" si="358"/>
        <v>0</v>
      </c>
      <c r="Q693" s="161">
        <f t="shared" si="359"/>
        <v>0</v>
      </c>
      <c r="R693" s="85"/>
      <c r="S693" s="86">
        <f t="shared" si="360"/>
        <v>14</v>
      </c>
      <c r="T693" s="87">
        <f t="shared" si="361"/>
        <v>-6</v>
      </c>
      <c r="U693">
        <v>14</v>
      </c>
    </row>
    <row r="694" spans="2:21" ht="20.100000000000001" hidden="1" customHeight="1">
      <c r="B694" s="77">
        <v>7</v>
      </c>
      <c r="C694" s="78" t="s">
        <v>1195</v>
      </c>
      <c r="D694" s="79" t="s">
        <v>1354</v>
      </c>
      <c r="E694" s="80" t="s">
        <v>1355</v>
      </c>
      <c r="F694" s="81">
        <v>89.91</v>
      </c>
      <c r="G694" s="222"/>
      <c r="H694" s="186"/>
      <c r="I694" s="186"/>
      <c r="J694" s="308"/>
      <c r="K694" s="227"/>
      <c r="L694" s="82">
        <f t="shared" si="344"/>
        <v>0</v>
      </c>
      <c r="M694" s="331"/>
      <c r="N694" s="161">
        <f t="shared" si="356"/>
        <v>0</v>
      </c>
      <c r="O694" s="161">
        <f t="shared" si="357"/>
        <v>0</v>
      </c>
      <c r="P694" s="187">
        <f t="shared" si="358"/>
        <v>0</v>
      </c>
      <c r="Q694" s="161">
        <f t="shared" si="359"/>
        <v>0</v>
      </c>
      <c r="R694" s="85"/>
      <c r="S694" s="86">
        <f t="shared" si="360"/>
        <v>0</v>
      </c>
      <c r="T694" s="87">
        <f t="shared" si="361"/>
        <v>0</v>
      </c>
    </row>
    <row r="695" spans="2:21" ht="20.100000000000001" hidden="1" customHeight="1">
      <c r="B695" s="77">
        <v>7</v>
      </c>
      <c r="C695" s="78" t="s">
        <v>1195</v>
      </c>
      <c r="D695" s="79" t="s">
        <v>1356</v>
      </c>
      <c r="E695" s="80" t="s">
        <v>1357</v>
      </c>
      <c r="F695" s="81">
        <v>12.39</v>
      </c>
      <c r="G695" s="222">
        <v>29</v>
      </c>
      <c r="H695" s="186"/>
      <c r="I695" s="186"/>
      <c r="J695" s="308"/>
      <c r="K695" s="227"/>
      <c r="L695" s="82">
        <f t="shared" si="344"/>
        <v>29</v>
      </c>
      <c r="M695" s="331">
        <v>29</v>
      </c>
      <c r="N695" s="161">
        <f t="shared" si="356"/>
        <v>359.31</v>
      </c>
      <c r="O695" s="161">
        <f t="shared" si="357"/>
        <v>359.31</v>
      </c>
      <c r="P695" s="187">
        <f t="shared" si="358"/>
        <v>0</v>
      </c>
      <c r="Q695" s="161">
        <f t="shared" si="359"/>
        <v>0</v>
      </c>
      <c r="R695" s="232"/>
      <c r="S695" s="86">
        <f t="shared" si="360"/>
        <v>24</v>
      </c>
      <c r="T695" s="87">
        <f t="shared" si="361"/>
        <v>5</v>
      </c>
      <c r="U695">
        <v>24</v>
      </c>
    </row>
    <row r="696" spans="2:21" ht="20.100000000000001" hidden="1" customHeight="1">
      <c r="B696" s="77">
        <v>7</v>
      </c>
      <c r="C696" s="78" t="s">
        <v>1195</v>
      </c>
      <c r="D696" s="79" t="s">
        <v>1358</v>
      </c>
      <c r="E696" s="80" t="s">
        <v>1359</v>
      </c>
      <c r="F696" s="81">
        <v>232.05</v>
      </c>
      <c r="G696" s="222"/>
      <c r="H696" s="186"/>
      <c r="I696" s="186"/>
      <c r="J696" s="308"/>
      <c r="K696" s="227"/>
      <c r="L696" s="82">
        <f t="shared" si="344"/>
        <v>0</v>
      </c>
      <c r="M696" s="331"/>
      <c r="N696" s="161">
        <f t="shared" si="356"/>
        <v>0</v>
      </c>
      <c r="O696" s="161">
        <f t="shared" si="357"/>
        <v>0</v>
      </c>
      <c r="P696" s="187">
        <f t="shared" si="358"/>
        <v>0</v>
      </c>
      <c r="Q696" s="161">
        <f t="shared" si="359"/>
        <v>0</v>
      </c>
      <c r="R696" s="85"/>
      <c r="S696" s="86">
        <f t="shared" si="360"/>
        <v>0</v>
      </c>
      <c r="T696" s="87">
        <f t="shared" si="361"/>
        <v>0</v>
      </c>
    </row>
    <row r="697" spans="2:21" ht="20.100000000000001" hidden="1" customHeight="1">
      <c r="B697" s="77">
        <v>7</v>
      </c>
      <c r="C697" s="78" t="s">
        <v>1195</v>
      </c>
      <c r="D697" s="79" t="s">
        <v>1360</v>
      </c>
      <c r="E697" s="80" t="s">
        <v>1361</v>
      </c>
      <c r="F697" s="81">
        <v>32.840000000000003</v>
      </c>
      <c r="G697" s="222"/>
      <c r="H697" s="186"/>
      <c r="I697" s="186"/>
      <c r="J697" s="308"/>
      <c r="K697" s="227"/>
      <c r="L697" s="82">
        <f t="shared" si="344"/>
        <v>0</v>
      </c>
      <c r="M697" s="331"/>
      <c r="N697" s="161">
        <f t="shared" si="356"/>
        <v>0</v>
      </c>
      <c r="O697" s="161">
        <f t="shared" si="357"/>
        <v>0</v>
      </c>
      <c r="P697" s="187">
        <f t="shared" si="358"/>
        <v>0</v>
      </c>
      <c r="Q697" s="161">
        <f t="shared" si="359"/>
        <v>0</v>
      </c>
      <c r="R697" s="232"/>
      <c r="S697" s="86">
        <f t="shared" si="360"/>
        <v>0</v>
      </c>
      <c r="T697" s="87">
        <f t="shared" si="361"/>
        <v>0</v>
      </c>
    </row>
    <row r="698" spans="2:21" ht="20.100000000000001" hidden="1" customHeight="1">
      <c r="B698" s="77">
        <v>7</v>
      </c>
      <c r="C698" s="78" t="s">
        <v>1195</v>
      </c>
      <c r="D698" s="79" t="s">
        <v>1362</v>
      </c>
      <c r="E698" s="80" t="s">
        <v>1363</v>
      </c>
      <c r="F698" s="81">
        <v>93.84</v>
      </c>
      <c r="G698" s="222"/>
      <c r="H698" s="186"/>
      <c r="I698" s="186"/>
      <c r="J698" s="308"/>
      <c r="K698" s="227"/>
      <c r="L698" s="82">
        <f t="shared" si="344"/>
        <v>0</v>
      </c>
      <c r="M698" s="331"/>
      <c r="N698" s="161">
        <f t="shared" si="356"/>
        <v>0</v>
      </c>
      <c r="O698" s="161">
        <f t="shared" si="357"/>
        <v>0</v>
      </c>
      <c r="P698" s="187">
        <f t="shared" si="358"/>
        <v>0</v>
      </c>
      <c r="Q698" s="161">
        <f t="shared" si="359"/>
        <v>0</v>
      </c>
      <c r="R698" s="85"/>
      <c r="S698" s="86">
        <f t="shared" si="360"/>
        <v>0</v>
      </c>
      <c r="T698" s="87">
        <f t="shared" si="361"/>
        <v>0</v>
      </c>
    </row>
    <row r="699" spans="2:21" ht="20.100000000000001" hidden="1" customHeight="1">
      <c r="B699" s="77">
        <v>7</v>
      </c>
      <c r="C699" s="78" t="s">
        <v>1195</v>
      </c>
      <c r="D699" s="79" t="s">
        <v>1364</v>
      </c>
      <c r="E699" s="80" t="s">
        <v>1365</v>
      </c>
      <c r="F699" s="81">
        <v>76.14</v>
      </c>
      <c r="G699" s="222"/>
      <c r="H699" s="186"/>
      <c r="I699" s="186"/>
      <c r="J699" s="308"/>
      <c r="K699" s="227"/>
      <c r="L699" s="82">
        <f t="shared" si="344"/>
        <v>0</v>
      </c>
      <c r="M699" s="331">
        <v>0</v>
      </c>
      <c r="N699" s="161">
        <f t="shared" si="356"/>
        <v>0</v>
      </c>
      <c r="O699" s="161">
        <f t="shared" si="357"/>
        <v>0</v>
      </c>
      <c r="P699" s="187">
        <f t="shared" si="358"/>
        <v>0</v>
      </c>
      <c r="Q699" s="161">
        <f t="shared" si="359"/>
        <v>0</v>
      </c>
      <c r="R699" s="85"/>
      <c r="S699" s="86">
        <f t="shared" si="360"/>
        <v>0</v>
      </c>
      <c r="T699" s="87">
        <f t="shared" si="361"/>
        <v>0</v>
      </c>
    </row>
    <row r="700" spans="2:21" ht="20.100000000000001" hidden="1" customHeight="1">
      <c r="B700" s="77">
        <v>7</v>
      </c>
      <c r="C700" s="78" t="s">
        <v>1195</v>
      </c>
      <c r="D700" s="79" t="s">
        <v>1366</v>
      </c>
      <c r="E700" s="80" t="s">
        <v>1367</v>
      </c>
      <c r="F700" s="81">
        <v>32.18</v>
      </c>
      <c r="G700" s="222">
        <v>7</v>
      </c>
      <c r="H700" s="186"/>
      <c r="I700" s="186"/>
      <c r="J700" s="308"/>
      <c r="K700" s="227"/>
      <c r="L700" s="82">
        <f t="shared" si="344"/>
        <v>7</v>
      </c>
      <c r="M700" s="331">
        <v>7</v>
      </c>
      <c r="N700" s="161">
        <f t="shared" si="356"/>
        <v>225.26</v>
      </c>
      <c r="O700" s="161">
        <f t="shared" si="357"/>
        <v>225.26</v>
      </c>
      <c r="P700" s="187">
        <f t="shared" si="358"/>
        <v>0</v>
      </c>
      <c r="Q700" s="161">
        <f t="shared" si="359"/>
        <v>0</v>
      </c>
      <c r="R700" s="232"/>
      <c r="S700" s="86">
        <f t="shared" si="360"/>
        <v>7</v>
      </c>
      <c r="T700" s="87">
        <f t="shared" si="361"/>
        <v>0</v>
      </c>
      <c r="U700">
        <v>7</v>
      </c>
    </row>
    <row r="701" spans="2:21" ht="20.100000000000001" hidden="1" customHeight="1">
      <c r="B701" s="77">
        <v>7</v>
      </c>
      <c r="C701" s="78" t="s">
        <v>1195</v>
      </c>
      <c r="D701" s="79" t="s">
        <v>1368</v>
      </c>
      <c r="E701" s="80" t="s">
        <v>1369</v>
      </c>
      <c r="F701" s="81">
        <v>23.4</v>
      </c>
      <c r="G701" s="222"/>
      <c r="H701" s="186"/>
      <c r="I701" s="186"/>
      <c r="J701" s="308"/>
      <c r="K701" s="227"/>
      <c r="L701" s="82">
        <f t="shared" si="344"/>
        <v>0</v>
      </c>
      <c r="M701" s="331"/>
      <c r="N701" s="161">
        <f t="shared" si="356"/>
        <v>0</v>
      </c>
      <c r="O701" s="161">
        <f t="shared" si="357"/>
        <v>0</v>
      </c>
      <c r="P701" s="187">
        <f t="shared" si="358"/>
        <v>0</v>
      </c>
      <c r="Q701" s="161">
        <f t="shared" si="359"/>
        <v>0</v>
      </c>
      <c r="R701" s="85"/>
      <c r="S701" s="86">
        <f t="shared" si="360"/>
        <v>2</v>
      </c>
      <c r="T701" s="87">
        <f t="shared" si="361"/>
        <v>-2</v>
      </c>
      <c r="U701">
        <v>2</v>
      </c>
    </row>
    <row r="702" spans="2:21" ht="20.100000000000001" hidden="1" customHeight="1">
      <c r="B702" s="77">
        <v>7</v>
      </c>
      <c r="C702" s="78" t="s">
        <v>1195</v>
      </c>
      <c r="D702" s="79" t="s">
        <v>1370</v>
      </c>
      <c r="E702" s="80" t="s">
        <v>1371</v>
      </c>
      <c r="F702" s="81">
        <v>22.45</v>
      </c>
      <c r="G702" s="222">
        <v>16</v>
      </c>
      <c r="H702" s="186"/>
      <c r="I702" s="186"/>
      <c r="J702" s="308"/>
      <c r="K702" s="227">
        <v>4</v>
      </c>
      <c r="L702" s="82">
        <f t="shared" si="344"/>
        <v>12</v>
      </c>
      <c r="M702" s="331">
        <v>12</v>
      </c>
      <c r="N702" s="161">
        <f t="shared" si="356"/>
        <v>269.39999999999998</v>
      </c>
      <c r="O702" s="161">
        <f t="shared" si="357"/>
        <v>269.39999999999998</v>
      </c>
      <c r="P702" s="187">
        <f t="shared" si="358"/>
        <v>0</v>
      </c>
      <c r="Q702" s="161">
        <f t="shared" si="359"/>
        <v>0</v>
      </c>
      <c r="R702" s="85"/>
      <c r="S702" s="86">
        <f t="shared" si="360"/>
        <v>18</v>
      </c>
      <c r="T702" s="87">
        <f t="shared" si="361"/>
        <v>-6</v>
      </c>
      <c r="U702">
        <v>18</v>
      </c>
    </row>
    <row r="703" spans="2:21" ht="20.100000000000001" customHeight="1">
      <c r="B703" s="77">
        <v>7</v>
      </c>
      <c r="C703" s="78" t="s">
        <v>1195</v>
      </c>
      <c r="D703" s="79" t="s">
        <v>1372</v>
      </c>
      <c r="E703" s="80" t="s">
        <v>1373</v>
      </c>
      <c r="F703" s="81">
        <v>116</v>
      </c>
      <c r="G703" s="222">
        <v>2</v>
      </c>
      <c r="H703" s="186"/>
      <c r="I703" s="186"/>
      <c r="J703" s="308"/>
      <c r="K703" s="227"/>
      <c r="L703" s="82">
        <f t="shared" si="344"/>
        <v>2</v>
      </c>
      <c r="M703" s="331"/>
      <c r="N703" s="161">
        <f t="shared" si="356"/>
        <v>232</v>
      </c>
      <c r="O703" s="161">
        <f t="shared" si="357"/>
        <v>0</v>
      </c>
      <c r="P703" s="187">
        <f t="shared" si="358"/>
        <v>2</v>
      </c>
      <c r="Q703" s="161">
        <f t="shared" si="359"/>
        <v>232</v>
      </c>
      <c r="R703" s="196" t="s">
        <v>5541</v>
      </c>
      <c r="S703" s="86">
        <f t="shared" si="360"/>
        <v>3</v>
      </c>
      <c r="T703" s="87">
        <f t="shared" si="361"/>
        <v>-3</v>
      </c>
      <c r="U703">
        <v>3</v>
      </c>
    </row>
    <row r="704" spans="2:21" ht="20.100000000000001" hidden="1" customHeight="1">
      <c r="B704" s="77">
        <v>7</v>
      </c>
      <c r="C704" s="78" t="s">
        <v>1195</v>
      </c>
      <c r="D704" s="79" t="s">
        <v>1374</v>
      </c>
      <c r="E704" s="80" t="s">
        <v>1375</v>
      </c>
      <c r="F704" s="81">
        <v>38</v>
      </c>
      <c r="G704" s="222"/>
      <c r="H704" s="186"/>
      <c r="I704" s="186"/>
      <c r="J704" s="308"/>
      <c r="K704" s="227"/>
      <c r="L704" s="82">
        <f t="shared" si="344"/>
        <v>0</v>
      </c>
      <c r="M704" s="331"/>
      <c r="N704" s="161">
        <f t="shared" si="356"/>
        <v>0</v>
      </c>
      <c r="O704" s="161">
        <f t="shared" si="357"/>
        <v>0</v>
      </c>
      <c r="P704" s="187">
        <f t="shared" si="358"/>
        <v>0</v>
      </c>
      <c r="Q704" s="161">
        <f t="shared" si="359"/>
        <v>0</v>
      </c>
      <c r="R704" s="85"/>
      <c r="S704" s="86">
        <f t="shared" si="360"/>
        <v>0</v>
      </c>
      <c r="T704" s="87">
        <f t="shared" si="361"/>
        <v>0</v>
      </c>
    </row>
    <row r="705" spans="2:31" ht="20.100000000000001" hidden="1" customHeight="1">
      <c r="B705" s="77">
        <v>7</v>
      </c>
      <c r="C705" s="78" t="s">
        <v>1195</v>
      </c>
      <c r="D705" s="79" t="s">
        <v>1376</v>
      </c>
      <c r="E705" s="80" t="s">
        <v>1377</v>
      </c>
      <c r="F705" s="81">
        <v>24.24</v>
      </c>
      <c r="G705" s="222">
        <v>92</v>
      </c>
      <c r="H705" s="186"/>
      <c r="I705" s="186"/>
      <c r="J705" s="308"/>
      <c r="K705" s="227">
        <v>2</v>
      </c>
      <c r="L705" s="82">
        <f t="shared" si="344"/>
        <v>90</v>
      </c>
      <c r="M705" s="331">
        <v>90</v>
      </c>
      <c r="N705" s="161">
        <f t="shared" si="356"/>
        <v>2181.6</v>
      </c>
      <c r="O705" s="161">
        <f t="shared" si="357"/>
        <v>2181.6</v>
      </c>
      <c r="P705" s="187">
        <f t="shared" si="358"/>
        <v>0</v>
      </c>
      <c r="Q705" s="161">
        <f t="shared" si="359"/>
        <v>0</v>
      </c>
      <c r="R705" s="232"/>
      <c r="S705" s="86">
        <f t="shared" si="360"/>
        <v>98</v>
      </c>
      <c r="T705" s="87">
        <f t="shared" si="361"/>
        <v>-8</v>
      </c>
      <c r="U705">
        <v>98</v>
      </c>
    </row>
    <row r="706" spans="2:31" ht="20.100000000000001" hidden="1" customHeight="1">
      <c r="B706" s="77">
        <v>7</v>
      </c>
      <c r="C706" s="78" t="s">
        <v>1195</v>
      </c>
      <c r="D706" s="79" t="s">
        <v>1378</v>
      </c>
      <c r="E706" s="80" t="s">
        <v>1379</v>
      </c>
      <c r="F706" s="81">
        <v>26</v>
      </c>
      <c r="G706" s="222"/>
      <c r="H706" s="186"/>
      <c r="I706" s="186"/>
      <c r="J706" s="308"/>
      <c r="K706" s="227"/>
      <c r="L706" s="82">
        <f t="shared" si="344"/>
        <v>0</v>
      </c>
      <c r="M706" s="331"/>
      <c r="N706" s="161">
        <f t="shared" si="356"/>
        <v>0</v>
      </c>
      <c r="O706" s="161">
        <f t="shared" si="357"/>
        <v>0</v>
      </c>
      <c r="P706" s="187">
        <f t="shared" si="358"/>
        <v>0</v>
      </c>
      <c r="Q706" s="161">
        <f t="shared" si="359"/>
        <v>0</v>
      </c>
      <c r="R706" s="85"/>
      <c r="S706" s="86">
        <f t="shared" si="360"/>
        <v>0</v>
      </c>
      <c r="T706" s="87">
        <f t="shared" si="361"/>
        <v>0</v>
      </c>
    </row>
    <row r="707" spans="2:31" ht="20.100000000000001" hidden="1" customHeight="1">
      <c r="B707" s="77">
        <v>7</v>
      </c>
      <c r="C707" s="78" t="s">
        <v>1195</v>
      </c>
      <c r="D707" s="79" t="s">
        <v>1380</v>
      </c>
      <c r="E707" s="80" t="s">
        <v>1381</v>
      </c>
      <c r="F707" s="81">
        <v>26</v>
      </c>
      <c r="G707" s="222"/>
      <c r="H707" s="186"/>
      <c r="I707" s="186"/>
      <c r="J707" s="308"/>
      <c r="K707" s="227">
        <v>5</v>
      </c>
      <c r="L707" s="82">
        <f t="shared" si="344"/>
        <v>-5</v>
      </c>
      <c r="M707" s="331">
        <v>0</v>
      </c>
      <c r="N707" s="161">
        <f t="shared" si="356"/>
        <v>-130</v>
      </c>
      <c r="O707" s="161">
        <f t="shared" si="357"/>
        <v>0</v>
      </c>
      <c r="P707" s="187">
        <f t="shared" si="358"/>
        <v>-5</v>
      </c>
      <c r="Q707" s="161">
        <f t="shared" si="359"/>
        <v>-130</v>
      </c>
      <c r="R707" s="85"/>
      <c r="S707" s="86">
        <f t="shared" si="360"/>
        <v>0</v>
      </c>
      <c r="T707" s="87">
        <f t="shared" si="361"/>
        <v>0</v>
      </c>
    </row>
    <row r="708" spans="2:31" ht="20.100000000000001" hidden="1" customHeight="1">
      <c r="B708" s="77">
        <v>7</v>
      </c>
      <c r="C708" s="78" t="s">
        <v>1195</v>
      </c>
      <c r="D708" s="79" t="s">
        <v>1382</v>
      </c>
      <c r="E708" s="80" t="s">
        <v>1383</v>
      </c>
      <c r="F708" s="81">
        <v>60.45</v>
      </c>
      <c r="G708" s="222"/>
      <c r="H708" s="186"/>
      <c r="I708" s="186"/>
      <c r="J708" s="308"/>
      <c r="K708" s="227"/>
      <c r="L708" s="82">
        <f t="shared" si="344"/>
        <v>0</v>
      </c>
      <c r="M708" s="331"/>
      <c r="N708" s="161">
        <f t="shared" si="356"/>
        <v>0</v>
      </c>
      <c r="O708" s="161">
        <f t="shared" si="357"/>
        <v>0</v>
      </c>
      <c r="P708" s="187">
        <f t="shared" si="358"/>
        <v>0</v>
      </c>
      <c r="Q708" s="161">
        <f t="shared" si="359"/>
        <v>0</v>
      </c>
      <c r="R708" s="232"/>
      <c r="S708" s="86">
        <f t="shared" si="360"/>
        <v>0</v>
      </c>
      <c r="T708" s="87">
        <f t="shared" si="361"/>
        <v>0</v>
      </c>
    </row>
    <row r="709" spans="2:31" ht="20.100000000000001" hidden="1" customHeight="1">
      <c r="B709" s="77">
        <v>7</v>
      </c>
      <c r="C709" s="78" t="s">
        <v>1195</v>
      </c>
      <c r="D709" s="79" t="s">
        <v>1384</v>
      </c>
      <c r="E709" s="80" t="s">
        <v>1385</v>
      </c>
      <c r="F709" s="81">
        <v>25.26</v>
      </c>
      <c r="G709" s="222">
        <v>112</v>
      </c>
      <c r="H709" s="186"/>
      <c r="I709" s="186"/>
      <c r="J709" s="308"/>
      <c r="K709" s="227"/>
      <c r="L709" s="82">
        <f t="shared" si="344"/>
        <v>112</v>
      </c>
      <c r="M709" s="331">
        <v>112</v>
      </c>
      <c r="N709" s="161">
        <f t="shared" si="356"/>
        <v>2829.1200000000003</v>
      </c>
      <c r="O709" s="161">
        <f t="shared" si="357"/>
        <v>2829.1200000000003</v>
      </c>
      <c r="P709" s="187">
        <f t="shared" si="358"/>
        <v>0</v>
      </c>
      <c r="Q709" s="161">
        <f t="shared" si="359"/>
        <v>0</v>
      </c>
      <c r="R709" s="85"/>
      <c r="S709" s="86">
        <f t="shared" si="360"/>
        <v>112</v>
      </c>
      <c r="T709" s="87">
        <f t="shared" si="361"/>
        <v>0</v>
      </c>
      <c r="U709">
        <v>112</v>
      </c>
    </row>
    <row r="710" spans="2:31" ht="20.100000000000001" hidden="1" customHeight="1">
      <c r="B710" s="77">
        <v>7</v>
      </c>
      <c r="C710" s="78" t="s">
        <v>1195</v>
      </c>
      <c r="D710" s="79" t="s">
        <v>1386</v>
      </c>
      <c r="E710" s="80" t="s">
        <v>1387</v>
      </c>
      <c r="F710" s="81">
        <v>59.3</v>
      </c>
      <c r="G710" s="222"/>
      <c r="H710" s="186"/>
      <c r="I710" s="186"/>
      <c r="J710" s="308"/>
      <c r="K710" s="227"/>
      <c r="L710" s="82">
        <f t="shared" si="344"/>
        <v>0</v>
      </c>
      <c r="M710" s="331"/>
      <c r="N710" s="161">
        <f t="shared" si="356"/>
        <v>0</v>
      </c>
      <c r="O710" s="161">
        <f t="shared" si="357"/>
        <v>0</v>
      </c>
      <c r="P710" s="187">
        <f t="shared" si="358"/>
        <v>0</v>
      </c>
      <c r="Q710" s="161">
        <f t="shared" si="359"/>
        <v>0</v>
      </c>
      <c r="R710" s="85"/>
      <c r="S710" s="86">
        <f t="shared" si="360"/>
        <v>0</v>
      </c>
      <c r="T710" s="87">
        <f t="shared" si="361"/>
        <v>0</v>
      </c>
    </row>
    <row r="711" spans="2:31" ht="20.100000000000001" hidden="1" customHeight="1">
      <c r="B711" s="77">
        <v>7</v>
      </c>
      <c r="C711" s="78" t="s">
        <v>1195</v>
      </c>
      <c r="D711" s="79" t="s">
        <v>1388</v>
      </c>
      <c r="E711" s="80" t="s">
        <v>1389</v>
      </c>
      <c r="F711" s="81">
        <v>23.5</v>
      </c>
      <c r="G711" s="222"/>
      <c r="H711" s="186"/>
      <c r="I711" s="186"/>
      <c r="J711" s="308"/>
      <c r="K711" s="227"/>
      <c r="L711" s="82">
        <f t="shared" si="344"/>
        <v>0</v>
      </c>
      <c r="M711" s="331">
        <v>0</v>
      </c>
      <c r="N711" s="161">
        <f t="shared" si="356"/>
        <v>0</v>
      </c>
      <c r="O711" s="161">
        <f t="shared" si="357"/>
        <v>0</v>
      </c>
      <c r="P711" s="187">
        <f t="shared" si="358"/>
        <v>0</v>
      </c>
      <c r="Q711" s="161">
        <f t="shared" si="359"/>
        <v>0</v>
      </c>
      <c r="R711" s="85"/>
      <c r="S711" s="86">
        <f t="shared" si="360"/>
        <v>0</v>
      </c>
      <c r="T711" s="87">
        <f t="shared" si="361"/>
        <v>0</v>
      </c>
    </row>
    <row r="712" spans="2:31" ht="20.100000000000001" hidden="1" customHeight="1">
      <c r="B712" s="77">
        <v>7</v>
      </c>
      <c r="C712" s="78" t="s">
        <v>1195</v>
      </c>
      <c r="D712" s="79" t="s">
        <v>1390</v>
      </c>
      <c r="E712" s="80" t="s">
        <v>1391</v>
      </c>
      <c r="F712" s="81">
        <v>24.77</v>
      </c>
      <c r="G712" s="222"/>
      <c r="H712" s="186"/>
      <c r="I712" s="186"/>
      <c r="J712" s="308"/>
      <c r="K712" s="227"/>
      <c r="L712" s="82">
        <f t="shared" ref="L712:L776" si="362">G712+I712-J712-K712+H712</f>
        <v>0</v>
      </c>
      <c r="M712" s="331"/>
      <c r="N712" s="161">
        <f t="shared" si="356"/>
        <v>0</v>
      </c>
      <c r="O712" s="161">
        <f t="shared" si="357"/>
        <v>0</v>
      </c>
      <c r="P712" s="187">
        <f t="shared" si="358"/>
        <v>0</v>
      </c>
      <c r="Q712" s="161">
        <f t="shared" si="359"/>
        <v>0</v>
      </c>
      <c r="R712" s="85"/>
      <c r="S712" s="86">
        <f t="shared" si="360"/>
        <v>0</v>
      </c>
      <c r="T712" s="87">
        <f t="shared" si="361"/>
        <v>0</v>
      </c>
    </row>
    <row r="713" spans="2:31" ht="20.100000000000001" hidden="1" customHeight="1">
      <c r="B713" s="77">
        <v>7</v>
      </c>
      <c r="C713" s="78" t="s">
        <v>1195</v>
      </c>
      <c r="D713" s="79" t="s">
        <v>1392</v>
      </c>
      <c r="E713" s="80" t="s">
        <v>1393</v>
      </c>
      <c r="F713" s="81">
        <v>58.05</v>
      </c>
      <c r="G713" s="222"/>
      <c r="H713" s="186"/>
      <c r="I713" s="186"/>
      <c r="J713" s="308"/>
      <c r="K713" s="227"/>
      <c r="L713" s="82">
        <f t="shared" si="362"/>
        <v>0</v>
      </c>
      <c r="M713" s="331"/>
      <c r="N713" s="161">
        <f t="shared" si="356"/>
        <v>0</v>
      </c>
      <c r="O713" s="161">
        <f t="shared" si="357"/>
        <v>0</v>
      </c>
      <c r="P713" s="187">
        <f t="shared" si="358"/>
        <v>0</v>
      </c>
      <c r="Q713" s="161">
        <f t="shared" si="359"/>
        <v>0</v>
      </c>
      <c r="R713" s="85"/>
      <c r="S713" s="86">
        <f t="shared" si="360"/>
        <v>0</v>
      </c>
      <c r="T713" s="87">
        <f t="shared" si="361"/>
        <v>0</v>
      </c>
    </row>
    <row r="714" spans="2:31" ht="20.100000000000001" hidden="1" customHeight="1">
      <c r="B714" s="77">
        <v>7</v>
      </c>
      <c r="C714" s="78" t="s">
        <v>1195</v>
      </c>
      <c r="D714" s="79" t="s">
        <v>1394</v>
      </c>
      <c r="E714" s="80" t="s">
        <v>1395</v>
      </c>
      <c r="F714" s="81">
        <v>58.57</v>
      </c>
      <c r="G714" s="222"/>
      <c r="H714" s="186"/>
      <c r="I714" s="186"/>
      <c r="J714" s="308"/>
      <c r="K714" s="227"/>
      <c r="L714" s="82">
        <f t="shared" si="362"/>
        <v>0</v>
      </c>
      <c r="M714" s="331"/>
      <c r="N714" s="161">
        <f t="shared" si="356"/>
        <v>0</v>
      </c>
      <c r="O714" s="161">
        <f t="shared" si="357"/>
        <v>0</v>
      </c>
      <c r="P714" s="187">
        <f t="shared" si="358"/>
        <v>0</v>
      </c>
      <c r="Q714" s="161">
        <f t="shared" si="359"/>
        <v>0</v>
      </c>
      <c r="R714" s="85"/>
      <c r="S714" s="86">
        <f t="shared" si="360"/>
        <v>0</v>
      </c>
      <c r="T714" s="87">
        <f t="shared" si="361"/>
        <v>0</v>
      </c>
    </row>
    <row r="715" spans="2:31" ht="20.100000000000001" hidden="1" customHeight="1">
      <c r="B715" s="77">
        <v>7</v>
      </c>
      <c r="C715" s="78" t="s">
        <v>1195</v>
      </c>
      <c r="D715" s="79" t="s">
        <v>1396</v>
      </c>
      <c r="E715" s="80" t="s">
        <v>1397</v>
      </c>
      <c r="F715" s="81">
        <v>25.03</v>
      </c>
      <c r="G715" s="222"/>
      <c r="H715" s="186"/>
      <c r="I715" s="186"/>
      <c r="J715" s="308"/>
      <c r="K715" s="227">
        <v>1</v>
      </c>
      <c r="L715" s="82">
        <f t="shared" si="362"/>
        <v>-1</v>
      </c>
      <c r="M715" s="331">
        <v>0</v>
      </c>
      <c r="N715" s="161">
        <f t="shared" si="356"/>
        <v>-25.03</v>
      </c>
      <c r="O715" s="161">
        <f t="shared" si="357"/>
        <v>0</v>
      </c>
      <c r="P715" s="187">
        <f t="shared" si="358"/>
        <v>-1</v>
      </c>
      <c r="Q715" s="161">
        <f t="shared" si="359"/>
        <v>-25.03</v>
      </c>
      <c r="R715" s="85"/>
      <c r="S715" s="86">
        <f t="shared" si="360"/>
        <v>0</v>
      </c>
      <c r="T715" s="87">
        <f t="shared" si="361"/>
        <v>0</v>
      </c>
    </row>
    <row r="716" spans="2:31" ht="20.100000000000001" hidden="1" customHeight="1">
      <c r="B716" s="77">
        <v>7</v>
      </c>
      <c r="C716" s="78" t="s">
        <v>1195</v>
      </c>
      <c r="D716" s="79">
        <v>4800056191013</v>
      </c>
      <c r="E716" s="80" t="s">
        <v>1398</v>
      </c>
      <c r="F716" s="81">
        <v>46.77</v>
      </c>
      <c r="G716" s="222">
        <v>8</v>
      </c>
      <c r="H716" s="186"/>
      <c r="I716" s="186"/>
      <c r="J716" s="308"/>
      <c r="K716" s="227"/>
      <c r="L716" s="82">
        <f t="shared" si="362"/>
        <v>8</v>
      </c>
      <c r="M716" s="331">
        <v>8</v>
      </c>
      <c r="N716" s="161">
        <f t="shared" si="356"/>
        <v>374.16</v>
      </c>
      <c r="O716" s="161">
        <f t="shared" si="357"/>
        <v>374.16</v>
      </c>
      <c r="P716" s="187">
        <f t="shared" si="358"/>
        <v>0</v>
      </c>
      <c r="Q716" s="161">
        <f t="shared" si="359"/>
        <v>0</v>
      </c>
      <c r="R716" s="91">
        <v>45781</v>
      </c>
      <c r="S716" s="86">
        <f t="shared" si="360"/>
        <v>8</v>
      </c>
      <c r="T716" s="87">
        <f t="shared" si="361"/>
        <v>0</v>
      </c>
      <c r="W716">
        <v>8</v>
      </c>
      <c r="X716" t="s">
        <v>121</v>
      </c>
      <c r="AD716">
        <f>W716</f>
        <v>8</v>
      </c>
      <c r="AE716" s="89">
        <f>AD716*F716</f>
        <v>374.16</v>
      </c>
    </row>
    <row r="717" spans="2:31" ht="20.100000000000001" hidden="1" customHeight="1">
      <c r="B717" s="77">
        <v>7</v>
      </c>
      <c r="C717" s="78" t="s">
        <v>1195</v>
      </c>
      <c r="D717" s="79" t="s">
        <v>1399</v>
      </c>
      <c r="E717" s="80" t="s">
        <v>1400</v>
      </c>
      <c r="F717" s="81">
        <v>20.12</v>
      </c>
      <c r="G717" s="222"/>
      <c r="H717" s="186"/>
      <c r="I717" s="186"/>
      <c r="J717" s="308"/>
      <c r="K717" s="227"/>
      <c r="L717" s="82">
        <f t="shared" si="362"/>
        <v>0</v>
      </c>
      <c r="M717" s="331"/>
      <c r="N717" s="161">
        <f t="shared" si="356"/>
        <v>0</v>
      </c>
      <c r="O717" s="161">
        <f t="shared" si="357"/>
        <v>0</v>
      </c>
      <c r="P717" s="187">
        <f t="shared" si="358"/>
        <v>0</v>
      </c>
      <c r="Q717" s="161">
        <f t="shared" si="359"/>
        <v>0</v>
      </c>
      <c r="R717" s="85"/>
      <c r="S717" s="86">
        <f t="shared" si="360"/>
        <v>0</v>
      </c>
      <c r="T717" s="87">
        <f t="shared" si="361"/>
        <v>0</v>
      </c>
    </row>
    <row r="718" spans="2:31" ht="20.100000000000001" hidden="1" customHeight="1">
      <c r="B718" s="77">
        <v>7</v>
      </c>
      <c r="C718" s="78" t="s">
        <v>1195</v>
      </c>
      <c r="D718" s="79" t="s">
        <v>1401</v>
      </c>
      <c r="E718" s="80" t="s">
        <v>1402</v>
      </c>
      <c r="F718" s="81">
        <v>53.66</v>
      </c>
      <c r="G718" s="222"/>
      <c r="H718" s="186"/>
      <c r="I718" s="186"/>
      <c r="J718" s="308"/>
      <c r="K718" s="227"/>
      <c r="L718" s="82">
        <f t="shared" si="362"/>
        <v>0</v>
      </c>
      <c r="M718" s="331"/>
      <c r="N718" s="161">
        <f t="shared" si="356"/>
        <v>0</v>
      </c>
      <c r="O718" s="161">
        <f t="shared" si="357"/>
        <v>0</v>
      </c>
      <c r="P718" s="187">
        <f t="shared" si="358"/>
        <v>0</v>
      </c>
      <c r="Q718" s="161">
        <f t="shared" si="359"/>
        <v>0</v>
      </c>
      <c r="R718" s="85"/>
      <c r="S718" s="86">
        <f t="shared" si="360"/>
        <v>0</v>
      </c>
      <c r="T718" s="87">
        <f t="shared" si="361"/>
        <v>0</v>
      </c>
    </row>
    <row r="719" spans="2:31" ht="20.100000000000001" hidden="1" customHeight="1">
      <c r="B719" s="77">
        <v>7</v>
      </c>
      <c r="C719" s="78" t="s">
        <v>1195</v>
      </c>
      <c r="D719" s="79" t="s">
        <v>1403</v>
      </c>
      <c r="E719" s="80" t="s">
        <v>1404</v>
      </c>
      <c r="F719" s="81">
        <v>61.5</v>
      </c>
      <c r="G719" s="222">
        <v>25</v>
      </c>
      <c r="H719" s="186"/>
      <c r="I719" s="186"/>
      <c r="J719" s="308"/>
      <c r="K719" s="227">
        <v>5</v>
      </c>
      <c r="L719" s="82">
        <f t="shared" si="362"/>
        <v>20</v>
      </c>
      <c r="M719" s="331">
        <v>20</v>
      </c>
      <c r="N719" s="161">
        <f t="shared" si="356"/>
        <v>1230</v>
      </c>
      <c r="O719" s="161">
        <f t="shared" si="357"/>
        <v>1230</v>
      </c>
      <c r="P719" s="187">
        <f t="shared" si="358"/>
        <v>0</v>
      </c>
      <c r="Q719" s="161">
        <f t="shared" si="359"/>
        <v>0</v>
      </c>
      <c r="R719" s="85"/>
      <c r="S719" s="86">
        <f t="shared" si="360"/>
        <v>39</v>
      </c>
      <c r="T719" s="87">
        <f t="shared" si="361"/>
        <v>-19</v>
      </c>
      <c r="U719">
        <v>39</v>
      </c>
    </row>
    <row r="720" spans="2:31" ht="20.100000000000001" hidden="1" customHeight="1">
      <c r="B720" s="77">
        <v>7</v>
      </c>
      <c r="C720" s="78" t="s">
        <v>1195</v>
      </c>
      <c r="D720" s="79" t="s">
        <v>1405</v>
      </c>
      <c r="E720" s="80" t="s">
        <v>1406</v>
      </c>
      <c r="F720" s="81">
        <v>29.95</v>
      </c>
      <c r="G720" s="222">
        <v>24</v>
      </c>
      <c r="H720" s="186"/>
      <c r="I720" s="186"/>
      <c r="J720" s="308"/>
      <c r="K720" s="227">
        <v>5</v>
      </c>
      <c r="L720" s="82">
        <f t="shared" si="362"/>
        <v>19</v>
      </c>
      <c r="M720" s="331">
        <v>19</v>
      </c>
      <c r="N720" s="161">
        <f t="shared" si="356"/>
        <v>569.04999999999995</v>
      </c>
      <c r="O720" s="161">
        <f t="shared" si="357"/>
        <v>569.04999999999995</v>
      </c>
      <c r="P720" s="187">
        <f t="shared" si="358"/>
        <v>0</v>
      </c>
      <c r="Q720" s="161">
        <f t="shared" si="359"/>
        <v>0</v>
      </c>
      <c r="R720" s="232"/>
      <c r="S720" s="86">
        <f t="shared" si="360"/>
        <v>33</v>
      </c>
      <c r="T720" s="87">
        <f t="shared" si="361"/>
        <v>-14</v>
      </c>
      <c r="U720">
        <v>33</v>
      </c>
    </row>
    <row r="721" spans="2:21" ht="20.100000000000001" hidden="1" customHeight="1">
      <c r="B721" s="77">
        <v>7</v>
      </c>
      <c r="C721" s="78" t="s">
        <v>1195</v>
      </c>
      <c r="D721" s="79" t="s">
        <v>1407</v>
      </c>
      <c r="E721" s="80" t="s">
        <v>1408</v>
      </c>
      <c r="F721" s="81">
        <v>37.409999999999997</v>
      </c>
      <c r="G721" s="222">
        <v>10</v>
      </c>
      <c r="H721" s="186"/>
      <c r="I721" s="186"/>
      <c r="J721" s="308"/>
      <c r="K721" s="227"/>
      <c r="L721" s="82">
        <f t="shared" si="362"/>
        <v>10</v>
      </c>
      <c r="M721" s="331">
        <v>10</v>
      </c>
      <c r="N721" s="161">
        <f t="shared" si="356"/>
        <v>374.09999999999997</v>
      </c>
      <c r="O721" s="161">
        <f t="shared" si="357"/>
        <v>374.09999999999997</v>
      </c>
      <c r="P721" s="187">
        <f t="shared" si="358"/>
        <v>0</v>
      </c>
      <c r="Q721" s="161">
        <f t="shared" si="359"/>
        <v>0</v>
      </c>
      <c r="R721" s="85"/>
      <c r="S721" s="86">
        <f t="shared" si="360"/>
        <v>12</v>
      </c>
      <c r="T721" s="87">
        <f t="shared" si="361"/>
        <v>-2</v>
      </c>
      <c r="U721">
        <v>12</v>
      </c>
    </row>
    <row r="722" spans="2:21" ht="20.100000000000001" hidden="1" customHeight="1">
      <c r="B722" s="77">
        <v>7</v>
      </c>
      <c r="C722" s="78" t="s">
        <v>1195</v>
      </c>
      <c r="D722" s="79" t="s">
        <v>1409</v>
      </c>
      <c r="E722" s="80" t="s">
        <v>1410</v>
      </c>
      <c r="F722" s="81">
        <v>29</v>
      </c>
      <c r="G722" s="222">
        <v>22</v>
      </c>
      <c r="H722" s="186"/>
      <c r="I722" s="186"/>
      <c r="J722" s="308"/>
      <c r="K722" s="227">
        <v>1</v>
      </c>
      <c r="L722" s="82">
        <f t="shared" si="362"/>
        <v>21</v>
      </c>
      <c r="M722" s="331">
        <v>21</v>
      </c>
      <c r="N722" s="161">
        <f t="shared" si="356"/>
        <v>609</v>
      </c>
      <c r="O722" s="161">
        <f t="shared" si="357"/>
        <v>609</v>
      </c>
      <c r="P722" s="187">
        <f t="shared" si="358"/>
        <v>0</v>
      </c>
      <c r="Q722" s="161">
        <f t="shared" si="359"/>
        <v>0</v>
      </c>
      <c r="R722" s="85"/>
      <c r="S722" s="86">
        <f t="shared" si="360"/>
        <v>26</v>
      </c>
      <c r="T722" s="87">
        <f t="shared" si="361"/>
        <v>-5</v>
      </c>
      <c r="U722">
        <v>26</v>
      </c>
    </row>
    <row r="723" spans="2:21" ht="20.100000000000001" hidden="1" customHeight="1">
      <c r="B723" s="77">
        <v>7</v>
      </c>
      <c r="C723" s="78" t="s">
        <v>1195</v>
      </c>
      <c r="D723" s="79" t="s">
        <v>1411</v>
      </c>
      <c r="E723" s="80" t="s">
        <v>1412</v>
      </c>
      <c r="F723" s="81">
        <v>38.9</v>
      </c>
      <c r="G723" s="222"/>
      <c r="H723" s="186"/>
      <c r="I723" s="186"/>
      <c r="J723" s="308"/>
      <c r="K723" s="227"/>
      <c r="L723" s="82">
        <f t="shared" si="362"/>
        <v>0</v>
      </c>
      <c r="M723" s="331"/>
      <c r="N723" s="161">
        <f t="shared" si="356"/>
        <v>0</v>
      </c>
      <c r="O723" s="161">
        <f t="shared" si="357"/>
        <v>0</v>
      </c>
      <c r="P723" s="187">
        <f t="shared" si="358"/>
        <v>0</v>
      </c>
      <c r="Q723" s="161">
        <f t="shared" si="359"/>
        <v>0</v>
      </c>
      <c r="R723" s="85"/>
      <c r="S723" s="86">
        <f t="shared" si="360"/>
        <v>0</v>
      </c>
      <c r="T723" s="87">
        <f t="shared" si="361"/>
        <v>0</v>
      </c>
    </row>
    <row r="724" spans="2:21" ht="20.100000000000001" hidden="1" customHeight="1">
      <c r="B724" s="77">
        <v>7</v>
      </c>
      <c r="C724" s="78" t="s">
        <v>1195</v>
      </c>
      <c r="D724" s="79" t="s">
        <v>1413</v>
      </c>
      <c r="E724" s="80" t="s">
        <v>1414</v>
      </c>
      <c r="F724" s="81">
        <v>47.95</v>
      </c>
      <c r="G724" s="222">
        <v>48</v>
      </c>
      <c r="H724" s="186"/>
      <c r="I724" s="186"/>
      <c r="J724" s="308"/>
      <c r="K724" s="227"/>
      <c r="L724" s="82">
        <f t="shared" si="362"/>
        <v>48</v>
      </c>
      <c r="M724" s="331">
        <v>48</v>
      </c>
      <c r="N724" s="161">
        <f t="shared" si="356"/>
        <v>2301.6000000000004</v>
      </c>
      <c r="O724" s="161">
        <f t="shared" si="357"/>
        <v>2301.6000000000004</v>
      </c>
      <c r="P724" s="187">
        <f t="shared" si="358"/>
        <v>0</v>
      </c>
      <c r="Q724" s="161">
        <f t="shared" si="359"/>
        <v>0</v>
      </c>
      <c r="R724" s="85"/>
      <c r="S724" s="86">
        <f t="shared" si="360"/>
        <v>48</v>
      </c>
      <c r="T724" s="87">
        <f t="shared" si="361"/>
        <v>0</v>
      </c>
      <c r="U724">
        <v>48</v>
      </c>
    </row>
    <row r="725" spans="2:21" ht="20.100000000000001" hidden="1" customHeight="1">
      <c r="B725" s="77">
        <v>7</v>
      </c>
      <c r="C725" s="78" t="s">
        <v>1195</v>
      </c>
      <c r="D725" s="79" t="s">
        <v>1413</v>
      </c>
      <c r="E725" s="80" t="s">
        <v>1414</v>
      </c>
      <c r="F725" s="81">
        <v>46</v>
      </c>
      <c r="G725" s="222"/>
      <c r="H725" s="186"/>
      <c r="I725" s="186"/>
      <c r="J725" s="308"/>
      <c r="K725" s="227"/>
      <c r="L725" s="82">
        <f t="shared" si="362"/>
        <v>0</v>
      </c>
      <c r="M725" s="331"/>
      <c r="N725" s="161">
        <f t="shared" si="356"/>
        <v>0</v>
      </c>
      <c r="O725" s="161">
        <f t="shared" si="357"/>
        <v>0</v>
      </c>
      <c r="P725" s="187">
        <f t="shared" si="358"/>
        <v>0</v>
      </c>
      <c r="Q725" s="161">
        <f t="shared" si="359"/>
        <v>0</v>
      </c>
      <c r="R725" s="85"/>
      <c r="S725" s="86">
        <f t="shared" si="360"/>
        <v>0</v>
      </c>
      <c r="T725" s="87">
        <f t="shared" si="361"/>
        <v>0</v>
      </c>
    </row>
    <row r="726" spans="2:21" ht="20.100000000000001" customHeight="1">
      <c r="B726" s="77">
        <v>7</v>
      </c>
      <c r="C726" s="78" t="s">
        <v>1195</v>
      </c>
      <c r="D726" s="79" t="s">
        <v>1415</v>
      </c>
      <c r="E726" s="80" t="s">
        <v>1416</v>
      </c>
      <c r="F726" s="81">
        <v>27.57</v>
      </c>
      <c r="G726" s="222">
        <v>27</v>
      </c>
      <c r="H726" s="186"/>
      <c r="I726" s="186"/>
      <c r="J726" s="308"/>
      <c r="K726" s="227"/>
      <c r="L726" s="82">
        <f t="shared" si="362"/>
        <v>27</v>
      </c>
      <c r="M726" s="331">
        <v>26</v>
      </c>
      <c r="N726" s="161">
        <f t="shared" si="356"/>
        <v>744.39</v>
      </c>
      <c r="O726" s="161">
        <f t="shared" si="357"/>
        <v>716.82</v>
      </c>
      <c r="P726" s="187">
        <f t="shared" si="358"/>
        <v>1</v>
      </c>
      <c r="Q726" s="161">
        <f t="shared" si="359"/>
        <v>27.569999999999936</v>
      </c>
      <c r="R726" s="85"/>
      <c r="S726" s="86">
        <f t="shared" si="360"/>
        <v>30</v>
      </c>
      <c r="T726" s="87">
        <f t="shared" si="361"/>
        <v>-4</v>
      </c>
      <c r="U726">
        <v>30</v>
      </c>
    </row>
    <row r="727" spans="2:21" ht="20.100000000000001" hidden="1" customHeight="1">
      <c r="B727" s="77">
        <v>7</v>
      </c>
      <c r="C727" s="78" t="s">
        <v>1195</v>
      </c>
      <c r="D727" s="79" t="s">
        <v>1415</v>
      </c>
      <c r="E727" s="80" t="s">
        <v>1416</v>
      </c>
      <c r="F727" s="81">
        <v>29</v>
      </c>
      <c r="G727" s="222">
        <v>1</v>
      </c>
      <c r="H727" s="186"/>
      <c r="I727" s="186"/>
      <c r="J727" s="308"/>
      <c r="K727" s="227">
        <v>1</v>
      </c>
      <c r="L727" s="82">
        <f t="shared" si="362"/>
        <v>0</v>
      </c>
      <c r="M727" s="331"/>
      <c r="N727" s="161">
        <f t="shared" si="356"/>
        <v>0</v>
      </c>
      <c r="O727" s="161">
        <f t="shared" si="357"/>
        <v>0</v>
      </c>
      <c r="P727" s="187">
        <f t="shared" si="358"/>
        <v>0</v>
      </c>
      <c r="Q727" s="161">
        <f t="shared" si="359"/>
        <v>0</v>
      </c>
      <c r="R727" s="85"/>
      <c r="S727" s="86">
        <f t="shared" si="360"/>
        <v>0</v>
      </c>
      <c r="T727" s="87">
        <f t="shared" si="361"/>
        <v>0</v>
      </c>
    </row>
    <row r="728" spans="2:21" ht="20.100000000000001" hidden="1" customHeight="1">
      <c r="B728" s="77">
        <v>7</v>
      </c>
      <c r="C728" s="78" t="s">
        <v>1195</v>
      </c>
      <c r="D728" s="79" t="s">
        <v>1417</v>
      </c>
      <c r="E728" s="80" t="s">
        <v>1418</v>
      </c>
      <c r="F728" s="81">
        <v>38.9</v>
      </c>
      <c r="G728" s="222"/>
      <c r="H728" s="186"/>
      <c r="I728" s="186"/>
      <c r="J728" s="308"/>
      <c r="K728" s="227"/>
      <c r="L728" s="82">
        <f t="shared" si="362"/>
        <v>0</v>
      </c>
      <c r="M728" s="331"/>
      <c r="N728" s="161">
        <f t="shared" si="356"/>
        <v>0</v>
      </c>
      <c r="O728" s="161">
        <f t="shared" si="357"/>
        <v>0</v>
      </c>
      <c r="P728" s="187">
        <f t="shared" si="358"/>
        <v>0</v>
      </c>
      <c r="Q728" s="161">
        <f t="shared" si="359"/>
        <v>0</v>
      </c>
      <c r="R728" s="85"/>
      <c r="S728" s="86">
        <f t="shared" si="360"/>
        <v>0</v>
      </c>
      <c r="T728" s="87">
        <f t="shared" si="361"/>
        <v>0</v>
      </c>
    </row>
    <row r="729" spans="2:21" ht="20.100000000000001" hidden="1" customHeight="1">
      <c r="B729" s="77">
        <v>7</v>
      </c>
      <c r="C729" s="78" t="s">
        <v>1195</v>
      </c>
      <c r="D729" s="79" t="s">
        <v>1419</v>
      </c>
      <c r="E729" s="80" t="s">
        <v>1420</v>
      </c>
      <c r="F729" s="81">
        <v>46</v>
      </c>
      <c r="G729" s="222">
        <v>47</v>
      </c>
      <c r="H729" s="186"/>
      <c r="I729" s="186"/>
      <c r="J729" s="308"/>
      <c r="K729" s="227"/>
      <c r="L729" s="82">
        <f t="shared" si="362"/>
        <v>47</v>
      </c>
      <c r="M729" s="331">
        <v>47</v>
      </c>
      <c r="N729" s="161">
        <f t="shared" si="356"/>
        <v>2162</v>
      </c>
      <c r="O729" s="161">
        <f t="shared" si="357"/>
        <v>2162</v>
      </c>
      <c r="P729" s="187">
        <f t="shared" si="358"/>
        <v>0</v>
      </c>
      <c r="Q729" s="161">
        <f t="shared" si="359"/>
        <v>0</v>
      </c>
      <c r="R729" s="85"/>
      <c r="S729" s="86">
        <f t="shared" si="360"/>
        <v>47</v>
      </c>
      <c r="T729" s="87">
        <f t="shared" si="361"/>
        <v>0</v>
      </c>
      <c r="U729">
        <v>47</v>
      </c>
    </row>
    <row r="730" spans="2:21" ht="20.100000000000001" hidden="1" customHeight="1">
      <c r="B730" s="77">
        <v>7</v>
      </c>
      <c r="C730" s="78" t="s">
        <v>1195</v>
      </c>
      <c r="D730" s="79" t="s">
        <v>1421</v>
      </c>
      <c r="E730" s="80" t="s">
        <v>1422</v>
      </c>
      <c r="F730" s="81">
        <v>27.5</v>
      </c>
      <c r="G730" s="222"/>
      <c r="H730" s="186"/>
      <c r="I730" s="186"/>
      <c r="J730" s="308"/>
      <c r="K730" s="227"/>
      <c r="L730" s="82">
        <f t="shared" si="362"/>
        <v>0</v>
      </c>
      <c r="M730" s="331"/>
      <c r="N730" s="161">
        <f t="shared" si="356"/>
        <v>0</v>
      </c>
      <c r="O730" s="161">
        <f t="shared" si="357"/>
        <v>0</v>
      </c>
      <c r="P730" s="187">
        <f t="shared" si="358"/>
        <v>0</v>
      </c>
      <c r="Q730" s="161">
        <f t="shared" si="359"/>
        <v>0</v>
      </c>
      <c r="R730" s="85"/>
      <c r="S730" s="86">
        <f t="shared" si="360"/>
        <v>0</v>
      </c>
      <c r="T730" s="87">
        <f t="shared" si="361"/>
        <v>0</v>
      </c>
    </row>
    <row r="731" spans="2:21" ht="20.100000000000001" hidden="1" customHeight="1">
      <c r="B731" s="77">
        <v>7</v>
      </c>
      <c r="C731" s="78" t="s">
        <v>1195</v>
      </c>
      <c r="D731" s="79" t="s">
        <v>1423</v>
      </c>
      <c r="E731" s="80" t="s">
        <v>1424</v>
      </c>
      <c r="F731" s="81">
        <v>45.83</v>
      </c>
      <c r="G731" s="222"/>
      <c r="H731" s="186"/>
      <c r="I731" s="186"/>
      <c r="J731" s="308"/>
      <c r="K731" s="227"/>
      <c r="L731" s="82">
        <f t="shared" si="362"/>
        <v>0</v>
      </c>
      <c r="M731" s="331"/>
      <c r="N731" s="161">
        <f t="shared" si="356"/>
        <v>0</v>
      </c>
      <c r="O731" s="161">
        <f t="shared" si="357"/>
        <v>0</v>
      </c>
      <c r="P731" s="187">
        <f t="shared" si="358"/>
        <v>0</v>
      </c>
      <c r="Q731" s="161">
        <f t="shared" si="359"/>
        <v>0</v>
      </c>
      <c r="R731" s="85"/>
      <c r="S731" s="86">
        <f t="shared" si="360"/>
        <v>0</v>
      </c>
      <c r="T731" s="87">
        <f t="shared" si="361"/>
        <v>0</v>
      </c>
    </row>
    <row r="732" spans="2:21" ht="20.100000000000001" hidden="1" customHeight="1">
      <c r="B732" s="77">
        <v>7</v>
      </c>
      <c r="C732" s="78" t="s">
        <v>1195</v>
      </c>
      <c r="D732" s="79" t="s">
        <v>1425</v>
      </c>
      <c r="E732" s="80" t="s">
        <v>1426</v>
      </c>
      <c r="F732" s="81">
        <v>42.75</v>
      </c>
      <c r="G732" s="222">
        <v>67</v>
      </c>
      <c r="H732" s="186"/>
      <c r="I732" s="186"/>
      <c r="J732" s="308"/>
      <c r="K732" s="227"/>
      <c r="L732" s="82">
        <f t="shared" si="362"/>
        <v>67</v>
      </c>
      <c r="M732" s="331">
        <v>67</v>
      </c>
      <c r="N732" s="161">
        <f t="shared" si="356"/>
        <v>2864.25</v>
      </c>
      <c r="O732" s="161">
        <f t="shared" si="357"/>
        <v>2864.25</v>
      </c>
      <c r="P732" s="187">
        <f t="shared" si="358"/>
        <v>0</v>
      </c>
      <c r="Q732" s="161">
        <f t="shared" si="359"/>
        <v>0</v>
      </c>
      <c r="R732" s="85"/>
      <c r="S732" s="86">
        <f t="shared" si="360"/>
        <v>67</v>
      </c>
      <c r="T732" s="87">
        <f t="shared" si="361"/>
        <v>0</v>
      </c>
      <c r="U732">
        <v>67</v>
      </c>
    </row>
    <row r="733" spans="2:21" ht="20.100000000000001" hidden="1" customHeight="1">
      <c r="B733" s="77">
        <v>7</v>
      </c>
      <c r="C733" s="78" t="s">
        <v>1195</v>
      </c>
      <c r="D733" s="79" t="s">
        <v>1427</v>
      </c>
      <c r="E733" s="80" t="s">
        <v>1428</v>
      </c>
      <c r="F733" s="81">
        <v>93.55</v>
      </c>
      <c r="G733" s="222">
        <v>3</v>
      </c>
      <c r="H733" s="186"/>
      <c r="I733" s="186"/>
      <c r="J733" s="308"/>
      <c r="K733" s="227"/>
      <c r="L733" s="82">
        <f t="shared" si="362"/>
        <v>3</v>
      </c>
      <c r="M733" s="331">
        <v>3</v>
      </c>
      <c r="N733" s="161">
        <f t="shared" si="356"/>
        <v>280.64999999999998</v>
      </c>
      <c r="O733" s="161">
        <f t="shared" si="357"/>
        <v>280.64999999999998</v>
      </c>
      <c r="P733" s="187">
        <f>L733-M733</f>
        <v>0</v>
      </c>
      <c r="Q733" s="161">
        <f t="shared" si="359"/>
        <v>0</v>
      </c>
      <c r="R733" s="85"/>
      <c r="S733" s="86">
        <f t="shared" si="360"/>
        <v>3</v>
      </c>
      <c r="T733" s="87">
        <f t="shared" si="361"/>
        <v>0</v>
      </c>
      <c r="U733">
        <v>3</v>
      </c>
    </row>
    <row r="734" spans="2:21" ht="20.100000000000001" hidden="1" customHeight="1">
      <c r="B734" s="77">
        <v>7</v>
      </c>
      <c r="C734" s="78" t="s">
        <v>1195</v>
      </c>
      <c r="D734" s="79" t="s">
        <v>1429</v>
      </c>
      <c r="E734" s="80" t="s">
        <v>1430</v>
      </c>
      <c r="F734" s="81">
        <v>86.58</v>
      </c>
      <c r="G734" s="222">
        <v>9</v>
      </c>
      <c r="H734" s="186"/>
      <c r="I734" s="186"/>
      <c r="J734" s="308"/>
      <c r="K734" s="227"/>
      <c r="L734" s="82">
        <f t="shared" si="362"/>
        <v>9</v>
      </c>
      <c r="M734" s="331">
        <v>9</v>
      </c>
      <c r="N734" s="161">
        <f t="shared" si="356"/>
        <v>779.22</v>
      </c>
      <c r="O734" s="161">
        <f t="shared" si="357"/>
        <v>779.22</v>
      </c>
      <c r="P734" s="187">
        <f t="shared" si="358"/>
        <v>0</v>
      </c>
      <c r="Q734" s="161">
        <f t="shared" si="359"/>
        <v>0</v>
      </c>
      <c r="R734" s="85"/>
      <c r="S734" s="86">
        <f t="shared" si="360"/>
        <v>11</v>
      </c>
      <c r="T734" s="87">
        <f t="shared" si="361"/>
        <v>-2</v>
      </c>
      <c r="U734">
        <v>11</v>
      </c>
    </row>
    <row r="735" spans="2:21" ht="20.100000000000001" hidden="1" customHeight="1">
      <c r="B735" s="77">
        <v>7</v>
      </c>
      <c r="C735" s="78" t="s">
        <v>1195</v>
      </c>
      <c r="D735" s="79" t="s">
        <v>1431</v>
      </c>
      <c r="E735" s="80" t="s">
        <v>1432</v>
      </c>
      <c r="F735" s="81">
        <v>39.5</v>
      </c>
      <c r="G735" s="222">
        <v>13</v>
      </c>
      <c r="H735" s="186"/>
      <c r="I735" s="186"/>
      <c r="J735" s="308"/>
      <c r="K735" s="227"/>
      <c r="L735" s="82">
        <f t="shared" si="362"/>
        <v>13</v>
      </c>
      <c r="M735" s="331">
        <v>13</v>
      </c>
      <c r="N735" s="161">
        <f t="shared" si="356"/>
        <v>513.5</v>
      </c>
      <c r="O735" s="161">
        <f t="shared" si="357"/>
        <v>513.5</v>
      </c>
      <c r="P735" s="187">
        <f t="shared" si="358"/>
        <v>0</v>
      </c>
      <c r="Q735" s="161">
        <f t="shared" si="359"/>
        <v>0</v>
      </c>
      <c r="R735" s="232"/>
      <c r="S735" s="86">
        <f t="shared" si="360"/>
        <v>14</v>
      </c>
      <c r="T735" s="87">
        <f t="shared" si="361"/>
        <v>-1</v>
      </c>
      <c r="U735">
        <v>14</v>
      </c>
    </row>
    <row r="736" spans="2:21" ht="20.100000000000001" hidden="1" customHeight="1">
      <c r="B736" s="77">
        <v>7</v>
      </c>
      <c r="C736" s="78" t="s">
        <v>1195</v>
      </c>
      <c r="D736" s="79" t="s">
        <v>1433</v>
      </c>
      <c r="E736" s="80" t="s">
        <v>1434</v>
      </c>
      <c r="F736" s="81">
        <v>38.75</v>
      </c>
      <c r="G736" s="222">
        <v>1</v>
      </c>
      <c r="H736" s="186"/>
      <c r="I736" s="186"/>
      <c r="J736" s="308"/>
      <c r="K736" s="227"/>
      <c r="L736" s="82">
        <f t="shared" si="362"/>
        <v>1</v>
      </c>
      <c r="M736" s="331">
        <v>1</v>
      </c>
      <c r="N736" s="161">
        <f t="shared" si="356"/>
        <v>38.75</v>
      </c>
      <c r="O736" s="161">
        <f t="shared" si="357"/>
        <v>38.75</v>
      </c>
      <c r="P736" s="187">
        <f t="shared" si="358"/>
        <v>0</v>
      </c>
      <c r="Q736" s="161">
        <f t="shared" si="359"/>
        <v>0</v>
      </c>
      <c r="R736" s="85"/>
      <c r="S736" s="86">
        <f t="shared" si="360"/>
        <v>4</v>
      </c>
      <c r="T736" s="87">
        <f t="shared" si="361"/>
        <v>-3</v>
      </c>
      <c r="U736">
        <v>4</v>
      </c>
    </row>
    <row r="737" spans="2:31" ht="20.100000000000001" hidden="1" customHeight="1">
      <c r="B737" s="77">
        <v>7</v>
      </c>
      <c r="C737" s="78" t="s">
        <v>1195</v>
      </c>
      <c r="D737" s="79" t="s">
        <v>1435</v>
      </c>
      <c r="E737" s="80" t="s">
        <v>1436</v>
      </c>
      <c r="F737" s="81">
        <v>35.75</v>
      </c>
      <c r="G737" s="222">
        <v>15</v>
      </c>
      <c r="H737" s="186"/>
      <c r="I737" s="186"/>
      <c r="J737" s="308"/>
      <c r="K737" s="227">
        <v>3</v>
      </c>
      <c r="L737" s="82">
        <f t="shared" si="362"/>
        <v>12</v>
      </c>
      <c r="M737" s="331">
        <v>12</v>
      </c>
      <c r="N737" s="161">
        <f t="shared" si="356"/>
        <v>429</v>
      </c>
      <c r="O737" s="161">
        <f t="shared" si="357"/>
        <v>429</v>
      </c>
      <c r="P737" s="187">
        <f t="shared" si="358"/>
        <v>0</v>
      </c>
      <c r="Q737" s="161">
        <f t="shared" si="359"/>
        <v>0</v>
      </c>
      <c r="R737" s="85"/>
      <c r="S737" s="86">
        <f t="shared" si="360"/>
        <v>21</v>
      </c>
      <c r="T737" s="87">
        <f t="shared" si="361"/>
        <v>-9</v>
      </c>
      <c r="U737">
        <v>21</v>
      </c>
    </row>
    <row r="738" spans="2:31" ht="20.100000000000001" hidden="1" customHeight="1">
      <c r="B738" s="77">
        <v>7</v>
      </c>
      <c r="C738" s="78" t="s">
        <v>1195</v>
      </c>
      <c r="D738" s="79" t="s">
        <v>1437</v>
      </c>
      <c r="E738" s="80" t="s">
        <v>1438</v>
      </c>
      <c r="F738" s="81">
        <v>51.5</v>
      </c>
      <c r="G738" s="222">
        <v>21</v>
      </c>
      <c r="H738" s="186"/>
      <c r="I738" s="186"/>
      <c r="J738" s="308"/>
      <c r="K738" s="227">
        <v>4</v>
      </c>
      <c r="L738" s="82">
        <f t="shared" si="362"/>
        <v>17</v>
      </c>
      <c r="M738" s="331">
        <v>17</v>
      </c>
      <c r="N738" s="161">
        <f t="shared" si="356"/>
        <v>875.5</v>
      </c>
      <c r="O738" s="161">
        <f t="shared" si="357"/>
        <v>875.5</v>
      </c>
      <c r="P738" s="187">
        <f t="shared" si="358"/>
        <v>0</v>
      </c>
      <c r="Q738" s="161">
        <f t="shared" si="359"/>
        <v>0</v>
      </c>
      <c r="R738" s="85"/>
      <c r="S738" s="86">
        <f t="shared" si="360"/>
        <v>23</v>
      </c>
      <c r="T738" s="87">
        <f t="shared" si="361"/>
        <v>-6</v>
      </c>
      <c r="U738">
        <v>23</v>
      </c>
    </row>
    <row r="739" spans="2:31" ht="20.100000000000001" hidden="1" customHeight="1">
      <c r="B739" s="77">
        <v>7</v>
      </c>
      <c r="C739" s="78" t="s">
        <v>1195</v>
      </c>
      <c r="D739" s="79" t="s">
        <v>1439</v>
      </c>
      <c r="E739" s="80" t="s">
        <v>1440</v>
      </c>
      <c r="F739" s="81">
        <v>41.72</v>
      </c>
      <c r="G739" s="222">
        <v>9</v>
      </c>
      <c r="H739" s="186"/>
      <c r="I739" s="186"/>
      <c r="J739" s="308"/>
      <c r="K739" s="227">
        <v>1</v>
      </c>
      <c r="L739" s="82">
        <f t="shared" si="362"/>
        <v>8</v>
      </c>
      <c r="M739" s="331">
        <v>8</v>
      </c>
      <c r="N739" s="161">
        <f t="shared" si="356"/>
        <v>333.76</v>
      </c>
      <c r="O739" s="161">
        <f t="shared" si="357"/>
        <v>333.76</v>
      </c>
      <c r="P739" s="187">
        <f t="shared" si="358"/>
        <v>0</v>
      </c>
      <c r="Q739" s="161">
        <f t="shared" si="359"/>
        <v>0</v>
      </c>
      <c r="R739" s="85"/>
      <c r="S739" s="86">
        <f t="shared" si="360"/>
        <v>10</v>
      </c>
      <c r="T739" s="87">
        <f t="shared" si="361"/>
        <v>-2</v>
      </c>
      <c r="U739">
        <v>10</v>
      </c>
    </row>
    <row r="740" spans="2:31" ht="20.100000000000001" hidden="1" customHeight="1">
      <c r="B740" s="77">
        <v>7</v>
      </c>
      <c r="C740" s="78" t="s">
        <v>1195</v>
      </c>
      <c r="D740" s="79" t="s">
        <v>1441</v>
      </c>
      <c r="E740" s="80" t="s">
        <v>1442</v>
      </c>
      <c r="F740" s="81">
        <v>32.1</v>
      </c>
      <c r="G740" s="222">
        <v>63</v>
      </c>
      <c r="H740" s="186"/>
      <c r="I740" s="186"/>
      <c r="J740" s="308"/>
      <c r="K740" s="227"/>
      <c r="L740" s="82">
        <f t="shared" si="362"/>
        <v>63</v>
      </c>
      <c r="M740" s="331">
        <v>63</v>
      </c>
      <c r="N740" s="161">
        <f t="shared" si="356"/>
        <v>2022.3000000000002</v>
      </c>
      <c r="O740" s="161">
        <f t="shared" si="357"/>
        <v>2022.3000000000002</v>
      </c>
      <c r="P740" s="187">
        <f t="shared" si="358"/>
        <v>0</v>
      </c>
      <c r="Q740" s="161">
        <f t="shared" si="359"/>
        <v>0</v>
      </c>
      <c r="R740" s="85"/>
      <c r="S740" s="86">
        <f t="shared" si="360"/>
        <v>36</v>
      </c>
      <c r="T740" s="87">
        <f t="shared" ref="T740:T795" si="363">M740-S740</f>
        <v>27</v>
      </c>
      <c r="U740">
        <v>36</v>
      </c>
    </row>
    <row r="741" spans="2:31" ht="20.100000000000001" hidden="1" customHeight="1">
      <c r="B741" s="77">
        <v>7</v>
      </c>
      <c r="C741" s="78" t="s">
        <v>1195</v>
      </c>
      <c r="D741" s="79" t="s">
        <v>1443</v>
      </c>
      <c r="E741" s="80" t="s">
        <v>1444</v>
      </c>
      <c r="F741" s="81">
        <v>71.06</v>
      </c>
      <c r="G741" s="222">
        <v>12</v>
      </c>
      <c r="H741" s="186"/>
      <c r="I741" s="186"/>
      <c r="J741" s="308"/>
      <c r="K741" s="227">
        <v>2</v>
      </c>
      <c r="L741" s="82">
        <f t="shared" si="362"/>
        <v>10</v>
      </c>
      <c r="M741" s="331">
        <v>10</v>
      </c>
      <c r="N741" s="161">
        <f t="shared" ref="N741:N796" si="364">F741*L741</f>
        <v>710.6</v>
      </c>
      <c r="O741" s="161">
        <f t="shared" ref="O741:O796" si="365">M741*F741</f>
        <v>710.6</v>
      </c>
      <c r="P741" s="187">
        <f t="shared" ref="P741:P796" si="366">L741-M741</f>
        <v>0</v>
      </c>
      <c r="Q741" s="161">
        <f t="shared" ref="Q741:Q796" si="367">N741-O741</f>
        <v>0</v>
      </c>
      <c r="R741" s="85"/>
      <c r="S741" s="86">
        <f t="shared" ref="S741:S796" si="368">U741+Y741+W741+AA741</f>
        <v>13</v>
      </c>
      <c r="T741" s="87">
        <f t="shared" si="363"/>
        <v>-3</v>
      </c>
      <c r="U741">
        <v>13</v>
      </c>
    </row>
    <row r="742" spans="2:31" ht="20.100000000000001" hidden="1" customHeight="1">
      <c r="B742" s="77">
        <v>7</v>
      </c>
      <c r="C742" s="78" t="s">
        <v>1195</v>
      </c>
      <c r="D742" s="79" t="s">
        <v>1445</v>
      </c>
      <c r="E742" s="80" t="s">
        <v>1446</v>
      </c>
      <c r="F742" s="81">
        <v>87.5</v>
      </c>
      <c r="G742" s="222">
        <v>13</v>
      </c>
      <c r="H742" s="186"/>
      <c r="I742" s="186"/>
      <c r="J742" s="308"/>
      <c r="K742" s="227"/>
      <c r="L742" s="82">
        <f t="shared" si="362"/>
        <v>13</v>
      </c>
      <c r="M742" s="331">
        <v>13</v>
      </c>
      <c r="N742" s="161">
        <f t="shared" si="364"/>
        <v>1137.5</v>
      </c>
      <c r="O742" s="161">
        <f t="shared" si="365"/>
        <v>1137.5</v>
      </c>
      <c r="P742" s="187">
        <f t="shared" si="366"/>
        <v>0</v>
      </c>
      <c r="Q742" s="161">
        <f t="shared" si="367"/>
        <v>0</v>
      </c>
      <c r="R742" s="85"/>
      <c r="S742" s="86">
        <f t="shared" si="368"/>
        <v>13</v>
      </c>
      <c r="T742" s="87">
        <f t="shared" si="363"/>
        <v>0</v>
      </c>
      <c r="U742">
        <v>13</v>
      </c>
    </row>
    <row r="743" spans="2:31" ht="20.100000000000001" hidden="1" customHeight="1">
      <c r="B743" s="77">
        <v>7</v>
      </c>
      <c r="C743" s="78" t="s">
        <v>1195</v>
      </c>
      <c r="D743" s="79" t="s">
        <v>1447</v>
      </c>
      <c r="E743" s="80" t="s">
        <v>1448</v>
      </c>
      <c r="F743" s="81">
        <v>22.59</v>
      </c>
      <c r="G743" s="222">
        <v>8</v>
      </c>
      <c r="H743" s="186"/>
      <c r="I743" s="186"/>
      <c r="J743" s="308"/>
      <c r="K743" s="227">
        <v>3</v>
      </c>
      <c r="L743" s="82">
        <f t="shared" si="362"/>
        <v>5</v>
      </c>
      <c r="M743" s="331">
        <v>5</v>
      </c>
      <c r="N743" s="161">
        <f t="shared" si="364"/>
        <v>112.95</v>
      </c>
      <c r="O743" s="161">
        <f t="shared" si="365"/>
        <v>112.95</v>
      </c>
      <c r="P743" s="187">
        <f t="shared" si="366"/>
        <v>0</v>
      </c>
      <c r="Q743" s="161">
        <f t="shared" si="367"/>
        <v>0</v>
      </c>
      <c r="R743" s="85"/>
      <c r="S743" s="86">
        <f t="shared" si="368"/>
        <v>8</v>
      </c>
      <c r="T743" s="87">
        <f t="shared" si="363"/>
        <v>-3</v>
      </c>
      <c r="U743">
        <v>8</v>
      </c>
    </row>
    <row r="744" spans="2:31" ht="20.100000000000001" hidden="1" customHeight="1">
      <c r="B744" s="77">
        <v>7</v>
      </c>
      <c r="C744" s="78" t="s">
        <v>1195</v>
      </c>
      <c r="D744" s="79" t="s">
        <v>1449</v>
      </c>
      <c r="E744" s="80" t="s">
        <v>1450</v>
      </c>
      <c r="F744" s="81">
        <v>21.6</v>
      </c>
      <c r="G744" s="222"/>
      <c r="H744" s="186"/>
      <c r="I744" s="186"/>
      <c r="J744" s="308"/>
      <c r="K744" s="227"/>
      <c r="L744" s="82">
        <f t="shared" si="362"/>
        <v>0</v>
      </c>
      <c r="M744" s="331"/>
      <c r="N744" s="161">
        <f t="shared" si="364"/>
        <v>0</v>
      </c>
      <c r="O744" s="161">
        <f t="shared" si="365"/>
        <v>0</v>
      </c>
      <c r="P744" s="187">
        <f t="shared" si="366"/>
        <v>0</v>
      </c>
      <c r="Q744" s="161">
        <f t="shared" si="367"/>
        <v>0</v>
      </c>
      <c r="R744" s="85"/>
      <c r="S744" s="86">
        <f t="shared" si="368"/>
        <v>1</v>
      </c>
      <c r="T744" s="87">
        <f t="shared" si="363"/>
        <v>-1</v>
      </c>
      <c r="U744">
        <v>1</v>
      </c>
    </row>
    <row r="745" spans="2:31" ht="20.100000000000001" hidden="1" customHeight="1">
      <c r="B745" s="77">
        <v>7</v>
      </c>
      <c r="C745" s="78" t="s">
        <v>1195</v>
      </c>
      <c r="D745" s="79" t="s">
        <v>1451</v>
      </c>
      <c r="E745" s="80" t="s">
        <v>1452</v>
      </c>
      <c r="F745" s="81">
        <v>22.59</v>
      </c>
      <c r="G745" s="222"/>
      <c r="H745" s="186"/>
      <c r="I745" s="186"/>
      <c r="J745" s="308"/>
      <c r="K745" s="227"/>
      <c r="L745" s="82">
        <f t="shared" si="362"/>
        <v>0</v>
      </c>
      <c r="M745" s="331"/>
      <c r="N745" s="161">
        <f t="shared" si="364"/>
        <v>0</v>
      </c>
      <c r="O745" s="161">
        <f t="shared" si="365"/>
        <v>0</v>
      </c>
      <c r="P745" s="187">
        <f t="shared" si="366"/>
        <v>0</v>
      </c>
      <c r="Q745" s="161">
        <f t="shared" si="367"/>
        <v>0</v>
      </c>
      <c r="R745" s="85"/>
      <c r="S745" s="86">
        <f t="shared" si="368"/>
        <v>2</v>
      </c>
      <c r="T745" s="87">
        <f t="shared" si="363"/>
        <v>-2</v>
      </c>
      <c r="U745">
        <v>2</v>
      </c>
    </row>
    <row r="746" spans="2:31" ht="20.100000000000001" hidden="1" customHeight="1">
      <c r="B746" s="77">
        <v>7</v>
      </c>
      <c r="C746" s="78" t="s">
        <v>1195</v>
      </c>
      <c r="D746" s="79" t="s">
        <v>1453</v>
      </c>
      <c r="E746" s="80" t="s">
        <v>1454</v>
      </c>
      <c r="F746" s="81">
        <v>22.59</v>
      </c>
      <c r="G746" s="222"/>
      <c r="H746" s="186"/>
      <c r="I746" s="186"/>
      <c r="J746" s="308"/>
      <c r="K746" s="227"/>
      <c r="L746" s="82">
        <f t="shared" si="362"/>
        <v>0</v>
      </c>
      <c r="M746" s="331"/>
      <c r="N746" s="161">
        <f t="shared" si="364"/>
        <v>0</v>
      </c>
      <c r="O746" s="161">
        <f t="shared" si="365"/>
        <v>0</v>
      </c>
      <c r="P746" s="187">
        <f t="shared" si="366"/>
        <v>0</v>
      </c>
      <c r="Q746" s="161">
        <f t="shared" si="367"/>
        <v>0</v>
      </c>
      <c r="R746" s="85"/>
      <c r="S746" s="86">
        <f t="shared" si="368"/>
        <v>8</v>
      </c>
      <c r="T746" s="87">
        <f t="shared" si="363"/>
        <v>-8</v>
      </c>
      <c r="U746">
        <v>8</v>
      </c>
    </row>
    <row r="747" spans="2:31" ht="20.100000000000001" hidden="1" customHeight="1">
      <c r="B747" s="77">
        <v>7</v>
      </c>
      <c r="C747" s="78" t="s">
        <v>1195</v>
      </c>
      <c r="D747" s="79" t="s">
        <v>1455</v>
      </c>
      <c r="E747" s="80" t="s">
        <v>1456</v>
      </c>
      <c r="F747" s="81">
        <v>22.59</v>
      </c>
      <c r="G747" s="222"/>
      <c r="H747" s="186"/>
      <c r="I747" s="186"/>
      <c r="J747" s="308"/>
      <c r="K747" s="227"/>
      <c r="L747" s="82">
        <f t="shared" si="362"/>
        <v>0</v>
      </c>
      <c r="M747" s="331"/>
      <c r="N747" s="161">
        <f t="shared" si="364"/>
        <v>0</v>
      </c>
      <c r="O747" s="161">
        <f t="shared" si="365"/>
        <v>0</v>
      </c>
      <c r="P747" s="187">
        <f t="shared" si="366"/>
        <v>0</v>
      </c>
      <c r="Q747" s="161">
        <f t="shared" si="367"/>
        <v>0</v>
      </c>
      <c r="R747" s="85"/>
      <c r="S747" s="86">
        <f t="shared" si="368"/>
        <v>1</v>
      </c>
      <c r="T747" s="87">
        <f t="shared" si="363"/>
        <v>-1</v>
      </c>
      <c r="U747">
        <v>1</v>
      </c>
    </row>
    <row r="748" spans="2:31" ht="20.100000000000001" hidden="1" customHeight="1">
      <c r="B748" s="77">
        <v>8</v>
      </c>
      <c r="C748" s="78" t="s">
        <v>1457</v>
      </c>
      <c r="D748" s="79" t="s">
        <v>1458</v>
      </c>
      <c r="E748" s="80" t="s">
        <v>1459</v>
      </c>
      <c r="F748" s="81">
        <v>15.39</v>
      </c>
      <c r="G748" s="222">
        <v>140</v>
      </c>
      <c r="H748" s="186"/>
      <c r="I748" s="186"/>
      <c r="J748" s="308"/>
      <c r="K748" s="227"/>
      <c r="L748" s="82">
        <f t="shared" si="362"/>
        <v>140</v>
      </c>
      <c r="M748" s="345">
        <v>140</v>
      </c>
      <c r="N748" s="161">
        <f t="shared" si="364"/>
        <v>2154.6</v>
      </c>
      <c r="O748" s="161">
        <f t="shared" si="365"/>
        <v>2154.6</v>
      </c>
      <c r="P748" s="187">
        <f t="shared" si="366"/>
        <v>0</v>
      </c>
      <c r="Q748" s="161">
        <f t="shared" si="367"/>
        <v>0</v>
      </c>
      <c r="R748" s="91">
        <v>45374</v>
      </c>
      <c r="S748" s="86">
        <f t="shared" si="368"/>
        <v>140</v>
      </c>
      <c r="T748" s="87">
        <f t="shared" si="363"/>
        <v>0</v>
      </c>
      <c r="W748">
        <v>140</v>
      </c>
      <c r="X748" t="s">
        <v>115</v>
      </c>
      <c r="AD748">
        <f>W748</f>
        <v>140</v>
      </c>
      <c r="AE748" s="89">
        <f>AD748*F748</f>
        <v>2154.6</v>
      </c>
    </row>
    <row r="749" spans="2:31" ht="20.100000000000001" hidden="1" customHeight="1">
      <c r="B749" s="77">
        <v>8</v>
      </c>
      <c r="C749" s="78" t="s">
        <v>1457</v>
      </c>
      <c r="D749" s="79" t="s">
        <v>1460</v>
      </c>
      <c r="E749" s="80" t="s">
        <v>1461</v>
      </c>
      <c r="F749" s="81">
        <v>15.7</v>
      </c>
      <c r="G749" s="222"/>
      <c r="H749" s="186"/>
      <c r="I749" s="186"/>
      <c r="J749" s="308"/>
      <c r="K749" s="227"/>
      <c r="L749" s="82">
        <f t="shared" si="362"/>
        <v>0</v>
      </c>
      <c r="M749" s="331"/>
      <c r="N749" s="161">
        <f t="shared" si="364"/>
        <v>0</v>
      </c>
      <c r="O749" s="161">
        <f t="shared" si="365"/>
        <v>0</v>
      </c>
      <c r="P749" s="187">
        <f t="shared" si="366"/>
        <v>0</v>
      </c>
      <c r="Q749" s="161">
        <f t="shared" si="367"/>
        <v>0</v>
      </c>
      <c r="R749" s="85" t="s">
        <v>1462</v>
      </c>
      <c r="S749" s="86">
        <f t="shared" si="368"/>
        <v>0</v>
      </c>
      <c r="T749" s="87">
        <f t="shared" si="363"/>
        <v>0</v>
      </c>
    </row>
    <row r="750" spans="2:31" ht="20.100000000000001" hidden="1" customHeight="1">
      <c r="B750" s="77">
        <v>8</v>
      </c>
      <c r="C750" s="78" t="s">
        <v>1457</v>
      </c>
      <c r="D750" s="79" t="s">
        <v>1463</v>
      </c>
      <c r="E750" s="80" t="s">
        <v>1464</v>
      </c>
      <c r="F750" s="81">
        <v>23.92</v>
      </c>
      <c r="G750" s="222"/>
      <c r="H750" s="186"/>
      <c r="I750" s="186"/>
      <c r="J750" s="308"/>
      <c r="K750" s="227"/>
      <c r="L750" s="82">
        <f t="shared" si="362"/>
        <v>0</v>
      </c>
      <c r="M750" s="331"/>
      <c r="N750" s="161">
        <f t="shared" si="364"/>
        <v>0</v>
      </c>
      <c r="O750" s="161">
        <f t="shared" si="365"/>
        <v>0</v>
      </c>
      <c r="P750" s="187">
        <f t="shared" si="366"/>
        <v>0</v>
      </c>
      <c r="Q750" s="161">
        <f t="shared" si="367"/>
        <v>0</v>
      </c>
      <c r="R750" s="85"/>
      <c r="S750" s="86">
        <f t="shared" si="368"/>
        <v>0</v>
      </c>
      <c r="T750" s="87">
        <f t="shared" si="363"/>
        <v>0</v>
      </c>
    </row>
    <row r="751" spans="2:31" ht="20.100000000000001" hidden="1" customHeight="1">
      <c r="B751" s="77">
        <v>8</v>
      </c>
      <c r="C751" s="78" t="s">
        <v>1457</v>
      </c>
      <c r="D751" s="79" t="s">
        <v>1465</v>
      </c>
      <c r="E751" s="80" t="s">
        <v>1466</v>
      </c>
      <c r="F751" s="81">
        <v>45.95</v>
      </c>
      <c r="G751" s="222"/>
      <c r="H751" s="186"/>
      <c r="I751" s="186"/>
      <c r="J751" s="308"/>
      <c r="K751" s="227"/>
      <c r="L751" s="82">
        <f t="shared" si="362"/>
        <v>0</v>
      </c>
      <c r="M751" s="331"/>
      <c r="N751" s="161">
        <f t="shared" si="364"/>
        <v>0</v>
      </c>
      <c r="O751" s="161">
        <f t="shared" si="365"/>
        <v>0</v>
      </c>
      <c r="P751" s="187">
        <f t="shared" si="366"/>
        <v>0</v>
      </c>
      <c r="Q751" s="161">
        <f t="shared" si="367"/>
        <v>0</v>
      </c>
      <c r="R751" s="85"/>
      <c r="S751" s="86">
        <f t="shared" si="368"/>
        <v>0</v>
      </c>
      <c r="T751" s="87">
        <f t="shared" si="363"/>
        <v>0</v>
      </c>
    </row>
    <row r="752" spans="2:31" ht="20.100000000000001" hidden="1" customHeight="1">
      <c r="B752" s="77">
        <v>8</v>
      </c>
      <c r="C752" s="78" t="s">
        <v>1457</v>
      </c>
      <c r="D752" s="79" t="s">
        <v>1467</v>
      </c>
      <c r="E752" s="80" t="s">
        <v>1468</v>
      </c>
      <c r="F752" s="81">
        <v>60.9</v>
      </c>
      <c r="G752" s="222"/>
      <c r="H752" s="186"/>
      <c r="I752" s="186"/>
      <c r="J752" s="308"/>
      <c r="K752" s="227"/>
      <c r="L752" s="82">
        <f t="shared" si="362"/>
        <v>0</v>
      </c>
      <c r="M752" s="331"/>
      <c r="N752" s="161">
        <f t="shared" si="364"/>
        <v>0</v>
      </c>
      <c r="O752" s="161">
        <f t="shared" si="365"/>
        <v>0</v>
      </c>
      <c r="P752" s="187">
        <f t="shared" si="366"/>
        <v>0</v>
      </c>
      <c r="Q752" s="161">
        <f t="shared" si="367"/>
        <v>0</v>
      </c>
      <c r="R752" s="85"/>
      <c r="S752" s="86">
        <f t="shared" si="368"/>
        <v>0</v>
      </c>
      <c r="T752" s="87">
        <f t="shared" si="363"/>
        <v>0</v>
      </c>
    </row>
    <row r="753" spans="2:31" ht="20.100000000000001" hidden="1" customHeight="1">
      <c r="B753" s="77">
        <v>8</v>
      </c>
      <c r="C753" s="78" t="s">
        <v>1457</v>
      </c>
      <c r="D753" s="79" t="s">
        <v>1469</v>
      </c>
      <c r="E753" s="80" t="s">
        <v>1470</v>
      </c>
      <c r="F753" s="81">
        <v>172.85</v>
      </c>
      <c r="G753" s="222"/>
      <c r="H753" s="186"/>
      <c r="I753" s="186"/>
      <c r="J753" s="308"/>
      <c r="K753" s="227"/>
      <c r="L753" s="82">
        <f t="shared" si="362"/>
        <v>0</v>
      </c>
      <c r="M753" s="331"/>
      <c r="N753" s="161">
        <f t="shared" si="364"/>
        <v>0</v>
      </c>
      <c r="O753" s="161">
        <f t="shared" si="365"/>
        <v>0</v>
      </c>
      <c r="P753" s="187">
        <f t="shared" si="366"/>
        <v>0</v>
      </c>
      <c r="Q753" s="161">
        <f t="shared" si="367"/>
        <v>0</v>
      </c>
      <c r="R753" s="85"/>
      <c r="S753" s="86">
        <f t="shared" si="368"/>
        <v>0</v>
      </c>
      <c r="T753" s="87">
        <f t="shared" si="363"/>
        <v>0</v>
      </c>
    </row>
    <row r="754" spans="2:31" ht="20.100000000000001" hidden="1" customHeight="1">
      <c r="B754" s="77">
        <v>8</v>
      </c>
      <c r="C754" s="78" t="s">
        <v>1457</v>
      </c>
      <c r="D754" s="79" t="s">
        <v>1471</v>
      </c>
      <c r="E754" s="80" t="s">
        <v>1472</v>
      </c>
      <c r="F754" s="81">
        <v>6.1</v>
      </c>
      <c r="G754" s="222"/>
      <c r="H754" s="186"/>
      <c r="I754" s="186"/>
      <c r="J754" s="308"/>
      <c r="K754" s="227"/>
      <c r="L754" s="82">
        <f t="shared" si="362"/>
        <v>0</v>
      </c>
      <c r="M754" s="331"/>
      <c r="N754" s="161">
        <f t="shared" si="364"/>
        <v>0</v>
      </c>
      <c r="O754" s="161">
        <f t="shared" si="365"/>
        <v>0</v>
      </c>
      <c r="P754" s="187">
        <f t="shared" si="366"/>
        <v>0</v>
      </c>
      <c r="Q754" s="161">
        <f t="shared" si="367"/>
        <v>0</v>
      </c>
      <c r="R754" s="85"/>
      <c r="S754" s="86">
        <f t="shared" si="368"/>
        <v>0</v>
      </c>
      <c r="T754" s="87">
        <f t="shared" si="363"/>
        <v>0</v>
      </c>
    </row>
    <row r="755" spans="2:31" ht="20.100000000000001" hidden="1" customHeight="1">
      <c r="B755" s="77">
        <v>8</v>
      </c>
      <c r="C755" s="78" t="s">
        <v>1457</v>
      </c>
      <c r="D755" s="79" t="s">
        <v>1473</v>
      </c>
      <c r="E755" s="80" t="s">
        <v>1474</v>
      </c>
      <c r="F755" s="81">
        <v>60.4</v>
      </c>
      <c r="G755" s="222">
        <v>20</v>
      </c>
      <c r="H755" s="186"/>
      <c r="I755" s="186"/>
      <c r="J755" s="308"/>
      <c r="K755" s="227">
        <v>4</v>
      </c>
      <c r="L755" s="82">
        <f t="shared" si="362"/>
        <v>16</v>
      </c>
      <c r="M755" s="331">
        <v>16</v>
      </c>
      <c r="N755" s="161">
        <f t="shared" si="364"/>
        <v>966.4</v>
      </c>
      <c r="O755" s="161">
        <f t="shared" si="365"/>
        <v>966.4</v>
      </c>
      <c r="P755" s="187">
        <f t="shared" si="366"/>
        <v>0</v>
      </c>
      <c r="Q755" s="161">
        <f t="shared" si="367"/>
        <v>0</v>
      </c>
      <c r="R755" s="85"/>
      <c r="S755" s="86">
        <f t="shared" si="368"/>
        <v>34</v>
      </c>
      <c r="T755" s="87">
        <f t="shared" si="363"/>
        <v>-18</v>
      </c>
      <c r="U755">
        <v>34</v>
      </c>
    </row>
    <row r="756" spans="2:31" ht="20.100000000000001" hidden="1" customHeight="1">
      <c r="B756" s="77">
        <v>8</v>
      </c>
      <c r="C756" s="78" t="s">
        <v>1457</v>
      </c>
      <c r="D756" s="79" t="s">
        <v>1475</v>
      </c>
      <c r="E756" s="80" t="s">
        <v>1476</v>
      </c>
      <c r="F756" s="81">
        <v>110.5</v>
      </c>
      <c r="G756" s="222">
        <v>14</v>
      </c>
      <c r="H756" s="186"/>
      <c r="I756" s="186"/>
      <c r="J756" s="308"/>
      <c r="K756" s="227">
        <v>2</v>
      </c>
      <c r="L756" s="82">
        <f t="shared" si="362"/>
        <v>12</v>
      </c>
      <c r="M756" s="331">
        <v>12</v>
      </c>
      <c r="N756" s="161">
        <f t="shared" si="364"/>
        <v>1326</v>
      </c>
      <c r="O756" s="161">
        <f t="shared" si="365"/>
        <v>1326</v>
      </c>
      <c r="P756" s="187">
        <f t="shared" si="366"/>
        <v>0</v>
      </c>
      <c r="Q756" s="161">
        <f t="shared" si="367"/>
        <v>0</v>
      </c>
      <c r="R756" s="85"/>
      <c r="S756" s="86">
        <f t="shared" si="368"/>
        <v>14</v>
      </c>
      <c r="T756" s="87">
        <f t="shared" si="363"/>
        <v>-2</v>
      </c>
      <c r="U756">
        <v>14</v>
      </c>
    </row>
    <row r="757" spans="2:31" ht="20.100000000000001" hidden="1" customHeight="1">
      <c r="B757" s="77">
        <v>8</v>
      </c>
      <c r="C757" s="78" t="s">
        <v>1457</v>
      </c>
      <c r="D757" s="79" t="s">
        <v>1477</v>
      </c>
      <c r="E757" s="80" t="s">
        <v>1478</v>
      </c>
      <c r="F757" s="81">
        <v>11.66</v>
      </c>
      <c r="G757" s="222"/>
      <c r="H757" s="186"/>
      <c r="I757" s="186"/>
      <c r="J757" s="308"/>
      <c r="K757" s="227"/>
      <c r="L757" s="82">
        <f t="shared" si="362"/>
        <v>0</v>
      </c>
      <c r="M757" s="331"/>
      <c r="N757" s="161">
        <f t="shared" si="364"/>
        <v>0</v>
      </c>
      <c r="O757" s="161">
        <f t="shared" si="365"/>
        <v>0</v>
      </c>
      <c r="P757" s="187">
        <f t="shared" si="366"/>
        <v>0</v>
      </c>
      <c r="Q757" s="161">
        <f t="shared" si="367"/>
        <v>0</v>
      </c>
      <c r="R757" s="85"/>
      <c r="S757" s="86">
        <f t="shared" si="368"/>
        <v>0</v>
      </c>
      <c r="T757" s="87">
        <f t="shared" si="363"/>
        <v>0</v>
      </c>
    </row>
    <row r="758" spans="2:31" ht="20.100000000000001" hidden="1" customHeight="1">
      <c r="B758" s="77">
        <v>8</v>
      </c>
      <c r="C758" s="78" t="s">
        <v>1457</v>
      </c>
      <c r="D758" s="79" t="s">
        <v>1479</v>
      </c>
      <c r="E758" s="80" t="s">
        <v>1480</v>
      </c>
      <c r="F758" s="81">
        <v>76.17</v>
      </c>
      <c r="G758" s="222"/>
      <c r="H758" s="186"/>
      <c r="I758" s="186"/>
      <c r="J758" s="308"/>
      <c r="K758" s="227"/>
      <c r="L758" s="82">
        <f t="shared" si="362"/>
        <v>0</v>
      </c>
      <c r="M758" s="331"/>
      <c r="N758" s="161">
        <f t="shared" si="364"/>
        <v>0</v>
      </c>
      <c r="O758" s="161">
        <f t="shared" si="365"/>
        <v>0</v>
      </c>
      <c r="P758" s="187">
        <f t="shared" si="366"/>
        <v>0</v>
      </c>
      <c r="Q758" s="161">
        <f t="shared" si="367"/>
        <v>0</v>
      </c>
      <c r="R758" s="85"/>
      <c r="S758" s="86">
        <f t="shared" si="368"/>
        <v>0</v>
      </c>
      <c r="T758" s="87">
        <f t="shared" si="363"/>
        <v>0</v>
      </c>
    </row>
    <row r="759" spans="2:31" ht="20.100000000000001" hidden="1" customHeight="1">
      <c r="B759" s="77">
        <v>8</v>
      </c>
      <c r="C759" s="78" t="s">
        <v>1457</v>
      </c>
      <c r="D759" s="79" t="s">
        <v>1481</v>
      </c>
      <c r="E759" s="80" t="s">
        <v>1482</v>
      </c>
      <c r="F759" s="81">
        <v>22.5</v>
      </c>
      <c r="G759" s="222">
        <v>10</v>
      </c>
      <c r="H759" s="186"/>
      <c r="I759" s="186"/>
      <c r="J759" s="308"/>
      <c r="K759" s="227">
        <v>1</v>
      </c>
      <c r="L759" s="82">
        <f t="shared" si="362"/>
        <v>9</v>
      </c>
      <c r="M759" s="331">
        <v>9</v>
      </c>
      <c r="N759" s="161">
        <f t="shared" si="364"/>
        <v>202.5</v>
      </c>
      <c r="O759" s="161">
        <f t="shared" si="365"/>
        <v>202.5</v>
      </c>
      <c r="P759" s="187">
        <f t="shared" si="366"/>
        <v>0</v>
      </c>
      <c r="Q759" s="161">
        <f t="shared" si="367"/>
        <v>0</v>
      </c>
      <c r="R759" s="85"/>
      <c r="S759" s="86">
        <f t="shared" si="368"/>
        <v>10</v>
      </c>
      <c r="T759" s="87">
        <f t="shared" si="363"/>
        <v>-1</v>
      </c>
      <c r="U759">
        <v>10</v>
      </c>
    </row>
    <row r="760" spans="2:31" ht="20.100000000000001" hidden="1" customHeight="1">
      <c r="B760" s="77">
        <v>8</v>
      </c>
      <c r="C760" s="78" t="s">
        <v>1457</v>
      </c>
      <c r="D760" s="79" t="s">
        <v>1483</v>
      </c>
      <c r="E760" s="80" t="s">
        <v>1484</v>
      </c>
      <c r="F760" s="81">
        <v>22.5</v>
      </c>
      <c r="G760" s="222">
        <v>9</v>
      </c>
      <c r="H760" s="186"/>
      <c r="I760" s="186"/>
      <c r="J760" s="308"/>
      <c r="K760" s="227"/>
      <c r="L760" s="82">
        <f t="shared" si="362"/>
        <v>9</v>
      </c>
      <c r="M760" s="331">
        <v>9</v>
      </c>
      <c r="N760" s="161">
        <f t="shared" si="364"/>
        <v>202.5</v>
      </c>
      <c r="O760" s="161">
        <f t="shared" si="365"/>
        <v>202.5</v>
      </c>
      <c r="P760" s="187">
        <f t="shared" si="366"/>
        <v>0</v>
      </c>
      <c r="Q760" s="161">
        <f t="shared" si="367"/>
        <v>0</v>
      </c>
      <c r="R760" s="85"/>
      <c r="S760" s="86">
        <f t="shared" si="368"/>
        <v>9</v>
      </c>
      <c r="T760" s="87">
        <f t="shared" si="363"/>
        <v>0</v>
      </c>
      <c r="U760">
        <v>9</v>
      </c>
    </row>
    <row r="761" spans="2:31" ht="20.100000000000001" hidden="1" customHeight="1">
      <c r="B761" s="77">
        <v>8</v>
      </c>
      <c r="C761" s="78" t="s">
        <v>1457</v>
      </c>
      <c r="D761" s="79" t="s">
        <v>1485</v>
      </c>
      <c r="E761" s="80" t="s">
        <v>1486</v>
      </c>
      <c r="F761" s="81">
        <v>27.69</v>
      </c>
      <c r="G761" s="222"/>
      <c r="H761" s="186"/>
      <c r="I761" s="186"/>
      <c r="J761" s="308"/>
      <c r="K761" s="227"/>
      <c r="L761" s="82">
        <f t="shared" si="362"/>
        <v>0</v>
      </c>
      <c r="M761" s="331"/>
      <c r="N761" s="161">
        <f t="shared" si="364"/>
        <v>0</v>
      </c>
      <c r="O761" s="161">
        <f t="shared" si="365"/>
        <v>0</v>
      </c>
      <c r="P761" s="187">
        <f t="shared" si="366"/>
        <v>0</v>
      </c>
      <c r="Q761" s="161">
        <f t="shared" si="367"/>
        <v>0</v>
      </c>
      <c r="R761" s="85"/>
      <c r="S761" s="86">
        <f t="shared" si="368"/>
        <v>0</v>
      </c>
      <c r="T761" s="87">
        <f t="shared" si="363"/>
        <v>0</v>
      </c>
    </row>
    <row r="762" spans="2:31" ht="20.100000000000001" hidden="1" customHeight="1">
      <c r="B762" s="77">
        <v>8</v>
      </c>
      <c r="C762" s="78" t="s">
        <v>1457</v>
      </c>
      <c r="D762" s="79" t="s">
        <v>1487</v>
      </c>
      <c r="E762" s="80" t="s">
        <v>1488</v>
      </c>
      <c r="F762" s="81">
        <v>13.85</v>
      </c>
      <c r="G762" s="222">
        <v>42</v>
      </c>
      <c r="H762" s="186"/>
      <c r="I762" s="186"/>
      <c r="J762" s="308"/>
      <c r="K762" s="227">
        <v>28</v>
      </c>
      <c r="L762" s="82">
        <f t="shared" si="362"/>
        <v>14</v>
      </c>
      <c r="M762" s="331">
        <v>42</v>
      </c>
      <c r="N762" s="161">
        <f t="shared" si="364"/>
        <v>193.9</v>
      </c>
      <c r="O762" s="161">
        <f t="shared" si="365"/>
        <v>581.69999999999993</v>
      </c>
      <c r="P762" s="187">
        <f t="shared" si="366"/>
        <v>-28</v>
      </c>
      <c r="Q762" s="161">
        <f t="shared" si="367"/>
        <v>-387.79999999999995</v>
      </c>
      <c r="R762" s="85"/>
      <c r="S762" s="86">
        <f t="shared" si="368"/>
        <v>51</v>
      </c>
      <c r="T762" s="87">
        <f t="shared" si="363"/>
        <v>-9</v>
      </c>
      <c r="U762">
        <v>51</v>
      </c>
    </row>
    <row r="763" spans="2:31" ht="20.100000000000001" hidden="1" customHeight="1">
      <c r="B763" s="77">
        <v>8</v>
      </c>
      <c r="C763" s="78" t="s">
        <v>1457</v>
      </c>
      <c r="D763" s="79" t="s">
        <v>1489</v>
      </c>
      <c r="E763" s="80" t="s">
        <v>1490</v>
      </c>
      <c r="F763" s="81">
        <v>65.08</v>
      </c>
      <c r="G763" s="222">
        <v>13</v>
      </c>
      <c r="H763" s="186"/>
      <c r="I763" s="186"/>
      <c r="J763" s="308"/>
      <c r="K763" s="227"/>
      <c r="L763" s="82">
        <f t="shared" si="362"/>
        <v>13</v>
      </c>
      <c r="M763" s="331">
        <v>13</v>
      </c>
      <c r="N763" s="161">
        <f t="shared" si="364"/>
        <v>846.04</v>
      </c>
      <c r="O763" s="161">
        <f t="shared" si="365"/>
        <v>846.04</v>
      </c>
      <c r="P763" s="187">
        <f t="shared" si="366"/>
        <v>0</v>
      </c>
      <c r="Q763" s="161">
        <f t="shared" si="367"/>
        <v>0</v>
      </c>
      <c r="R763" s="91">
        <v>45280</v>
      </c>
      <c r="S763" s="86">
        <f t="shared" si="368"/>
        <v>13</v>
      </c>
      <c r="T763" s="87">
        <f t="shared" si="363"/>
        <v>0</v>
      </c>
      <c r="W763">
        <v>13</v>
      </c>
      <c r="X763" t="s">
        <v>523</v>
      </c>
      <c r="AD763">
        <f>W763</f>
        <v>13</v>
      </c>
      <c r="AE763" s="89">
        <f>AD763*F763</f>
        <v>846.04</v>
      </c>
    </row>
    <row r="764" spans="2:31" ht="20.100000000000001" hidden="1" customHeight="1">
      <c r="B764" s="77">
        <v>8</v>
      </c>
      <c r="C764" s="78" t="s">
        <v>1457</v>
      </c>
      <c r="D764" s="79" t="s">
        <v>1491</v>
      </c>
      <c r="E764" s="80" t="s">
        <v>1492</v>
      </c>
      <c r="F764" s="81">
        <v>15.19</v>
      </c>
      <c r="G764" s="222">
        <v>35</v>
      </c>
      <c r="H764" s="186"/>
      <c r="I764" s="186"/>
      <c r="J764" s="308"/>
      <c r="K764" s="227"/>
      <c r="L764" s="82">
        <f t="shared" si="362"/>
        <v>35</v>
      </c>
      <c r="M764" s="331">
        <v>35</v>
      </c>
      <c r="N764" s="161">
        <f t="shared" si="364"/>
        <v>531.65</v>
      </c>
      <c r="O764" s="161">
        <f t="shared" si="365"/>
        <v>531.65</v>
      </c>
      <c r="P764" s="187">
        <f t="shared" si="366"/>
        <v>0</v>
      </c>
      <c r="Q764" s="161">
        <f t="shared" si="367"/>
        <v>0</v>
      </c>
      <c r="R764" s="85"/>
      <c r="S764" s="86">
        <f t="shared" si="368"/>
        <v>0</v>
      </c>
      <c r="T764" s="87">
        <f t="shared" si="363"/>
        <v>35</v>
      </c>
    </row>
    <row r="765" spans="2:31" ht="20.100000000000001" hidden="1" customHeight="1">
      <c r="B765" s="77">
        <v>8</v>
      </c>
      <c r="C765" s="78" t="s">
        <v>1457</v>
      </c>
      <c r="D765" s="79" t="s">
        <v>1493</v>
      </c>
      <c r="E765" s="80" t="s">
        <v>1494</v>
      </c>
      <c r="F765" s="81">
        <v>100</v>
      </c>
      <c r="G765" s="222"/>
      <c r="H765" s="186"/>
      <c r="I765" s="186"/>
      <c r="J765" s="308"/>
      <c r="K765" s="227"/>
      <c r="L765" s="82">
        <f t="shared" si="362"/>
        <v>0</v>
      </c>
      <c r="M765" s="331"/>
      <c r="N765" s="161">
        <f t="shared" si="364"/>
        <v>0</v>
      </c>
      <c r="O765" s="161">
        <f t="shared" si="365"/>
        <v>0</v>
      </c>
      <c r="P765" s="187">
        <f t="shared" si="366"/>
        <v>0</v>
      </c>
      <c r="Q765" s="161">
        <f t="shared" si="367"/>
        <v>0</v>
      </c>
      <c r="R765" s="85"/>
      <c r="S765" s="86">
        <f t="shared" si="368"/>
        <v>1</v>
      </c>
      <c r="T765" s="87">
        <f t="shared" si="363"/>
        <v>-1</v>
      </c>
      <c r="U765">
        <v>1</v>
      </c>
    </row>
    <row r="766" spans="2:31" ht="20.100000000000001" hidden="1" customHeight="1">
      <c r="B766" s="77">
        <v>8</v>
      </c>
      <c r="C766" s="78" t="s">
        <v>1457</v>
      </c>
      <c r="D766" s="79" t="s">
        <v>1495</v>
      </c>
      <c r="E766" s="80" t="s">
        <v>1496</v>
      </c>
      <c r="F766" s="317">
        <v>32.86</v>
      </c>
      <c r="G766" s="222">
        <v>58</v>
      </c>
      <c r="H766" s="186"/>
      <c r="I766" s="186"/>
      <c r="J766" s="308"/>
      <c r="K766" s="227">
        <v>9</v>
      </c>
      <c r="L766" s="82">
        <f t="shared" si="362"/>
        <v>49</v>
      </c>
      <c r="M766" s="331">
        <v>49</v>
      </c>
      <c r="N766" s="161">
        <f t="shared" si="364"/>
        <v>1610.1399999999999</v>
      </c>
      <c r="O766" s="161">
        <f t="shared" si="365"/>
        <v>1610.1399999999999</v>
      </c>
      <c r="P766" s="187">
        <f t="shared" si="366"/>
        <v>0</v>
      </c>
      <c r="Q766" s="161">
        <f t="shared" si="367"/>
        <v>0</v>
      </c>
      <c r="R766" s="232"/>
      <c r="S766" s="86">
        <f t="shared" si="368"/>
        <v>47</v>
      </c>
      <c r="T766" s="87">
        <f t="shared" si="363"/>
        <v>2</v>
      </c>
      <c r="U766">
        <v>46</v>
      </c>
      <c r="AA766">
        <v>1</v>
      </c>
      <c r="AB766" s="88" t="s">
        <v>581</v>
      </c>
    </row>
    <row r="767" spans="2:31" ht="20.100000000000001" hidden="1" customHeight="1">
      <c r="B767" s="77">
        <v>8</v>
      </c>
      <c r="C767" s="78" t="s">
        <v>1457</v>
      </c>
      <c r="D767" s="79" t="s">
        <v>1497</v>
      </c>
      <c r="E767" s="80" t="s">
        <v>1498</v>
      </c>
      <c r="F767" s="81">
        <v>65.95</v>
      </c>
      <c r="G767" s="222">
        <v>4</v>
      </c>
      <c r="H767" s="186"/>
      <c r="I767" s="186"/>
      <c r="J767" s="308"/>
      <c r="K767" s="227">
        <v>4</v>
      </c>
      <c r="L767" s="82">
        <f t="shared" ref="L767" si="369">G767+I767-J767-K767+H767</f>
        <v>0</v>
      </c>
      <c r="M767" s="331"/>
      <c r="N767" s="161">
        <f t="shared" ref="N767" si="370">F767*L767</f>
        <v>0</v>
      </c>
      <c r="O767" s="161">
        <f t="shared" ref="O767" si="371">M767*F767</f>
        <v>0</v>
      </c>
      <c r="P767" s="187">
        <f t="shared" ref="P767" si="372">L767-M767</f>
        <v>0</v>
      </c>
      <c r="Q767" s="161">
        <f t="shared" ref="Q767" si="373">N767-O767</f>
        <v>0</v>
      </c>
      <c r="R767" s="85"/>
      <c r="S767" s="86">
        <f t="shared" ref="S767" si="374">U767+Y767+W767+AA767</f>
        <v>4</v>
      </c>
      <c r="T767" s="87">
        <f t="shared" ref="T767" si="375">M767-S767</f>
        <v>-4</v>
      </c>
      <c r="U767">
        <v>4</v>
      </c>
    </row>
    <row r="768" spans="2:31" ht="20.100000000000001" hidden="1" customHeight="1">
      <c r="B768" s="77">
        <v>8</v>
      </c>
      <c r="C768" s="78" t="s">
        <v>1457</v>
      </c>
      <c r="D768" s="79" t="s">
        <v>1497</v>
      </c>
      <c r="E768" s="80" t="s">
        <v>1498</v>
      </c>
      <c r="F768" s="267">
        <v>68.571250000000006</v>
      </c>
      <c r="G768" s="222"/>
      <c r="H768" s="186"/>
      <c r="I768" s="186">
        <v>24</v>
      </c>
      <c r="J768" s="308"/>
      <c r="K768" s="227">
        <v>17</v>
      </c>
      <c r="L768" s="82">
        <f t="shared" si="362"/>
        <v>7</v>
      </c>
      <c r="M768" s="331">
        <v>7</v>
      </c>
      <c r="N768" s="161">
        <f t="shared" si="364"/>
        <v>479.99875000000003</v>
      </c>
      <c r="O768" s="161">
        <f t="shared" si="365"/>
        <v>479.99875000000003</v>
      </c>
      <c r="P768" s="187">
        <f t="shared" si="366"/>
        <v>0</v>
      </c>
      <c r="Q768" s="161">
        <f t="shared" si="367"/>
        <v>0</v>
      </c>
      <c r="R768" s="85"/>
      <c r="S768" s="86">
        <f t="shared" si="368"/>
        <v>4</v>
      </c>
      <c r="T768" s="87">
        <f t="shared" si="363"/>
        <v>3</v>
      </c>
      <c r="U768">
        <v>4</v>
      </c>
    </row>
    <row r="769" spans="2:31" ht="20.100000000000001" hidden="1" customHeight="1">
      <c r="B769" s="77">
        <v>8</v>
      </c>
      <c r="C769" s="78" t="s">
        <v>1457</v>
      </c>
      <c r="D769" s="79" t="s">
        <v>1499</v>
      </c>
      <c r="E769" s="80" t="s">
        <v>1500</v>
      </c>
      <c r="F769" s="81">
        <v>13.56</v>
      </c>
      <c r="G769" s="222">
        <v>9</v>
      </c>
      <c r="H769" s="186"/>
      <c r="I769" s="186"/>
      <c r="J769" s="308"/>
      <c r="K769" s="227"/>
      <c r="L769" s="82">
        <f t="shared" si="362"/>
        <v>9</v>
      </c>
      <c r="M769" s="331">
        <v>9</v>
      </c>
      <c r="N769" s="161">
        <f t="shared" si="364"/>
        <v>122.04</v>
      </c>
      <c r="O769" s="161">
        <f t="shared" si="365"/>
        <v>122.04</v>
      </c>
      <c r="P769" s="187">
        <f t="shared" si="366"/>
        <v>0</v>
      </c>
      <c r="Q769" s="161">
        <f t="shared" si="367"/>
        <v>0</v>
      </c>
      <c r="R769" s="232"/>
      <c r="S769" s="86">
        <f t="shared" si="368"/>
        <v>14</v>
      </c>
      <c r="T769" s="87">
        <f t="shared" si="363"/>
        <v>-5</v>
      </c>
      <c r="U769">
        <v>14</v>
      </c>
    </row>
    <row r="770" spans="2:31" ht="20.100000000000001" hidden="1" customHeight="1">
      <c r="B770" s="77">
        <v>8</v>
      </c>
      <c r="C770" s="78" t="s">
        <v>1457</v>
      </c>
      <c r="D770" s="79" t="s">
        <v>1501</v>
      </c>
      <c r="E770" s="80" t="s">
        <v>1502</v>
      </c>
      <c r="F770" s="81">
        <v>71.75</v>
      </c>
      <c r="G770" s="222"/>
      <c r="H770" s="186"/>
      <c r="I770" s="186"/>
      <c r="J770" s="308"/>
      <c r="K770" s="69"/>
      <c r="L770" s="82">
        <f t="shared" si="362"/>
        <v>0</v>
      </c>
      <c r="M770" s="331"/>
      <c r="N770" s="161">
        <f t="shared" si="364"/>
        <v>0</v>
      </c>
      <c r="O770" s="161">
        <f t="shared" si="365"/>
        <v>0</v>
      </c>
      <c r="P770" s="187">
        <f t="shared" si="366"/>
        <v>0</v>
      </c>
      <c r="Q770" s="161">
        <f t="shared" si="367"/>
        <v>0</v>
      </c>
      <c r="R770" s="85"/>
      <c r="S770" s="86">
        <f t="shared" si="368"/>
        <v>2</v>
      </c>
      <c r="T770" s="87">
        <f t="shared" si="363"/>
        <v>-2</v>
      </c>
      <c r="U770">
        <v>2</v>
      </c>
    </row>
    <row r="771" spans="2:31" ht="20.100000000000001" hidden="1" customHeight="1">
      <c r="B771" s="77">
        <v>8</v>
      </c>
      <c r="C771" s="78" t="s">
        <v>1457</v>
      </c>
      <c r="D771" s="79" t="s">
        <v>1503</v>
      </c>
      <c r="E771" s="80" t="s">
        <v>1504</v>
      </c>
      <c r="F771" s="81">
        <v>25.65</v>
      </c>
      <c r="G771" s="222"/>
      <c r="H771" s="186"/>
      <c r="I771" s="186"/>
      <c r="J771" s="308"/>
      <c r="K771" s="227"/>
      <c r="L771" s="82">
        <f t="shared" si="362"/>
        <v>0</v>
      </c>
      <c r="M771" s="331"/>
      <c r="N771" s="161">
        <f t="shared" si="364"/>
        <v>0</v>
      </c>
      <c r="O771" s="161">
        <f t="shared" si="365"/>
        <v>0</v>
      </c>
      <c r="P771" s="187">
        <f t="shared" si="366"/>
        <v>0</v>
      </c>
      <c r="Q771" s="161">
        <f t="shared" si="367"/>
        <v>0</v>
      </c>
      <c r="R771" s="85"/>
      <c r="S771" s="86">
        <f t="shared" si="368"/>
        <v>0</v>
      </c>
      <c r="T771" s="87">
        <f t="shared" si="363"/>
        <v>0</v>
      </c>
    </row>
    <row r="772" spans="2:31" ht="20.100000000000001" hidden="1" customHeight="1">
      <c r="B772" s="77">
        <v>8</v>
      </c>
      <c r="C772" s="78" t="s">
        <v>1457</v>
      </c>
      <c r="D772" s="79" t="s">
        <v>1505</v>
      </c>
      <c r="E772" s="80" t="s">
        <v>1506</v>
      </c>
      <c r="F772" s="81">
        <v>51</v>
      </c>
      <c r="G772" s="222"/>
      <c r="H772" s="186"/>
      <c r="I772" s="186"/>
      <c r="J772" s="308"/>
      <c r="K772" s="227"/>
      <c r="L772" s="82">
        <f t="shared" si="362"/>
        <v>0</v>
      </c>
      <c r="M772" s="331"/>
      <c r="N772" s="161">
        <f t="shared" si="364"/>
        <v>0</v>
      </c>
      <c r="O772" s="161">
        <f t="shared" si="365"/>
        <v>0</v>
      </c>
      <c r="P772" s="187">
        <f t="shared" si="366"/>
        <v>0</v>
      </c>
      <c r="Q772" s="161">
        <f t="shared" si="367"/>
        <v>0</v>
      </c>
      <c r="R772" s="85"/>
      <c r="S772" s="86">
        <f t="shared" si="368"/>
        <v>5</v>
      </c>
      <c r="T772" s="87">
        <f t="shared" si="363"/>
        <v>-5</v>
      </c>
      <c r="U772">
        <v>5</v>
      </c>
    </row>
    <row r="773" spans="2:31" ht="20.100000000000001" hidden="1" customHeight="1">
      <c r="B773" s="77">
        <v>8</v>
      </c>
      <c r="C773" s="78" t="s">
        <v>1457</v>
      </c>
      <c r="D773" s="79" t="s">
        <v>1507</v>
      </c>
      <c r="E773" s="80" t="s">
        <v>1508</v>
      </c>
      <c r="F773" s="81">
        <v>10</v>
      </c>
      <c r="G773" s="222">
        <v>60</v>
      </c>
      <c r="H773" s="186"/>
      <c r="I773" s="186"/>
      <c r="J773" s="308"/>
      <c r="K773" s="227"/>
      <c r="L773" s="82">
        <f t="shared" si="362"/>
        <v>60</v>
      </c>
      <c r="M773" s="331">
        <v>60</v>
      </c>
      <c r="N773" s="161">
        <f t="shared" si="364"/>
        <v>600</v>
      </c>
      <c r="O773" s="161">
        <f t="shared" si="365"/>
        <v>600</v>
      </c>
      <c r="P773" s="187">
        <f t="shared" si="366"/>
        <v>0</v>
      </c>
      <c r="Q773" s="161">
        <f t="shared" si="367"/>
        <v>0</v>
      </c>
      <c r="R773" s="233"/>
      <c r="S773" s="86">
        <f t="shared" si="368"/>
        <v>60</v>
      </c>
      <c r="T773" s="87">
        <f t="shared" si="363"/>
        <v>0</v>
      </c>
      <c r="W773">
        <v>60</v>
      </c>
      <c r="X773" t="s">
        <v>121</v>
      </c>
      <c r="AD773">
        <f>W773</f>
        <v>60</v>
      </c>
      <c r="AE773" s="89">
        <f>AD773*F773</f>
        <v>600</v>
      </c>
    </row>
    <row r="774" spans="2:31" ht="20.100000000000001" hidden="1" customHeight="1">
      <c r="B774" s="77">
        <v>8</v>
      </c>
      <c r="C774" s="78" t="s">
        <v>1457</v>
      </c>
      <c r="D774" s="79" t="s">
        <v>1509</v>
      </c>
      <c r="E774" s="80" t="s">
        <v>1510</v>
      </c>
      <c r="F774" s="81">
        <v>18.98</v>
      </c>
      <c r="G774" s="222"/>
      <c r="H774" s="186"/>
      <c r="I774" s="186"/>
      <c r="J774" s="308"/>
      <c r="K774" s="227"/>
      <c r="L774" s="82">
        <f t="shared" si="362"/>
        <v>0</v>
      </c>
      <c r="M774" s="331"/>
      <c r="N774" s="161">
        <f t="shared" si="364"/>
        <v>0</v>
      </c>
      <c r="O774" s="161">
        <f t="shared" si="365"/>
        <v>0</v>
      </c>
      <c r="P774" s="187">
        <f t="shared" si="366"/>
        <v>0</v>
      </c>
      <c r="Q774" s="161">
        <f t="shared" si="367"/>
        <v>0</v>
      </c>
      <c r="R774" s="85"/>
      <c r="S774" s="86">
        <f t="shared" si="368"/>
        <v>0</v>
      </c>
      <c r="T774" s="87">
        <f t="shared" si="363"/>
        <v>0</v>
      </c>
    </row>
    <row r="775" spans="2:31" ht="20.100000000000001" hidden="1" customHeight="1">
      <c r="B775" s="77">
        <v>8</v>
      </c>
      <c r="C775" s="78" t="s">
        <v>1457</v>
      </c>
      <c r="D775" s="79" t="s">
        <v>1511</v>
      </c>
      <c r="E775" s="80" t="s">
        <v>1512</v>
      </c>
      <c r="F775" s="81">
        <v>41.25</v>
      </c>
      <c r="G775" s="222">
        <v>7</v>
      </c>
      <c r="H775" s="186"/>
      <c r="I775" s="186"/>
      <c r="J775" s="308"/>
      <c r="K775" s="227">
        <v>2</v>
      </c>
      <c r="L775" s="82">
        <f t="shared" si="362"/>
        <v>5</v>
      </c>
      <c r="M775" s="331">
        <v>5</v>
      </c>
      <c r="N775" s="161">
        <f t="shared" si="364"/>
        <v>206.25</v>
      </c>
      <c r="O775" s="161">
        <f t="shared" si="365"/>
        <v>206.25</v>
      </c>
      <c r="P775" s="187">
        <f t="shared" si="366"/>
        <v>0</v>
      </c>
      <c r="Q775" s="161">
        <f t="shared" si="367"/>
        <v>0</v>
      </c>
      <c r="R775" s="85"/>
      <c r="S775" s="86">
        <f t="shared" si="368"/>
        <v>12</v>
      </c>
      <c r="T775" s="87">
        <f t="shared" si="363"/>
        <v>-7</v>
      </c>
      <c r="U775">
        <v>12</v>
      </c>
    </row>
    <row r="776" spans="2:31" ht="20.100000000000001" hidden="1" customHeight="1">
      <c r="B776" s="77">
        <v>8</v>
      </c>
      <c r="C776" s="78" t="s">
        <v>1457</v>
      </c>
      <c r="D776" s="79" t="s">
        <v>1513</v>
      </c>
      <c r="E776" s="80" t="s">
        <v>1514</v>
      </c>
      <c r="F776" s="81">
        <v>7.6</v>
      </c>
      <c r="G776" s="222">
        <v>55</v>
      </c>
      <c r="H776" s="186"/>
      <c r="I776" s="186"/>
      <c r="J776" s="308"/>
      <c r="K776" s="227"/>
      <c r="L776" s="82">
        <f t="shared" si="362"/>
        <v>55</v>
      </c>
      <c r="M776" s="331">
        <v>55</v>
      </c>
      <c r="N776" s="161">
        <f t="shared" si="364"/>
        <v>418</v>
      </c>
      <c r="O776" s="161">
        <f t="shared" si="365"/>
        <v>418</v>
      </c>
      <c r="P776" s="187">
        <f t="shared" si="366"/>
        <v>0</v>
      </c>
      <c r="Q776" s="161">
        <f t="shared" si="367"/>
        <v>0</v>
      </c>
      <c r="R776" s="85" t="s">
        <v>1515</v>
      </c>
      <c r="S776" s="86">
        <f t="shared" si="368"/>
        <v>1</v>
      </c>
      <c r="T776" s="87">
        <f t="shared" si="363"/>
        <v>54</v>
      </c>
      <c r="AA776">
        <v>1</v>
      </c>
      <c r="AB776" s="88" t="s">
        <v>1516</v>
      </c>
      <c r="AD776">
        <f>AA776</f>
        <v>1</v>
      </c>
      <c r="AE776" s="89">
        <f>AD776*F776</f>
        <v>7.6</v>
      </c>
    </row>
    <row r="777" spans="2:31" ht="20.100000000000001" hidden="1" customHeight="1">
      <c r="B777" s="77">
        <v>8</v>
      </c>
      <c r="C777" s="78" t="s">
        <v>1457</v>
      </c>
      <c r="D777" s="79" t="s">
        <v>1517</v>
      </c>
      <c r="E777" s="80" t="s">
        <v>1518</v>
      </c>
      <c r="F777" s="81">
        <v>148.25</v>
      </c>
      <c r="G777" s="222">
        <v>1</v>
      </c>
      <c r="H777" s="186"/>
      <c r="I777" s="186"/>
      <c r="J777" s="308"/>
      <c r="K777" s="227"/>
      <c r="L777" s="82">
        <f t="shared" ref="L777:L846" si="376">G777+I777-J777-K777+H777</f>
        <v>1</v>
      </c>
      <c r="M777" s="331">
        <v>1</v>
      </c>
      <c r="N777" s="161">
        <f t="shared" si="364"/>
        <v>148.25</v>
      </c>
      <c r="O777" s="161">
        <f t="shared" si="365"/>
        <v>148.25</v>
      </c>
      <c r="P777" s="187">
        <f t="shared" si="366"/>
        <v>0</v>
      </c>
      <c r="Q777" s="161">
        <f t="shared" si="367"/>
        <v>0</v>
      </c>
      <c r="R777" s="85"/>
      <c r="S777" s="86">
        <f t="shared" si="368"/>
        <v>3</v>
      </c>
      <c r="T777" s="87">
        <f t="shared" si="363"/>
        <v>-2</v>
      </c>
      <c r="U777">
        <v>3</v>
      </c>
    </row>
    <row r="778" spans="2:31" ht="20.100000000000001" hidden="1" customHeight="1">
      <c r="B778" s="77">
        <v>8</v>
      </c>
      <c r="C778" s="78" t="s">
        <v>1457</v>
      </c>
      <c r="D778" s="79" t="s">
        <v>1519</v>
      </c>
      <c r="E778" s="80" t="s">
        <v>1520</v>
      </c>
      <c r="F778" s="81">
        <v>16.600000000000001</v>
      </c>
      <c r="G778" s="222"/>
      <c r="H778" s="186"/>
      <c r="I778" s="186"/>
      <c r="J778" s="308"/>
      <c r="K778" s="227"/>
      <c r="L778" s="82">
        <f t="shared" si="376"/>
        <v>0</v>
      </c>
      <c r="M778" s="331"/>
      <c r="N778" s="161">
        <f t="shared" si="364"/>
        <v>0</v>
      </c>
      <c r="O778" s="161">
        <f t="shared" si="365"/>
        <v>0</v>
      </c>
      <c r="P778" s="187">
        <f t="shared" si="366"/>
        <v>0</v>
      </c>
      <c r="Q778" s="161">
        <f t="shared" si="367"/>
        <v>0</v>
      </c>
      <c r="R778" s="85"/>
      <c r="S778" s="86">
        <f t="shared" si="368"/>
        <v>0</v>
      </c>
      <c r="T778" s="87">
        <f t="shared" si="363"/>
        <v>0</v>
      </c>
    </row>
    <row r="779" spans="2:31" ht="20.100000000000001" hidden="1" customHeight="1">
      <c r="B779" s="77">
        <v>8</v>
      </c>
      <c r="C779" s="78" t="s">
        <v>1457</v>
      </c>
      <c r="D779" s="79" t="s">
        <v>1521</v>
      </c>
      <c r="E779" s="80" t="s">
        <v>1522</v>
      </c>
      <c r="F779" s="81">
        <v>91.9</v>
      </c>
      <c r="G779" s="222">
        <v>1</v>
      </c>
      <c r="H779" s="186"/>
      <c r="I779" s="186"/>
      <c r="J779" s="308"/>
      <c r="K779" s="227"/>
      <c r="L779" s="82">
        <f t="shared" ref="L779" si="377">G779+I779-J779-K779+H779</f>
        <v>1</v>
      </c>
      <c r="M779" s="331">
        <v>1</v>
      </c>
      <c r="N779" s="161">
        <f t="shared" ref="N779" si="378">F779*L779</f>
        <v>91.9</v>
      </c>
      <c r="O779" s="161">
        <f t="shared" ref="O779" si="379">M779*F779</f>
        <v>91.9</v>
      </c>
      <c r="P779" s="187">
        <f t="shared" ref="P779" si="380">L779-M779</f>
        <v>0</v>
      </c>
      <c r="Q779" s="161">
        <f t="shared" ref="Q779" si="381">N779-O779</f>
        <v>0</v>
      </c>
      <c r="R779" s="232" t="s">
        <v>3819</v>
      </c>
      <c r="S779" s="86">
        <f t="shared" ref="S779" si="382">U779+Y779+W779+AA779</f>
        <v>0</v>
      </c>
      <c r="T779" s="87">
        <f t="shared" ref="T779" si="383">M779-S779</f>
        <v>1</v>
      </c>
    </row>
    <row r="780" spans="2:31" ht="20.100000000000001" hidden="1" customHeight="1">
      <c r="B780" s="77">
        <v>8</v>
      </c>
      <c r="C780" s="78" t="s">
        <v>1457</v>
      </c>
      <c r="D780" s="79" t="s">
        <v>1521</v>
      </c>
      <c r="E780" s="80" t="s">
        <v>1522</v>
      </c>
      <c r="F780" s="81">
        <v>98.1</v>
      </c>
      <c r="G780" s="222"/>
      <c r="H780" s="186"/>
      <c r="I780" s="186">
        <v>12</v>
      </c>
      <c r="J780" s="308"/>
      <c r="K780" s="227"/>
      <c r="L780" s="82">
        <f t="shared" si="376"/>
        <v>12</v>
      </c>
      <c r="M780" s="331">
        <v>12</v>
      </c>
      <c r="N780" s="161">
        <f t="shared" si="364"/>
        <v>1177.1999999999998</v>
      </c>
      <c r="O780" s="161">
        <f t="shared" si="365"/>
        <v>1177.1999999999998</v>
      </c>
      <c r="P780" s="187">
        <f t="shared" si="366"/>
        <v>0</v>
      </c>
      <c r="Q780" s="161">
        <f t="shared" si="367"/>
        <v>0</v>
      </c>
      <c r="R780" s="232" t="s">
        <v>3819</v>
      </c>
      <c r="S780" s="86">
        <f t="shared" si="368"/>
        <v>0</v>
      </c>
      <c r="T780" s="87">
        <f t="shared" si="363"/>
        <v>12</v>
      </c>
    </row>
    <row r="781" spans="2:31" ht="20.100000000000001" hidden="1" customHeight="1">
      <c r="B781" s="77">
        <v>8</v>
      </c>
      <c r="C781" s="78" t="s">
        <v>1457</v>
      </c>
      <c r="D781" s="79" t="s">
        <v>1523</v>
      </c>
      <c r="E781" s="80" t="s">
        <v>1524</v>
      </c>
      <c r="F781" s="81">
        <v>90.24</v>
      </c>
      <c r="G781" s="222">
        <v>9</v>
      </c>
      <c r="H781" s="186"/>
      <c r="I781" s="186"/>
      <c r="J781" s="308"/>
      <c r="K781" s="227">
        <v>3</v>
      </c>
      <c r="L781" s="82">
        <f t="shared" si="376"/>
        <v>6</v>
      </c>
      <c r="M781" s="331">
        <v>6</v>
      </c>
      <c r="N781" s="161">
        <f t="shared" si="364"/>
        <v>541.43999999999994</v>
      </c>
      <c r="O781" s="161">
        <f t="shared" si="365"/>
        <v>541.43999999999994</v>
      </c>
      <c r="P781" s="187">
        <f t="shared" si="366"/>
        <v>0</v>
      </c>
      <c r="Q781" s="161">
        <f t="shared" si="367"/>
        <v>0</v>
      </c>
      <c r="R781" s="85"/>
      <c r="S781" s="86">
        <f t="shared" si="368"/>
        <v>2</v>
      </c>
      <c r="T781" s="87">
        <f t="shared" si="363"/>
        <v>4</v>
      </c>
      <c r="U781">
        <v>2</v>
      </c>
    </row>
    <row r="782" spans="2:31" ht="20.100000000000001" hidden="1" customHeight="1">
      <c r="B782" s="77">
        <v>8</v>
      </c>
      <c r="C782" s="78" t="s">
        <v>1457</v>
      </c>
      <c r="D782" s="79" t="s">
        <v>1525</v>
      </c>
      <c r="E782" s="80" t="s">
        <v>1526</v>
      </c>
      <c r="F782" s="81">
        <v>54.76</v>
      </c>
      <c r="G782" s="222"/>
      <c r="H782" s="186"/>
      <c r="I782" s="186"/>
      <c r="J782" s="308"/>
      <c r="K782" s="227"/>
      <c r="L782" s="82">
        <f t="shared" si="376"/>
        <v>0</v>
      </c>
      <c r="M782" s="331"/>
      <c r="N782" s="161">
        <f t="shared" si="364"/>
        <v>0</v>
      </c>
      <c r="O782" s="161">
        <f t="shared" si="365"/>
        <v>0</v>
      </c>
      <c r="P782" s="187">
        <f t="shared" si="366"/>
        <v>0</v>
      </c>
      <c r="Q782" s="161">
        <f t="shared" si="367"/>
        <v>0</v>
      </c>
      <c r="R782" s="85"/>
      <c r="S782" s="86">
        <f t="shared" si="368"/>
        <v>0</v>
      </c>
      <c r="T782" s="87">
        <f t="shared" si="363"/>
        <v>0</v>
      </c>
    </row>
    <row r="783" spans="2:31" ht="20.100000000000001" hidden="1" customHeight="1">
      <c r="B783" s="77">
        <v>8</v>
      </c>
      <c r="C783" s="78" t="s">
        <v>1457</v>
      </c>
      <c r="D783" s="79" t="s">
        <v>1527</v>
      </c>
      <c r="E783" s="80" t="s">
        <v>1528</v>
      </c>
      <c r="F783" s="81">
        <v>94.76</v>
      </c>
      <c r="G783" s="222"/>
      <c r="H783" s="186"/>
      <c r="I783" s="186"/>
      <c r="J783" s="308"/>
      <c r="K783" s="227">
        <v>2</v>
      </c>
      <c r="L783" s="82">
        <f t="shared" si="376"/>
        <v>-2</v>
      </c>
      <c r="M783" s="331">
        <v>0</v>
      </c>
      <c r="N783" s="161">
        <f t="shared" si="364"/>
        <v>-189.52</v>
      </c>
      <c r="O783" s="161">
        <f t="shared" si="365"/>
        <v>0</v>
      </c>
      <c r="P783" s="187">
        <f t="shared" si="366"/>
        <v>-2</v>
      </c>
      <c r="Q783" s="161">
        <f t="shared" si="367"/>
        <v>-189.52</v>
      </c>
      <c r="R783" s="85"/>
      <c r="S783" s="86">
        <f t="shared" si="368"/>
        <v>0</v>
      </c>
      <c r="T783" s="87">
        <f t="shared" si="363"/>
        <v>0</v>
      </c>
    </row>
    <row r="784" spans="2:31" ht="20.100000000000001" hidden="1" customHeight="1">
      <c r="B784" s="77">
        <v>8</v>
      </c>
      <c r="C784" s="78" t="s">
        <v>1457</v>
      </c>
      <c r="D784" s="79" t="s">
        <v>1529</v>
      </c>
      <c r="E784" s="80" t="s">
        <v>1530</v>
      </c>
      <c r="F784" s="81">
        <v>31.19</v>
      </c>
      <c r="G784" s="222">
        <v>47</v>
      </c>
      <c r="H784" s="186"/>
      <c r="I784" s="186"/>
      <c r="J784" s="308"/>
      <c r="K784" s="227">
        <v>3</v>
      </c>
      <c r="L784" s="82">
        <f t="shared" si="376"/>
        <v>44</v>
      </c>
      <c r="M784" s="331">
        <f>42+2</f>
        <v>44</v>
      </c>
      <c r="N784" s="161">
        <f t="shared" si="364"/>
        <v>1372.3600000000001</v>
      </c>
      <c r="O784" s="161">
        <f t="shared" si="365"/>
        <v>1372.3600000000001</v>
      </c>
      <c r="P784" s="187">
        <f t="shared" si="366"/>
        <v>0</v>
      </c>
      <c r="Q784" s="161">
        <f t="shared" si="367"/>
        <v>0</v>
      </c>
      <c r="R784" s="85"/>
      <c r="S784" s="86">
        <f t="shared" si="368"/>
        <v>51</v>
      </c>
      <c r="T784" s="87">
        <f t="shared" si="363"/>
        <v>-7</v>
      </c>
      <c r="U784">
        <v>51</v>
      </c>
    </row>
    <row r="785" spans="2:31" hidden="1">
      <c r="B785" s="77">
        <v>8</v>
      </c>
      <c r="C785" s="78" t="s">
        <v>1457</v>
      </c>
      <c r="D785" s="79" t="s">
        <v>1531</v>
      </c>
      <c r="E785" s="80" t="s">
        <v>1532</v>
      </c>
      <c r="F785" s="81">
        <v>26.43</v>
      </c>
      <c r="G785" s="222">
        <v>1</v>
      </c>
      <c r="H785" s="186"/>
      <c r="I785" s="186"/>
      <c r="J785" s="308"/>
      <c r="K785" s="227"/>
      <c r="L785" s="82">
        <f t="shared" si="376"/>
        <v>1</v>
      </c>
      <c r="M785" s="331">
        <v>1</v>
      </c>
      <c r="N785" s="161">
        <f t="shared" si="364"/>
        <v>26.43</v>
      </c>
      <c r="O785" s="161">
        <f t="shared" si="365"/>
        <v>26.43</v>
      </c>
      <c r="P785" s="187">
        <f t="shared" si="366"/>
        <v>0</v>
      </c>
      <c r="Q785" s="161">
        <f t="shared" si="367"/>
        <v>0</v>
      </c>
      <c r="R785" s="85"/>
      <c r="S785" s="86">
        <f t="shared" si="368"/>
        <v>4</v>
      </c>
      <c r="T785" s="87">
        <f t="shared" si="363"/>
        <v>-3</v>
      </c>
      <c r="U785">
        <v>4</v>
      </c>
    </row>
    <row r="786" spans="2:31" ht="20.100000000000001" hidden="1" customHeight="1">
      <c r="B786" s="77">
        <v>8</v>
      </c>
      <c r="C786" s="78" t="s">
        <v>1457</v>
      </c>
      <c r="D786" s="79" t="s">
        <v>1533</v>
      </c>
      <c r="E786" s="80" t="s">
        <v>1534</v>
      </c>
      <c r="F786" s="81">
        <v>23.05</v>
      </c>
      <c r="G786" s="222"/>
      <c r="H786" s="186"/>
      <c r="I786" s="186"/>
      <c r="J786" s="308"/>
      <c r="K786" s="227"/>
      <c r="L786" s="82">
        <f t="shared" si="376"/>
        <v>0</v>
      </c>
      <c r="M786" s="331"/>
      <c r="N786" s="161">
        <f t="shared" si="364"/>
        <v>0</v>
      </c>
      <c r="O786" s="161">
        <f t="shared" si="365"/>
        <v>0</v>
      </c>
      <c r="P786" s="187">
        <f t="shared" si="366"/>
        <v>0</v>
      </c>
      <c r="Q786" s="161">
        <f t="shared" si="367"/>
        <v>0</v>
      </c>
      <c r="R786" s="85"/>
      <c r="S786" s="86">
        <f t="shared" si="368"/>
        <v>0</v>
      </c>
      <c r="T786" s="87">
        <f t="shared" si="363"/>
        <v>0</v>
      </c>
    </row>
    <row r="787" spans="2:31" ht="20.100000000000001" hidden="1" customHeight="1">
      <c r="B787" s="77">
        <v>8</v>
      </c>
      <c r="C787" s="78" t="s">
        <v>1457</v>
      </c>
      <c r="D787" s="79" t="s">
        <v>1535</v>
      </c>
      <c r="E787" s="80" t="s">
        <v>1536</v>
      </c>
      <c r="F787" s="81">
        <v>10</v>
      </c>
      <c r="G787" s="222">
        <v>9</v>
      </c>
      <c r="H787" s="186"/>
      <c r="I787" s="186"/>
      <c r="J787" s="308"/>
      <c r="K787" s="227"/>
      <c r="L787" s="82">
        <f t="shared" si="376"/>
        <v>9</v>
      </c>
      <c r="M787" s="331">
        <v>9</v>
      </c>
      <c r="N787" s="161">
        <f t="shared" si="364"/>
        <v>90</v>
      </c>
      <c r="O787" s="161">
        <f t="shared" si="365"/>
        <v>90</v>
      </c>
      <c r="P787" s="187">
        <f t="shared" si="366"/>
        <v>0</v>
      </c>
      <c r="Q787" s="161">
        <f t="shared" si="367"/>
        <v>0</v>
      </c>
      <c r="R787" s="85" t="s">
        <v>1537</v>
      </c>
      <c r="S787" s="86">
        <f t="shared" si="368"/>
        <v>9</v>
      </c>
      <c r="T787" s="87">
        <f t="shared" si="363"/>
        <v>0</v>
      </c>
      <c r="U787" s="93"/>
      <c r="V787" s="94"/>
      <c r="AA787">
        <v>9</v>
      </c>
      <c r="AB787" s="88" t="s">
        <v>1538</v>
      </c>
      <c r="AD787" s="17">
        <f>M787</f>
        <v>9</v>
      </c>
      <c r="AE787" s="89">
        <f>AD787*F787</f>
        <v>90</v>
      </c>
    </row>
    <row r="788" spans="2:31" ht="20.100000000000001" hidden="1" customHeight="1">
      <c r="B788" s="77">
        <v>8</v>
      </c>
      <c r="C788" s="78" t="s">
        <v>1457</v>
      </c>
      <c r="D788" s="79" t="s">
        <v>1539</v>
      </c>
      <c r="E788" s="80" t="s">
        <v>1540</v>
      </c>
      <c r="F788" s="81">
        <v>10</v>
      </c>
      <c r="G788" s="222">
        <v>7</v>
      </c>
      <c r="H788" s="186"/>
      <c r="I788" s="186"/>
      <c r="J788" s="308"/>
      <c r="K788" s="227"/>
      <c r="L788" s="82">
        <f t="shared" si="376"/>
        <v>7</v>
      </c>
      <c r="M788" s="331">
        <v>7</v>
      </c>
      <c r="N788" s="161">
        <f t="shared" si="364"/>
        <v>70</v>
      </c>
      <c r="O788" s="161">
        <f t="shared" si="365"/>
        <v>70</v>
      </c>
      <c r="P788" s="187">
        <f t="shared" si="366"/>
        <v>0</v>
      </c>
      <c r="Q788" s="161">
        <f t="shared" si="367"/>
        <v>0</v>
      </c>
      <c r="R788" s="85" t="s">
        <v>1541</v>
      </c>
      <c r="S788" s="86">
        <f t="shared" si="368"/>
        <v>7</v>
      </c>
      <c r="T788" s="87">
        <f t="shared" si="363"/>
        <v>0</v>
      </c>
      <c r="U788" s="93"/>
      <c r="V788" s="94"/>
      <c r="AA788">
        <v>7</v>
      </c>
      <c r="AB788" s="88" t="s">
        <v>91</v>
      </c>
      <c r="AD788" s="17">
        <f>M788</f>
        <v>7</v>
      </c>
      <c r="AE788" s="89">
        <f>AD788*F788</f>
        <v>70</v>
      </c>
    </row>
    <row r="789" spans="2:31" ht="20.100000000000001" hidden="1" customHeight="1">
      <c r="B789" s="77">
        <v>8</v>
      </c>
      <c r="C789" s="78" t="s">
        <v>1457</v>
      </c>
      <c r="D789" s="79" t="s">
        <v>1542</v>
      </c>
      <c r="E789" s="80" t="s">
        <v>1543</v>
      </c>
      <c r="F789" s="81">
        <v>10</v>
      </c>
      <c r="G789" s="222">
        <v>2</v>
      </c>
      <c r="H789" s="186"/>
      <c r="I789" s="186"/>
      <c r="J789" s="308"/>
      <c r="K789" s="227"/>
      <c r="L789" s="82">
        <f t="shared" si="376"/>
        <v>2</v>
      </c>
      <c r="M789" s="331">
        <v>2</v>
      </c>
      <c r="N789" s="161">
        <f t="shared" si="364"/>
        <v>20</v>
      </c>
      <c r="O789" s="161">
        <f t="shared" si="365"/>
        <v>20</v>
      </c>
      <c r="P789" s="187">
        <f t="shared" si="366"/>
        <v>0</v>
      </c>
      <c r="Q789" s="161">
        <f t="shared" si="367"/>
        <v>0</v>
      </c>
      <c r="R789" s="85" t="s">
        <v>1537</v>
      </c>
      <c r="S789" s="86">
        <f t="shared" si="368"/>
        <v>2</v>
      </c>
      <c r="T789" s="87">
        <f t="shared" si="363"/>
        <v>0</v>
      </c>
      <c r="U789" s="93"/>
      <c r="V789" s="94"/>
      <c r="AA789">
        <v>2</v>
      </c>
      <c r="AB789" s="88" t="s">
        <v>1538</v>
      </c>
      <c r="AD789" s="17">
        <f>M789</f>
        <v>2</v>
      </c>
      <c r="AE789" s="89">
        <f>AD789*F789</f>
        <v>20</v>
      </c>
    </row>
    <row r="790" spans="2:31" ht="20.100000000000001" hidden="1" customHeight="1">
      <c r="B790" s="77">
        <v>8</v>
      </c>
      <c r="C790" s="78" t="s">
        <v>1457</v>
      </c>
      <c r="D790" s="79" t="s">
        <v>1544</v>
      </c>
      <c r="E790" s="80" t="s">
        <v>1545</v>
      </c>
      <c r="F790" s="81">
        <v>21.43</v>
      </c>
      <c r="G790" s="222">
        <v>7</v>
      </c>
      <c r="H790" s="186"/>
      <c r="I790" s="186"/>
      <c r="J790" s="308"/>
      <c r="K790" s="227"/>
      <c r="L790" s="82">
        <f t="shared" si="376"/>
        <v>7</v>
      </c>
      <c r="M790" s="331">
        <v>7</v>
      </c>
      <c r="N790" s="161">
        <f t="shared" si="364"/>
        <v>150.01</v>
      </c>
      <c r="O790" s="161">
        <f t="shared" si="365"/>
        <v>150.01</v>
      </c>
      <c r="P790" s="187">
        <f t="shared" si="366"/>
        <v>0</v>
      </c>
      <c r="Q790" s="161">
        <f t="shared" si="367"/>
        <v>0</v>
      </c>
      <c r="R790" s="85"/>
      <c r="S790" s="86">
        <f t="shared" si="368"/>
        <v>6</v>
      </c>
      <c r="T790" s="87">
        <f t="shared" si="363"/>
        <v>1</v>
      </c>
      <c r="U790">
        <v>6</v>
      </c>
    </row>
    <row r="791" spans="2:31" ht="20.100000000000001" hidden="1" customHeight="1">
      <c r="B791" s="77">
        <v>8</v>
      </c>
      <c r="C791" s="78" t="s">
        <v>1457</v>
      </c>
      <c r="D791" s="79" t="s">
        <v>1546</v>
      </c>
      <c r="E791" s="80" t="s">
        <v>1547</v>
      </c>
      <c r="F791" s="81">
        <v>107.5</v>
      </c>
      <c r="G791" s="222">
        <v>20</v>
      </c>
      <c r="H791" s="186"/>
      <c r="I791" s="186"/>
      <c r="J791" s="308"/>
      <c r="K791" s="227"/>
      <c r="L791" s="82">
        <f t="shared" si="376"/>
        <v>20</v>
      </c>
      <c r="M791" s="331">
        <v>20</v>
      </c>
      <c r="N791" s="161">
        <f t="shared" si="364"/>
        <v>2150</v>
      </c>
      <c r="O791" s="161">
        <f t="shared" si="365"/>
        <v>2150</v>
      </c>
      <c r="P791" s="187">
        <f t="shared" si="366"/>
        <v>0</v>
      </c>
      <c r="Q791" s="161">
        <f t="shared" si="367"/>
        <v>0</v>
      </c>
      <c r="R791" s="85"/>
      <c r="S791" s="86">
        <f t="shared" si="368"/>
        <v>26</v>
      </c>
      <c r="T791" s="87">
        <f t="shared" si="363"/>
        <v>-6</v>
      </c>
      <c r="U791">
        <v>12</v>
      </c>
      <c r="W791">
        <v>14</v>
      </c>
    </row>
    <row r="792" spans="2:31" ht="20.100000000000001" hidden="1" customHeight="1">
      <c r="B792" s="77">
        <v>8</v>
      </c>
      <c r="C792" s="78" t="s">
        <v>1457</v>
      </c>
      <c r="D792" s="79" t="s">
        <v>1548</v>
      </c>
      <c r="E792" s="80" t="s">
        <v>1549</v>
      </c>
      <c r="F792" s="81">
        <v>49.2</v>
      </c>
      <c r="G792" s="222">
        <v>1</v>
      </c>
      <c r="H792" s="186"/>
      <c r="I792" s="186"/>
      <c r="J792" s="308"/>
      <c r="K792" s="227"/>
      <c r="L792" s="82">
        <f t="shared" si="376"/>
        <v>1</v>
      </c>
      <c r="M792" s="331">
        <v>1</v>
      </c>
      <c r="N792" s="161">
        <f t="shared" si="364"/>
        <v>49.2</v>
      </c>
      <c r="O792" s="161">
        <f t="shared" si="365"/>
        <v>49.2</v>
      </c>
      <c r="P792" s="187">
        <f t="shared" si="366"/>
        <v>0</v>
      </c>
      <c r="Q792" s="161">
        <f t="shared" si="367"/>
        <v>0</v>
      </c>
      <c r="R792" s="85"/>
      <c r="S792" s="86">
        <f t="shared" si="368"/>
        <v>0</v>
      </c>
      <c r="T792" s="87">
        <f t="shared" si="363"/>
        <v>1</v>
      </c>
    </row>
    <row r="793" spans="2:31" ht="20.100000000000001" hidden="1" customHeight="1">
      <c r="B793" s="77">
        <v>8</v>
      </c>
      <c r="C793" s="78" t="s">
        <v>1457</v>
      </c>
      <c r="D793" s="79" t="s">
        <v>1550</v>
      </c>
      <c r="E793" s="80" t="s">
        <v>1551</v>
      </c>
      <c r="F793" s="81">
        <v>35</v>
      </c>
      <c r="G793" s="222">
        <v>9</v>
      </c>
      <c r="H793" s="186"/>
      <c r="I793" s="186"/>
      <c r="J793" s="308"/>
      <c r="K793" s="227"/>
      <c r="L793" s="82">
        <f t="shared" si="376"/>
        <v>9</v>
      </c>
      <c r="M793" s="331">
        <v>9</v>
      </c>
      <c r="N793" s="161">
        <f t="shared" si="364"/>
        <v>315</v>
      </c>
      <c r="O793" s="161">
        <f t="shared" si="365"/>
        <v>315</v>
      </c>
      <c r="P793" s="187">
        <f t="shared" si="366"/>
        <v>0</v>
      </c>
      <c r="Q793" s="161">
        <f t="shared" si="367"/>
        <v>0</v>
      </c>
      <c r="R793" s="85"/>
      <c r="S793" s="86">
        <f t="shared" si="368"/>
        <v>9</v>
      </c>
      <c r="T793" s="87">
        <f t="shared" si="363"/>
        <v>0</v>
      </c>
      <c r="U793">
        <v>9</v>
      </c>
    </row>
    <row r="794" spans="2:31" ht="20.100000000000001" hidden="1" customHeight="1">
      <c r="B794" s="77">
        <v>8</v>
      </c>
      <c r="C794" s="78" t="s">
        <v>1457</v>
      </c>
      <c r="D794" s="79" t="s">
        <v>1552</v>
      </c>
      <c r="E794" s="80" t="s">
        <v>1553</v>
      </c>
      <c r="F794" s="81">
        <v>16.88</v>
      </c>
      <c r="G794" s="222">
        <v>17</v>
      </c>
      <c r="H794" s="186"/>
      <c r="I794" s="186"/>
      <c r="J794" s="308"/>
      <c r="K794" s="227"/>
      <c r="L794" s="82">
        <f t="shared" si="376"/>
        <v>17</v>
      </c>
      <c r="M794" s="331">
        <v>17</v>
      </c>
      <c r="N794" s="161">
        <f t="shared" si="364"/>
        <v>286.95999999999998</v>
      </c>
      <c r="O794" s="161">
        <f t="shared" si="365"/>
        <v>286.95999999999998</v>
      </c>
      <c r="P794" s="187">
        <f t="shared" si="366"/>
        <v>0</v>
      </c>
      <c r="Q794" s="161">
        <f t="shared" si="367"/>
        <v>0</v>
      </c>
      <c r="R794" s="85"/>
      <c r="S794" s="86">
        <f t="shared" si="368"/>
        <v>19</v>
      </c>
      <c r="T794" s="87">
        <f t="shared" si="363"/>
        <v>-2</v>
      </c>
      <c r="U794">
        <v>19</v>
      </c>
    </row>
    <row r="795" spans="2:31" ht="20.100000000000001" hidden="1" customHeight="1">
      <c r="B795" s="77">
        <v>8</v>
      </c>
      <c r="C795" s="78" t="s">
        <v>1457</v>
      </c>
      <c r="D795" s="79" t="s">
        <v>1554</v>
      </c>
      <c r="E795" s="80" t="s">
        <v>1555</v>
      </c>
      <c r="F795" s="81">
        <v>251.15</v>
      </c>
      <c r="G795" s="222"/>
      <c r="H795" s="186"/>
      <c r="I795" s="186"/>
      <c r="J795" s="308"/>
      <c r="K795" s="227"/>
      <c r="L795" s="82">
        <f t="shared" si="376"/>
        <v>0</v>
      </c>
      <c r="M795" s="331"/>
      <c r="N795" s="161">
        <f t="shared" si="364"/>
        <v>0</v>
      </c>
      <c r="O795" s="161">
        <f t="shared" si="365"/>
        <v>0</v>
      </c>
      <c r="P795" s="187">
        <f t="shared" si="366"/>
        <v>0</v>
      </c>
      <c r="Q795" s="161">
        <f t="shared" si="367"/>
        <v>0</v>
      </c>
      <c r="R795" s="85"/>
      <c r="S795" s="86">
        <f t="shared" si="368"/>
        <v>0</v>
      </c>
      <c r="T795" s="87">
        <f t="shared" si="363"/>
        <v>0</v>
      </c>
    </row>
    <row r="796" spans="2:31" ht="20.100000000000001" hidden="1" customHeight="1">
      <c r="B796" s="77">
        <v>8</v>
      </c>
      <c r="C796" s="78" t="s">
        <v>1457</v>
      </c>
      <c r="D796" s="79" t="s">
        <v>1556</v>
      </c>
      <c r="E796" s="80" t="s">
        <v>1557</v>
      </c>
      <c r="F796" s="317">
        <v>6.02</v>
      </c>
      <c r="G796" s="222">
        <v>165</v>
      </c>
      <c r="H796" s="186"/>
      <c r="I796" s="186"/>
      <c r="J796" s="308"/>
      <c r="K796" s="227">
        <v>46</v>
      </c>
      <c r="L796" s="82">
        <f t="shared" si="376"/>
        <v>119</v>
      </c>
      <c r="M796" s="331">
        <v>119</v>
      </c>
      <c r="N796" s="161">
        <f t="shared" si="364"/>
        <v>716.38</v>
      </c>
      <c r="O796" s="161">
        <f t="shared" si="365"/>
        <v>716.38</v>
      </c>
      <c r="P796" s="187">
        <f t="shared" si="366"/>
        <v>0</v>
      </c>
      <c r="Q796" s="161">
        <f t="shared" si="367"/>
        <v>0</v>
      </c>
      <c r="R796" s="85"/>
      <c r="S796" s="86">
        <f t="shared" si="368"/>
        <v>183</v>
      </c>
      <c r="T796" s="87">
        <f t="shared" ref="T796:T848" si="384">M796-S796</f>
        <v>-64</v>
      </c>
      <c r="U796">
        <f>112+1+70</f>
        <v>183</v>
      </c>
    </row>
    <row r="797" spans="2:31" ht="20.100000000000001" hidden="1" customHeight="1">
      <c r="B797" s="77">
        <v>8</v>
      </c>
      <c r="C797" s="78" t="s">
        <v>1457</v>
      </c>
      <c r="D797" s="79" t="s">
        <v>1558</v>
      </c>
      <c r="E797" s="80" t="s">
        <v>1559</v>
      </c>
      <c r="F797" s="81">
        <v>51.97</v>
      </c>
      <c r="G797" s="222">
        <v>14</v>
      </c>
      <c r="H797" s="186"/>
      <c r="I797" s="186"/>
      <c r="J797" s="308"/>
      <c r="K797" s="227"/>
      <c r="L797" s="82">
        <f t="shared" si="376"/>
        <v>14</v>
      </c>
      <c r="M797" s="331">
        <v>14</v>
      </c>
      <c r="N797" s="161">
        <f t="shared" ref="N797:N849" si="385">F797*L797</f>
        <v>727.57999999999993</v>
      </c>
      <c r="O797" s="161">
        <f t="shared" ref="O797:O849" si="386">M797*F797</f>
        <v>727.57999999999993</v>
      </c>
      <c r="P797" s="187">
        <f t="shared" ref="P797:P849" si="387">L797-M797</f>
        <v>0</v>
      </c>
      <c r="Q797" s="161">
        <f t="shared" ref="Q797:Q849" si="388">N797-O797</f>
        <v>0</v>
      </c>
      <c r="R797" s="85"/>
      <c r="S797" s="86">
        <f t="shared" ref="S797:S849" si="389">U797+Y797+W797+AA797</f>
        <v>18</v>
      </c>
      <c r="T797" s="87">
        <f t="shared" si="384"/>
        <v>-4</v>
      </c>
      <c r="U797">
        <v>18</v>
      </c>
    </row>
    <row r="798" spans="2:31" ht="20.100000000000001" hidden="1" customHeight="1">
      <c r="B798" s="77">
        <v>8</v>
      </c>
      <c r="C798" s="78" t="s">
        <v>1457</v>
      </c>
      <c r="D798" s="79" t="s">
        <v>1560</v>
      </c>
      <c r="E798" s="80" t="s">
        <v>1561</v>
      </c>
      <c r="F798" s="81">
        <v>6.12</v>
      </c>
      <c r="G798" s="222">
        <v>181</v>
      </c>
      <c r="H798" s="186"/>
      <c r="I798" s="295">
        <v>144</v>
      </c>
      <c r="J798" s="308"/>
      <c r="K798" s="227">
        <v>93</v>
      </c>
      <c r="L798" s="82">
        <f t="shared" si="376"/>
        <v>232</v>
      </c>
      <c r="M798" s="331">
        <v>232</v>
      </c>
      <c r="N798" s="161">
        <f t="shared" si="385"/>
        <v>1419.84</v>
      </c>
      <c r="O798" s="161">
        <f t="shared" si="386"/>
        <v>1419.84</v>
      </c>
      <c r="P798" s="187">
        <f t="shared" si="387"/>
        <v>0</v>
      </c>
      <c r="Q798" s="161">
        <f t="shared" si="388"/>
        <v>0</v>
      </c>
      <c r="R798" s="232" t="s">
        <v>3837</v>
      </c>
      <c r="S798" s="86">
        <f t="shared" si="389"/>
        <v>17</v>
      </c>
      <c r="T798" s="87">
        <f t="shared" si="384"/>
        <v>215</v>
      </c>
      <c r="U798">
        <v>17</v>
      </c>
    </row>
    <row r="799" spans="2:31" ht="20.100000000000001" hidden="1" customHeight="1">
      <c r="B799" s="77">
        <v>8</v>
      </c>
      <c r="C799" s="78" t="s">
        <v>1457</v>
      </c>
      <c r="D799" s="79" t="s">
        <v>1562</v>
      </c>
      <c r="E799" s="80" t="s">
        <v>1563</v>
      </c>
      <c r="F799" s="81">
        <v>34.880000000000003</v>
      </c>
      <c r="G799" s="222"/>
      <c r="H799" s="186"/>
      <c r="I799" s="186"/>
      <c r="J799" s="308"/>
      <c r="K799" s="227"/>
      <c r="L799" s="82">
        <f t="shared" si="376"/>
        <v>0</v>
      </c>
      <c r="M799" s="331"/>
      <c r="N799" s="161">
        <f t="shared" si="385"/>
        <v>0</v>
      </c>
      <c r="O799" s="161">
        <f t="shared" si="386"/>
        <v>0</v>
      </c>
      <c r="P799" s="187">
        <f t="shared" si="387"/>
        <v>0</v>
      </c>
      <c r="Q799" s="161">
        <f t="shared" si="388"/>
        <v>0</v>
      </c>
      <c r="R799" s="232"/>
      <c r="S799" s="86">
        <f t="shared" si="389"/>
        <v>0</v>
      </c>
      <c r="T799" s="87">
        <f t="shared" si="384"/>
        <v>0</v>
      </c>
    </row>
    <row r="800" spans="2:31" ht="20.100000000000001" hidden="1" customHeight="1">
      <c r="B800" s="77">
        <v>8</v>
      </c>
      <c r="C800" s="78" t="s">
        <v>1457</v>
      </c>
      <c r="D800" s="79" t="s">
        <v>1564</v>
      </c>
      <c r="E800" s="80" t="s">
        <v>1565</v>
      </c>
      <c r="F800" s="81">
        <v>51.97</v>
      </c>
      <c r="G800" s="222">
        <v>27</v>
      </c>
      <c r="H800" s="186"/>
      <c r="I800" s="186"/>
      <c r="J800" s="308"/>
      <c r="K800" s="227">
        <v>5</v>
      </c>
      <c r="L800" s="82">
        <f t="shared" si="376"/>
        <v>22</v>
      </c>
      <c r="M800" s="331">
        <v>22</v>
      </c>
      <c r="N800" s="161">
        <f t="shared" si="385"/>
        <v>1143.3399999999999</v>
      </c>
      <c r="O800" s="161">
        <f t="shared" si="386"/>
        <v>1143.3399999999999</v>
      </c>
      <c r="P800" s="187">
        <f t="shared" si="387"/>
        <v>0</v>
      </c>
      <c r="Q800" s="161">
        <f t="shared" si="388"/>
        <v>0</v>
      </c>
      <c r="R800" s="85"/>
      <c r="S800" s="86">
        <f t="shared" si="389"/>
        <v>10</v>
      </c>
      <c r="T800" s="87">
        <f t="shared" si="384"/>
        <v>12</v>
      </c>
      <c r="U800">
        <v>10</v>
      </c>
    </row>
    <row r="801" spans="2:21" ht="20.100000000000001" hidden="1" customHeight="1">
      <c r="B801" s="77">
        <v>8</v>
      </c>
      <c r="C801" s="78" t="s">
        <v>1457</v>
      </c>
      <c r="D801" s="79" t="s">
        <v>1566</v>
      </c>
      <c r="E801" s="80" t="s">
        <v>1567</v>
      </c>
      <c r="F801" s="81">
        <v>35.39</v>
      </c>
      <c r="G801" s="222"/>
      <c r="H801" s="186"/>
      <c r="I801" s="186"/>
      <c r="J801" s="308"/>
      <c r="K801" s="227"/>
      <c r="L801" s="82">
        <f t="shared" si="376"/>
        <v>0</v>
      </c>
      <c r="M801" s="331"/>
      <c r="N801" s="161">
        <f t="shared" si="385"/>
        <v>0</v>
      </c>
      <c r="O801" s="161">
        <f t="shared" si="386"/>
        <v>0</v>
      </c>
      <c r="P801" s="187">
        <f t="shared" si="387"/>
        <v>0</v>
      </c>
      <c r="Q801" s="161">
        <f t="shared" si="388"/>
        <v>0</v>
      </c>
      <c r="R801" s="85"/>
      <c r="S801" s="86">
        <f t="shared" si="389"/>
        <v>0</v>
      </c>
      <c r="T801" s="87">
        <f t="shared" si="384"/>
        <v>0</v>
      </c>
    </row>
    <row r="802" spans="2:21" ht="20.100000000000001" hidden="1" customHeight="1">
      <c r="B802" s="77">
        <v>8</v>
      </c>
      <c r="C802" s="78" t="s">
        <v>1457</v>
      </c>
      <c r="D802" s="79" t="s">
        <v>1568</v>
      </c>
      <c r="E802" s="80" t="s">
        <v>1569</v>
      </c>
      <c r="F802" s="81">
        <v>35.39</v>
      </c>
      <c r="G802" s="222"/>
      <c r="H802" s="186"/>
      <c r="I802" s="186"/>
      <c r="J802" s="308"/>
      <c r="K802" s="227"/>
      <c r="L802" s="82">
        <f t="shared" si="376"/>
        <v>0</v>
      </c>
      <c r="M802" s="331"/>
      <c r="N802" s="161">
        <f t="shared" si="385"/>
        <v>0</v>
      </c>
      <c r="O802" s="161">
        <f t="shared" si="386"/>
        <v>0</v>
      </c>
      <c r="P802" s="187">
        <f t="shared" si="387"/>
        <v>0</v>
      </c>
      <c r="Q802" s="161">
        <f t="shared" si="388"/>
        <v>0</v>
      </c>
      <c r="R802" s="85"/>
      <c r="S802" s="86">
        <f t="shared" si="389"/>
        <v>0</v>
      </c>
      <c r="T802" s="87">
        <f t="shared" si="384"/>
        <v>0</v>
      </c>
    </row>
    <row r="803" spans="2:21" ht="20.100000000000001" hidden="1" customHeight="1">
      <c r="B803" s="77">
        <v>8</v>
      </c>
      <c r="C803" s="78" t="s">
        <v>1457</v>
      </c>
      <c r="D803" s="79" t="s">
        <v>1570</v>
      </c>
      <c r="E803" s="80" t="s">
        <v>1571</v>
      </c>
      <c r="F803" s="81">
        <v>51.97</v>
      </c>
      <c r="G803" s="222">
        <v>30</v>
      </c>
      <c r="H803" s="186"/>
      <c r="I803" s="186">
        <v>60</v>
      </c>
      <c r="J803" s="308"/>
      <c r="K803" s="227">
        <v>31</v>
      </c>
      <c r="L803" s="82">
        <f t="shared" si="376"/>
        <v>59</v>
      </c>
      <c r="M803" s="331">
        <v>59</v>
      </c>
      <c r="N803" s="161">
        <f t="shared" si="385"/>
        <v>3066.23</v>
      </c>
      <c r="O803" s="161">
        <f t="shared" si="386"/>
        <v>3066.23</v>
      </c>
      <c r="P803" s="187">
        <f t="shared" si="387"/>
        <v>0</v>
      </c>
      <c r="Q803" s="161">
        <f t="shared" si="388"/>
        <v>0</v>
      </c>
      <c r="R803" s="85"/>
      <c r="S803" s="86">
        <f t="shared" si="389"/>
        <v>0</v>
      </c>
      <c r="T803" s="87">
        <f t="shared" si="384"/>
        <v>59</v>
      </c>
    </row>
    <row r="804" spans="2:21" ht="20.100000000000001" hidden="1" customHeight="1">
      <c r="B804" s="77">
        <v>8</v>
      </c>
      <c r="C804" s="78" t="s">
        <v>1457</v>
      </c>
      <c r="D804" s="79" t="s">
        <v>1570</v>
      </c>
      <c r="E804" s="80" t="s">
        <v>1571</v>
      </c>
      <c r="F804" s="81">
        <v>51.97</v>
      </c>
      <c r="G804" s="222"/>
      <c r="H804" s="186"/>
      <c r="I804" s="186"/>
      <c r="J804" s="308"/>
      <c r="K804" s="227"/>
      <c r="L804" s="82">
        <f t="shared" si="376"/>
        <v>0</v>
      </c>
      <c r="M804" s="331"/>
      <c r="N804" s="161">
        <f t="shared" si="385"/>
        <v>0</v>
      </c>
      <c r="O804" s="161">
        <f t="shared" si="386"/>
        <v>0</v>
      </c>
      <c r="P804" s="187">
        <f t="shared" si="387"/>
        <v>0</v>
      </c>
      <c r="Q804" s="161">
        <f t="shared" si="388"/>
        <v>0</v>
      </c>
      <c r="R804" s="85"/>
      <c r="S804" s="86">
        <f t="shared" si="389"/>
        <v>0</v>
      </c>
      <c r="T804" s="87">
        <f t="shared" si="384"/>
        <v>0</v>
      </c>
    </row>
    <row r="805" spans="2:21" ht="20.100000000000001" hidden="1" customHeight="1">
      <c r="B805" s="77">
        <v>8</v>
      </c>
      <c r="C805" s="78" t="s">
        <v>1457</v>
      </c>
      <c r="D805" s="79" t="s">
        <v>1572</v>
      </c>
      <c r="E805" s="80" t="s">
        <v>1573</v>
      </c>
      <c r="F805" s="81">
        <v>60.64</v>
      </c>
      <c r="G805" s="222"/>
      <c r="H805" s="186"/>
      <c r="I805" s="186"/>
      <c r="J805" s="308"/>
      <c r="K805" s="227"/>
      <c r="L805" s="82">
        <f t="shared" si="376"/>
        <v>0</v>
      </c>
      <c r="M805" s="331"/>
      <c r="N805" s="161">
        <f t="shared" si="385"/>
        <v>0</v>
      </c>
      <c r="O805" s="161">
        <f t="shared" si="386"/>
        <v>0</v>
      </c>
      <c r="P805" s="187">
        <f t="shared" si="387"/>
        <v>0</v>
      </c>
      <c r="Q805" s="161">
        <f t="shared" si="388"/>
        <v>0</v>
      </c>
      <c r="R805" s="85"/>
      <c r="S805" s="86">
        <f t="shared" si="389"/>
        <v>0</v>
      </c>
      <c r="T805" s="87">
        <f t="shared" si="384"/>
        <v>0</v>
      </c>
    </row>
    <row r="806" spans="2:21" ht="20.100000000000001" hidden="1" customHeight="1">
      <c r="B806" s="77">
        <v>8</v>
      </c>
      <c r="C806" s="78" t="s">
        <v>1457</v>
      </c>
      <c r="D806" s="79" t="s">
        <v>1574</v>
      </c>
      <c r="E806" s="80" t="s">
        <v>1575</v>
      </c>
      <c r="F806" s="81">
        <v>99.09</v>
      </c>
      <c r="G806" s="222"/>
      <c r="H806" s="186"/>
      <c r="I806" s="186"/>
      <c r="J806" s="308"/>
      <c r="K806" s="227"/>
      <c r="L806" s="82">
        <f t="shared" si="376"/>
        <v>0</v>
      </c>
      <c r="M806" s="331"/>
      <c r="N806" s="161">
        <f t="shared" si="385"/>
        <v>0</v>
      </c>
      <c r="O806" s="161">
        <f t="shared" si="386"/>
        <v>0</v>
      </c>
      <c r="P806" s="187">
        <f t="shared" si="387"/>
        <v>0</v>
      </c>
      <c r="Q806" s="161">
        <f t="shared" si="388"/>
        <v>0</v>
      </c>
      <c r="R806" s="85"/>
      <c r="S806" s="86">
        <f t="shared" si="389"/>
        <v>0</v>
      </c>
      <c r="T806" s="87">
        <f t="shared" si="384"/>
        <v>0</v>
      </c>
    </row>
    <row r="807" spans="2:21" ht="20.100000000000001" hidden="1" customHeight="1">
      <c r="B807" s="77">
        <v>8</v>
      </c>
      <c r="C807" s="78" t="s">
        <v>1457</v>
      </c>
      <c r="D807" s="79" t="s">
        <v>1576</v>
      </c>
      <c r="E807" s="80" t="s">
        <v>1577</v>
      </c>
      <c r="F807" s="81">
        <v>56.54</v>
      </c>
      <c r="G807" s="222"/>
      <c r="H807" s="186"/>
      <c r="I807" s="186"/>
      <c r="J807" s="308"/>
      <c r="K807" s="227"/>
      <c r="L807" s="82">
        <f t="shared" si="376"/>
        <v>0</v>
      </c>
      <c r="M807" s="331"/>
      <c r="N807" s="161">
        <f t="shared" si="385"/>
        <v>0</v>
      </c>
      <c r="O807" s="161">
        <f t="shared" si="386"/>
        <v>0</v>
      </c>
      <c r="P807" s="187">
        <f t="shared" si="387"/>
        <v>0</v>
      </c>
      <c r="Q807" s="161">
        <f t="shared" si="388"/>
        <v>0</v>
      </c>
      <c r="R807" s="85"/>
      <c r="S807" s="86">
        <f t="shared" si="389"/>
        <v>0</v>
      </c>
      <c r="T807" s="87">
        <f t="shared" si="384"/>
        <v>0</v>
      </c>
    </row>
    <row r="808" spans="2:21" ht="20.100000000000001" hidden="1" customHeight="1">
      <c r="B808" s="77">
        <v>8</v>
      </c>
      <c r="C808" s="78" t="s">
        <v>1457</v>
      </c>
      <c r="D808" s="79" t="s">
        <v>1578</v>
      </c>
      <c r="E808" s="80" t="s">
        <v>1579</v>
      </c>
      <c r="F808" s="81">
        <v>301.87</v>
      </c>
      <c r="G808" s="222">
        <v>5</v>
      </c>
      <c r="H808" s="186"/>
      <c r="I808" s="186"/>
      <c r="J808" s="308"/>
      <c r="K808" s="227">
        <v>3</v>
      </c>
      <c r="L808" s="82">
        <f t="shared" ref="L808" si="390">G808+I808-J808-K808+H808</f>
        <v>2</v>
      </c>
      <c r="M808" s="331">
        <v>2</v>
      </c>
      <c r="N808" s="161">
        <f t="shared" ref="N808" si="391">F808*L808</f>
        <v>603.74</v>
      </c>
      <c r="O808" s="161">
        <f t="shared" ref="O808" si="392">M808*F808</f>
        <v>603.74</v>
      </c>
      <c r="P808" s="187">
        <f t="shared" ref="P808" si="393">L808-M808</f>
        <v>0</v>
      </c>
      <c r="Q808" s="161">
        <f t="shared" ref="Q808" si="394">N808-O808</f>
        <v>0</v>
      </c>
      <c r="R808" s="85"/>
      <c r="S808" s="86">
        <f t="shared" ref="S808" si="395">U808+Y808+W808+AA808</f>
        <v>0</v>
      </c>
      <c r="T808" s="87">
        <f t="shared" ref="T808" si="396">M808-S808</f>
        <v>2</v>
      </c>
    </row>
    <row r="809" spans="2:21" ht="20.100000000000001" hidden="1" customHeight="1">
      <c r="B809" s="77">
        <v>8</v>
      </c>
      <c r="C809" s="78" t="s">
        <v>1457</v>
      </c>
      <c r="D809" s="79" t="s">
        <v>1578</v>
      </c>
      <c r="E809" s="80" t="s">
        <v>1579</v>
      </c>
      <c r="F809" s="267">
        <v>309.11</v>
      </c>
      <c r="G809" s="222"/>
      <c r="H809" s="186"/>
      <c r="I809" s="186">
        <v>6</v>
      </c>
      <c r="J809" s="308"/>
      <c r="K809" s="227">
        <v>1</v>
      </c>
      <c r="L809" s="82">
        <f t="shared" si="376"/>
        <v>5</v>
      </c>
      <c r="M809" s="331">
        <v>5</v>
      </c>
      <c r="N809" s="161">
        <f t="shared" si="385"/>
        <v>1545.5500000000002</v>
      </c>
      <c r="O809" s="161">
        <f t="shared" si="386"/>
        <v>1545.5500000000002</v>
      </c>
      <c r="P809" s="187">
        <f t="shared" si="387"/>
        <v>0</v>
      </c>
      <c r="Q809" s="161">
        <f t="shared" si="388"/>
        <v>0</v>
      </c>
      <c r="R809" s="85"/>
      <c r="S809" s="86">
        <f t="shared" si="389"/>
        <v>0</v>
      </c>
      <c r="T809" s="87">
        <f t="shared" si="384"/>
        <v>5</v>
      </c>
    </row>
    <row r="810" spans="2:21" ht="20.100000000000001" hidden="1" customHeight="1">
      <c r="B810" s="77">
        <v>8</v>
      </c>
      <c r="C810" s="78" t="s">
        <v>1457</v>
      </c>
      <c r="D810" s="79" t="s">
        <v>1580</v>
      </c>
      <c r="E810" s="80" t="s">
        <v>1581</v>
      </c>
      <c r="F810" s="81">
        <v>6.02</v>
      </c>
      <c r="G810" s="222">
        <v>153</v>
      </c>
      <c r="H810" s="186"/>
      <c r="I810" s="186"/>
      <c r="J810" s="308"/>
      <c r="K810" s="227">
        <v>108</v>
      </c>
      <c r="L810" s="82">
        <f t="shared" si="376"/>
        <v>45</v>
      </c>
      <c r="M810" s="331">
        <v>45</v>
      </c>
      <c r="N810" s="161">
        <f t="shared" si="385"/>
        <v>270.89999999999998</v>
      </c>
      <c r="O810" s="161">
        <f t="shared" si="386"/>
        <v>270.89999999999998</v>
      </c>
      <c r="P810" s="187">
        <f t="shared" si="387"/>
        <v>0</v>
      </c>
      <c r="Q810" s="161">
        <f t="shared" si="388"/>
        <v>0</v>
      </c>
      <c r="R810" s="232"/>
      <c r="S810" s="86">
        <f t="shared" si="389"/>
        <v>0</v>
      </c>
      <c r="T810" s="87">
        <f t="shared" si="384"/>
        <v>45</v>
      </c>
    </row>
    <row r="811" spans="2:21" ht="20.100000000000001" hidden="1" customHeight="1">
      <c r="B811" s="77">
        <v>8</v>
      </c>
      <c r="C811" s="78" t="s">
        <v>1457</v>
      </c>
      <c r="D811" s="79" t="s">
        <v>1582</v>
      </c>
      <c r="E811" s="80" t="s">
        <v>1583</v>
      </c>
      <c r="F811" s="81">
        <v>6.02</v>
      </c>
      <c r="G811" s="222">
        <v>65</v>
      </c>
      <c r="H811" s="186"/>
      <c r="I811" s="186"/>
      <c r="J811" s="308"/>
      <c r="K811" s="227">
        <v>41</v>
      </c>
      <c r="L811" s="82">
        <f t="shared" ref="L811" si="397">G811+I811-J811-K811+H811</f>
        <v>24</v>
      </c>
      <c r="M811" s="331">
        <v>24</v>
      </c>
      <c r="N811" s="161">
        <f t="shared" ref="N811" si="398">F811*L811</f>
        <v>144.47999999999999</v>
      </c>
      <c r="O811" s="161">
        <f t="shared" ref="O811" si="399">M811*F811</f>
        <v>144.47999999999999</v>
      </c>
      <c r="P811" s="187">
        <f t="shared" ref="P811" si="400">L811-M811</f>
        <v>0</v>
      </c>
      <c r="Q811" s="161">
        <f t="shared" ref="Q811" si="401">N811-O811</f>
        <v>0</v>
      </c>
      <c r="R811" s="85"/>
      <c r="S811" s="86">
        <f t="shared" ref="S811" si="402">U811+Y811+W811+AA811</f>
        <v>0</v>
      </c>
      <c r="T811" s="87">
        <f t="shared" ref="T811" si="403">M811-S811</f>
        <v>24</v>
      </c>
    </row>
    <row r="812" spans="2:21" ht="20.100000000000001" hidden="1" customHeight="1">
      <c r="B812" s="77">
        <v>8</v>
      </c>
      <c r="C812" s="78" t="s">
        <v>1457</v>
      </c>
      <c r="D812" s="79" t="s">
        <v>1582</v>
      </c>
      <c r="E812" s="80" t="s">
        <v>1583</v>
      </c>
      <c r="F812" s="267">
        <v>6.12</v>
      </c>
      <c r="G812" s="222"/>
      <c r="H812" s="186"/>
      <c r="I812" s="186">
        <v>72</v>
      </c>
      <c r="J812" s="308"/>
      <c r="K812" s="227">
        <v>36</v>
      </c>
      <c r="L812" s="82">
        <f t="shared" si="376"/>
        <v>36</v>
      </c>
      <c r="M812" s="331">
        <v>36</v>
      </c>
      <c r="N812" s="161">
        <f t="shared" si="385"/>
        <v>220.32</v>
      </c>
      <c r="O812" s="161">
        <f t="shared" si="386"/>
        <v>220.32</v>
      </c>
      <c r="P812" s="187">
        <f t="shared" si="387"/>
        <v>0</v>
      </c>
      <c r="Q812" s="161">
        <f t="shared" si="388"/>
        <v>0</v>
      </c>
      <c r="R812" s="85"/>
      <c r="S812" s="86">
        <f t="shared" si="389"/>
        <v>0</v>
      </c>
      <c r="T812" s="87">
        <f t="shared" si="384"/>
        <v>36</v>
      </c>
    </row>
    <row r="813" spans="2:21" ht="20.100000000000001" hidden="1" customHeight="1">
      <c r="B813" s="77">
        <v>8</v>
      </c>
      <c r="C813" s="78" t="s">
        <v>1457</v>
      </c>
      <c r="D813" s="79" t="s">
        <v>1584</v>
      </c>
      <c r="E813" s="80" t="s">
        <v>1585</v>
      </c>
      <c r="F813" s="81">
        <v>86.29</v>
      </c>
      <c r="G813" s="222"/>
      <c r="H813" s="186"/>
      <c r="I813" s="186"/>
      <c r="J813" s="308"/>
      <c r="K813" s="227"/>
      <c r="L813" s="82">
        <f t="shared" si="376"/>
        <v>0</v>
      </c>
      <c r="M813" s="331"/>
      <c r="N813" s="161">
        <f t="shared" si="385"/>
        <v>0</v>
      </c>
      <c r="O813" s="161">
        <f t="shared" si="386"/>
        <v>0</v>
      </c>
      <c r="P813" s="187">
        <f t="shared" si="387"/>
        <v>0</v>
      </c>
      <c r="Q813" s="161">
        <f t="shared" si="388"/>
        <v>0</v>
      </c>
      <c r="R813" s="232"/>
      <c r="S813" s="86">
        <f t="shared" si="389"/>
        <v>0</v>
      </c>
      <c r="T813" s="87">
        <f t="shared" si="384"/>
        <v>0</v>
      </c>
    </row>
    <row r="814" spans="2:21" ht="20.100000000000001" hidden="1" customHeight="1">
      <c r="B814" s="77">
        <v>8</v>
      </c>
      <c r="C814" s="78" t="s">
        <v>1457</v>
      </c>
      <c r="D814" s="318" t="s">
        <v>3891</v>
      </c>
      <c r="E814" s="319" t="s">
        <v>4379</v>
      </c>
      <c r="F814" s="320">
        <v>6.89</v>
      </c>
      <c r="G814" s="222"/>
      <c r="H814" s="186"/>
      <c r="I814" s="186"/>
      <c r="J814" s="308"/>
      <c r="K814" s="227">
        <v>23</v>
      </c>
      <c r="L814" s="82">
        <f t="shared" ref="L814" si="404">G814+I814-J814-K814+H814</f>
        <v>-23</v>
      </c>
      <c r="M814" s="331">
        <v>17</v>
      </c>
      <c r="N814" s="161">
        <f t="shared" ref="N814" si="405">F814*L814</f>
        <v>-158.47</v>
      </c>
      <c r="O814" s="161">
        <f t="shared" ref="O814" si="406">M814*F814</f>
        <v>117.13</v>
      </c>
      <c r="P814" s="187">
        <f t="shared" ref="P814" si="407">L814-M814</f>
        <v>-40</v>
      </c>
      <c r="Q814" s="161">
        <f t="shared" ref="Q814" si="408">N814-O814</f>
        <v>-275.60000000000002</v>
      </c>
      <c r="R814" s="85"/>
      <c r="S814" s="86">
        <f t="shared" ref="S814" si="409">U814+Y814+W814+AA814</f>
        <v>79</v>
      </c>
      <c r="T814" s="87">
        <f t="shared" ref="T814" si="410">M814-S814</f>
        <v>-62</v>
      </c>
      <c r="U814">
        <v>79</v>
      </c>
    </row>
    <row r="815" spans="2:21" ht="20.100000000000001" hidden="1" customHeight="1">
      <c r="B815" s="77">
        <v>8</v>
      </c>
      <c r="C815" s="78" t="s">
        <v>1457</v>
      </c>
      <c r="D815" s="79" t="s">
        <v>1586</v>
      </c>
      <c r="E815" s="80" t="s">
        <v>1587</v>
      </c>
      <c r="F815" s="81">
        <v>7.14</v>
      </c>
      <c r="G815" s="222">
        <v>4</v>
      </c>
      <c r="H815" s="186"/>
      <c r="I815" s="186"/>
      <c r="J815" s="308"/>
      <c r="K815" s="227">
        <v>11</v>
      </c>
      <c r="L815" s="82">
        <f t="shared" si="376"/>
        <v>-7</v>
      </c>
      <c r="M815" s="331">
        <v>37</v>
      </c>
      <c r="N815" s="161">
        <f t="shared" si="385"/>
        <v>-49.98</v>
      </c>
      <c r="O815" s="161">
        <f t="shared" si="386"/>
        <v>264.18</v>
      </c>
      <c r="P815" s="187">
        <f t="shared" si="387"/>
        <v>-44</v>
      </c>
      <c r="Q815" s="161">
        <f t="shared" si="388"/>
        <v>-314.16000000000003</v>
      </c>
      <c r="R815" s="85"/>
      <c r="S815" s="86">
        <f t="shared" si="389"/>
        <v>79</v>
      </c>
      <c r="T815" s="87">
        <f t="shared" si="384"/>
        <v>-42</v>
      </c>
      <c r="U815">
        <v>79</v>
      </c>
    </row>
    <row r="816" spans="2:21" ht="20.100000000000001" hidden="1" customHeight="1">
      <c r="B816" s="77">
        <v>8</v>
      </c>
      <c r="C816" s="78" t="s">
        <v>1457</v>
      </c>
      <c r="D816" s="79" t="s">
        <v>1588</v>
      </c>
      <c r="E816" s="80" t="s">
        <v>1589</v>
      </c>
      <c r="F816" s="81">
        <v>82.62</v>
      </c>
      <c r="G816" s="222"/>
      <c r="H816" s="186"/>
      <c r="I816" s="186"/>
      <c r="J816" s="308"/>
      <c r="K816" s="227"/>
      <c r="L816" s="82">
        <f t="shared" si="376"/>
        <v>0</v>
      </c>
      <c r="M816" s="331"/>
      <c r="N816" s="161">
        <f t="shared" si="385"/>
        <v>0</v>
      </c>
      <c r="O816" s="161">
        <f t="shared" si="386"/>
        <v>0</v>
      </c>
      <c r="P816" s="187">
        <f t="shared" si="387"/>
        <v>0</v>
      </c>
      <c r="Q816" s="161">
        <f t="shared" si="388"/>
        <v>0</v>
      </c>
      <c r="R816" s="85"/>
      <c r="S816" s="86">
        <f t="shared" si="389"/>
        <v>0</v>
      </c>
      <c r="T816" s="87">
        <f t="shared" si="384"/>
        <v>0</v>
      </c>
    </row>
    <row r="817" spans="2:31" ht="20.100000000000001" hidden="1" customHeight="1">
      <c r="B817" s="77">
        <v>8</v>
      </c>
      <c r="C817" s="78" t="s">
        <v>1457</v>
      </c>
      <c r="D817" s="79" t="s">
        <v>1590</v>
      </c>
      <c r="E817" s="80" t="s">
        <v>1591</v>
      </c>
      <c r="F817" s="81">
        <v>14.38</v>
      </c>
      <c r="G817" s="222">
        <v>5</v>
      </c>
      <c r="H817" s="186"/>
      <c r="I817" s="186"/>
      <c r="J817" s="308"/>
      <c r="K817" s="227">
        <v>17</v>
      </c>
      <c r="L817" s="82">
        <f t="shared" si="376"/>
        <v>-12</v>
      </c>
      <c r="M817" s="331">
        <v>12</v>
      </c>
      <c r="N817" s="161">
        <f t="shared" si="385"/>
        <v>-172.56</v>
      </c>
      <c r="O817" s="161">
        <f t="shared" si="386"/>
        <v>172.56</v>
      </c>
      <c r="P817" s="187">
        <f t="shared" si="387"/>
        <v>-24</v>
      </c>
      <c r="Q817" s="161">
        <f t="shared" si="388"/>
        <v>-345.12</v>
      </c>
      <c r="R817" s="232" t="s">
        <v>3836</v>
      </c>
      <c r="S817" s="86">
        <f t="shared" si="389"/>
        <v>70</v>
      </c>
      <c r="T817" s="87">
        <f t="shared" si="384"/>
        <v>-58</v>
      </c>
      <c r="U817">
        <v>70</v>
      </c>
    </row>
    <row r="818" spans="2:31" ht="20.100000000000001" hidden="1" customHeight="1">
      <c r="B818" s="77">
        <v>8</v>
      </c>
      <c r="C818" s="78" t="s">
        <v>1457</v>
      </c>
      <c r="D818" s="79" t="s">
        <v>1592</v>
      </c>
      <c r="E818" s="80" t="s">
        <v>1593</v>
      </c>
      <c r="F818" s="81">
        <v>86.29</v>
      </c>
      <c r="G818" s="222"/>
      <c r="H818" s="186"/>
      <c r="I818" s="186"/>
      <c r="J818" s="308"/>
      <c r="K818" s="227"/>
      <c r="L818" s="82">
        <f t="shared" si="376"/>
        <v>0</v>
      </c>
      <c r="M818" s="331"/>
      <c r="N818" s="161">
        <f t="shared" si="385"/>
        <v>0</v>
      </c>
      <c r="O818" s="161">
        <f t="shared" si="386"/>
        <v>0</v>
      </c>
      <c r="P818" s="187">
        <f t="shared" si="387"/>
        <v>0</v>
      </c>
      <c r="Q818" s="161">
        <f t="shared" si="388"/>
        <v>0</v>
      </c>
      <c r="R818" s="85"/>
      <c r="S818" s="86">
        <f t="shared" si="389"/>
        <v>0</v>
      </c>
      <c r="T818" s="87">
        <f t="shared" si="384"/>
        <v>0</v>
      </c>
    </row>
    <row r="819" spans="2:31" ht="20.100000000000001" hidden="1" customHeight="1">
      <c r="B819" s="77">
        <v>8</v>
      </c>
      <c r="C819" s="78" t="s">
        <v>1457</v>
      </c>
      <c r="D819" s="79" t="s">
        <v>1594</v>
      </c>
      <c r="E819" s="80" t="s">
        <v>1595</v>
      </c>
      <c r="F819" s="81">
        <v>27.84</v>
      </c>
      <c r="G819" s="222"/>
      <c r="H819" s="186"/>
      <c r="I819" s="186"/>
      <c r="J819" s="308"/>
      <c r="K819" s="227">
        <v>25</v>
      </c>
      <c r="L819" s="82">
        <f t="shared" si="376"/>
        <v>-25</v>
      </c>
      <c r="M819" s="331"/>
      <c r="N819" s="161">
        <f t="shared" si="385"/>
        <v>-696</v>
      </c>
      <c r="O819" s="161">
        <f t="shared" si="386"/>
        <v>0</v>
      </c>
      <c r="P819" s="187">
        <f t="shared" si="387"/>
        <v>-25</v>
      </c>
      <c r="Q819" s="161">
        <f t="shared" si="388"/>
        <v>-696</v>
      </c>
      <c r="R819" s="85"/>
      <c r="S819" s="86">
        <f t="shared" si="389"/>
        <v>0</v>
      </c>
      <c r="T819" s="87">
        <f t="shared" si="384"/>
        <v>0</v>
      </c>
    </row>
    <row r="820" spans="2:31" ht="20.100000000000001" hidden="1" customHeight="1">
      <c r="B820" s="77">
        <v>8</v>
      </c>
      <c r="C820" s="78" t="s">
        <v>1457</v>
      </c>
      <c r="D820" s="79" t="s">
        <v>1596</v>
      </c>
      <c r="E820" s="80" t="s">
        <v>1597</v>
      </c>
      <c r="F820" s="81">
        <v>13.92</v>
      </c>
      <c r="G820" s="222"/>
      <c r="H820" s="186"/>
      <c r="I820" s="186"/>
      <c r="J820" s="308"/>
      <c r="K820" s="227"/>
      <c r="L820" s="82">
        <f t="shared" si="376"/>
        <v>0</v>
      </c>
      <c r="M820" s="331"/>
      <c r="N820" s="161">
        <f t="shared" si="385"/>
        <v>0</v>
      </c>
      <c r="O820" s="161">
        <f t="shared" si="386"/>
        <v>0</v>
      </c>
      <c r="P820" s="187">
        <f t="shared" si="387"/>
        <v>0</v>
      </c>
      <c r="Q820" s="161">
        <f t="shared" si="388"/>
        <v>0</v>
      </c>
      <c r="R820" s="85"/>
      <c r="S820" s="86">
        <f t="shared" si="389"/>
        <v>0</v>
      </c>
      <c r="T820" s="87">
        <f t="shared" si="384"/>
        <v>0</v>
      </c>
    </row>
    <row r="821" spans="2:31" ht="20.100000000000001" hidden="1" customHeight="1">
      <c r="B821" s="77">
        <v>8</v>
      </c>
      <c r="C821" s="78" t="s">
        <v>1457</v>
      </c>
      <c r="D821" s="79" t="s">
        <v>1598</v>
      </c>
      <c r="E821" s="80" t="s">
        <v>1599</v>
      </c>
      <c r="F821" s="81">
        <v>3430</v>
      </c>
      <c r="G821" s="222"/>
      <c r="H821" s="186"/>
      <c r="I821" s="186"/>
      <c r="J821" s="308"/>
      <c r="K821" s="227"/>
      <c r="L821" s="82">
        <f t="shared" si="376"/>
        <v>0</v>
      </c>
      <c r="M821" s="331"/>
      <c r="N821" s="161">
        <f t="shared" si="385"/>
        <v>0</v>
      </c>
      <c r="O821" s="161">
        <f t="shared" si="386"/>
        <v>0</v>
      </c>
      <c r="P821" s="187">
        <f t="shared" si="387"/>
        <v>0</v>
      </c>
      <c r="Q821" s="161">
        <f t="shared" si="388"/>
        <v>0</v>
      </c>
      <c r="R821" s="85"/>
      <c r="S821" s="86">
        <f t="shared" si="389"/>
        <v>0</v>
      </c>
      <c r="T821" s="87">
        <f t="shared" si="384"/>
        <v>0</v>
      </c>
    </row>
    <row r="822" spans="2:31" ht="20.100000000000001" hidden="1" customHeight="1">
      <c r="B822" s="77">
        <v>8</v>
      </c>
      <c r="C822" s="78" t="s">
        <v>1457</v>
      </c>
      <c r="D822" s="79" t="s">
        <v>1600</v>
      </c>
      <c r="E822" s="80" t="s">
        <v>1601</v>
      </c>
      <c r="F822" s="81">
        <v>4.74</v>
      </c>
      <c r="G822" s="222">
        <v>822</v>
      </c>
      <c r="H822" s="186"/>
      <c r="I822" s="186"/>
      <c r="J822" s="308"/>
      <c r="K822" s="227">
        <v>112</v>
      </c>
      <c r="L822" s="82">
        <f t="shared" si="376"/>
        <v>710</v>
      </c>
      <c r="M822" s="331">
        <v>710</v>
      </c>
      <c r="N822" s="161">
        <f t="shared" si="385"/>
        <v>3365.4</v>
      </c>
      <c r="O822" s="161">
        <f t="shared" si="386"/>
        <v>3365.4</v>
      </c>
      <c r="P822" s="187">
        <f t="shared" si="387"/>
        <v>0</v>
      </c>
      <c r="Q822" s="161">
        <f t="shared" si="388"/>
        <v>0</v>
      </c>
      <c r="R822" s="85"/>
      <c r="S822" s="86">
        <f t="shared" si="389"/>
        <v>862</v>
      </c>
      <c r="T822" s="87">
        <f t="shared" si="384"/>
        <v>-152</v>
      </c>
      <c r="U822">
        <f>144+14</f>
        <v>158</v>
      </c>
      <c r="W822">
        <f>16*44</f>
        <v>704</v>
      </c>
      <c r="X822" t="s">
        <v>121</v>
      </c>
      <c r="AD822">
        <f>W822</f>
        <v>704</v>
      </c>
      <c r="AE822" s="89">
        <f>AD822*F822</f>
        <v>3336.96</v>
      </c>
    </row>
    <row r="823" spans="2:31" ht="20.100000000000001" hidden="1" customHeight="1">
      <c r="B823" s="77">
        <v>8</v>
      </c>
      <c r="C823" s="78" t="s">
        <v>1457</v>
      </c>
      <c r="D823" s="79" t="s">
        <v>1602</v>
      </c>
      <c r="E823" s="80" t="s">
        <v>1603</v>
      </c>
      <c r="F823" s="81">
        <v>121.65</v>
      </c>
      <c r="G823" s="222"/>
      <c r="H823" s="186"/>
      <c r="I823" s="186"/>
      <c r="J823" s="308"/>
      <c r="K823" s="227"/>
      <c r="L823" s="82">
        <f t="shared" si="376"/>
        <v>0</v>
      </c>
      <c r="M823" s="331"/>
      <c r="N823" s="161">
        <f t="shared" si="385"/>
        <v>0</v>
      </c>
      <c r="O823" s="161">
        <f t="shared" si="386"/>
        <v>0</v>
      </c>
      <c r="P823" s="187">
        <f t="shared" si="387"/>
        <v>0</v>
      </c>
      <c r="Q823" s="161">
        <f t="shared" si="388"/>
        <v>0</v>
      </c>
      <c r="R823" s="85"/>
      <c r="S823" s="86">
        <f t="shared" si="389"/>
        <v>0</v>
      </c>
      <c r="T823" s="87">
        <f t="shared" si="384"/>
        <v>0</v>
      </c>
    </row>
    <row r="824" spans="2:31" ht="20.100000000000001" hidden="1" customHeight="1">
      <c r="B824" s="77">
        <v>8</v>
      </c>
      <c r="C824" s="78" t="s">
        <v>1457</v>
      </c>
      <c r="D824" s="79" t="s">
        <v>1604</v>
      </c>
      <c r="E824" s="80" t="s">
        <v>1605</v>
      </c>
      <c r="F824" s="81">
        <v>20.8</v>
      </c>
      <c r="G824" s="222">
        <v>18</v>
      </c>
      <c r="H824" s="186"/>
      <c r="I824" s="186"/>
      <c r="J824" s="308"/>
      <c r="K824" s="227">
        <v>17</v>
      </c>
      <c r="L824" s="82">
        <f t="shared" ref="L824" si="411">G824+I824-J824-K824+H824</f>
        <v>1</v>
      </c>
      <c r="M824" s="331">
        <v>1</v>
      </c>
      <c r="N824" s="161">
        <f t="shared" ref="N824" si="412">F824*L824</f>
        <v>20.8</v>
      </c>
      <c r="O824" s="161">
        <f t="shared" ref="O824" si="413">M824*F824</f>
        <v>20.8</v>
      </c>
      <c r="P824" s="187">
        <f t="shared" ref="P824" si="414">L824-M824</f>
        <v>0</v>
      </c>
      <c r="Q824" s="161">
        <f t="shared" ref="Q824" si="415">N824-O824</f>
        <v>0</v>
      </c>
      <c r="R824" s="85"/>
      <c r="S824" s="86">
        <f t="shared" ref="S824" si="416">U824+Y824+W824+AA824</f>
        <v>29</v>
      </c>
      <c r="T824" s="87">
        <f t="shared" ref="T824" si="417">M824-S824</f>
        <v>-28</v>
      </c>
      <c r="U824">
        <v>29</v>
      </c>
    </row>
    <row r="825" spans="2:31" ht="20.100000000000001" hidden="1" customHeight="1">
      <c r="B825" s="77">
        <v>8</v>
      </c>
      <c r="C825" s="78" t="s">
        <v>1457</v>
      </c>
      <c r="D825" s="79" t="s">
        <v>1604</v>
      </c>
      <c r="E825" s="80" t="s">
        <v>1605</v>
      </c>
      <c r="F825" s="273">
        <v>21.84</v>
      </c>
      <c r="G825" s="222"/>
      <c r="H825" s="186"/>
      <c r="I825" s="186">
        <v>60</v>
      </c>
      <c r="J825" s="308"/>
      <c r="K825" s="227">
        <v>9</v>
      </c>
      <c r="L825" s="82">
        <f t="shared" si="376"/>
        <v>51</v>
      </c>
      <c r="M825" s="331">
        <v>51</v>
      </c>
      <c r="N825" s="161">
        <f t="shared" si="385"/>
        <v>1113.8399999999999</v>
      </c>
      <c r="O825" s="161">
        <f t="shared" si="386"/>
        <v>1113.8399999999999</v>
      </c>
      <c r="P825" s="187">
        <f t="shared" si="387"/>
        <v>0</v>
      </c>
      <c r="Q825" s="161">
        <f t="shared" si="388"/>
        <v>0</v>
      </c>
      <c r="R825" s="85"/>
      <c r="S825" s="86">
        <f t="shared" si="389"/>
        <v>29</v>
      </c>
      <c r="T825" s="87">
        <f t="shared" si="384"/>
        <v>22</v>
      </c>
      <c r="U825">
        <v>29</v>
      </c>
    </row>
    <row r="826" spans="2:31" ht="20.100000000000001" hidden="1" customHeight="1">
      <c r="B826" s="77">
        <v>8</v>
      </c>
      <c r="C826" s="78" t="s">
        <v>1457</v>
      </c>
      <c r="D826" s="79" t="s">
        <v>1606</v>
      </c>
      <c r="E826" s="80" t="s">
        <v>1607</v>
      </c>
      <c r="F826" s="81">
        <v>34.049999999999997</v>
      </c>
      <c r="G826" s="222">
        <v>17</v>
      </c>
      <c r="H826" s="186"/>
      <c r="I826" s="186"/>
      <c r="J826" s="308"/>
      <c r="K826" s="227"/>
      <c r="L826" s="82">
        <f t="shared" si="376"/>
        <v>17</v>
      </c>
      <c r="M826" s="331">
        <v>17</v>
      </c>
      <c r="N826" s="161">
        <f t="shared" si="385"/>
        <v>578.84999999999991</v>
      </c>
      <c r="O826" s="161">
        <f t="shared" si="386"/>
        <v>578.84999999999991</v>
      </c>
      <c r="P826" s="187">
        <f t="shared" si="387"/>
        <v>0</v>
      </c>
      <c r="Q826" s="161">
        <f t="shared" si="388"/>
        <v>0</v>
      </c>
      <c r="R826" s="85"/>
      <c r="S826" s="86">
        <f t="shared" si="389"/>
        <v>17</v>
      </c>
      <c r="T826" s="87">
        <f t="shared" si="384"/>
        <v>0</v>
      </c>
      <c r="U826">
        <v>17</v>
      </c>
    </row>
    <row r="827" spans="2:31" ht="20.100000000000001" hidden="1" customHeight="1">
      <c r="B827" s="77">
        <v>8</v>
      </c>
      <c r="C827" s="78" t="s">
        <v>1457</v>
      </c>
      <c r="D827" s="79" t="s">
        <v>1606</v>
      </c>
      <c r="E827" s="80" t="s">
        <v>1607</v>
      </c>
      <c r="F827" s="81">
        <v>34.049999999999997</v>
      </c>
      <c r="G827" s="222"/>
      <c r="H827" s="186"/>
      <c r="I827" s="186"/>
      <c r="J827" s="308"/>
      <c r="K827" s="227"/>
      <c r="L827" s="82">
        <f t="shared" si="376"/>
        <v>0</v>
      </c>
      <c r="M827" s="331"/>
      <c r="N827" s="161">
        <f t="shared" si="385"/>
        <v>0</v>
      </c>
      <c r="O827" s="161">
        <f t="shared" si="386"/>
        <v>0</v>
      </c>
      <c r="P827" s="187">
        <f t="shared" si="387"/>
        <v>0</v>
      </c>
      <c r="Q827" s="161">
        <f t="shared" si="388"/>
        <v>0</v>
      </c>
      <c r="R827" s="85"/>
      <c r="S827" s="86">
        <f t="shared" si="389"/>
        <v>0</v>
      </c>
      <c r="T827" s="87">
        <f t="shared" si="384"/>
        <v>0</v>
      </c>
    </row>
    <row r="828" spans="2:31" ht="20.100000000000001" hidden="1" customHeight="1">
      <c r="B828" s="77">
        <v>8</v>
      </c>
      <c r="C828" s="78" t="s">
        <v>1457</v>
      </c>
      <c r="D828" s="79" t="s">
        <v>1608</v>
      </c>
      <c r="E828" s="80" t="s">
        <v>1609</v>
      </c>
      <c r="F828" s="81">
        <v>36.659999999999997</v>
      </c>
      <c r="G828" s="222">
        <v>23</v>
      </c>
      <c r="H828" s="186"/>
      <c r="I828" s="186"/>
      <c r="J828" s="308"/>
      <c r="K828" s="227">
        <v>1</v>
      </c>
      <c r="L828" s="82">
        <f t="shared" si="376"/>
        <v>22</v>
      </c>
      <c r="M828" s="331">
        <v>22</v>
      </c>
      <c r="N828" s="161">
        <f t="shared" si="385"/>
        <v>806.52</v>
      </c>
      <c r="O828" s="161">
        <f t="shared" si="386"/>
        <v>806.52</v>
      </c>
      <c r="P828" s="187">
        <f t="shared" si="387"/>
        <v>0</v>
      </c>
      <c r="Q828" s="161">
        <f t="shared" si="388"/>
        <v>0</v>
      </c>
      <c r="R828" s="85"/>
      <c r="S828" s="86">
        <f t="shared" si="389"/>
        <v>23</v>
      </c>
      <c r="T828" s="87">
        <f t="shared" si="384"/>
        <v>-1</v>
      </c>
      <c r="U828">
        <v>23</v>
      </c>
    </row>
    <row r="829" spans="2:31" ht="20.100000000000001" hidden="1" customHeight="1">
      <c r="B829" s="77">
        <v>8</v>
      </c>
      <c r="C829" s="78" t="s">
        <v>1457</v>
      </c>
      <c r="D829" s="79" t="s">
        <v>1610</v>
      </c>
      <c r="E829" s="80" t="s">
        <v>1611</v>
      </c>
      <c r="F829" s="81">
        <v>37.47</v>
      </c>
      <c r="G829" s="222"/>
      <c r="H829" s="186"/>
      <c r="I829" s="186">
        <v>24</v>
      </c>
      <c r="J829" s="308"/>
      <c r="K829" s="227">
        <v>9</v>
      </c>
      <c r="L829" s="82">
        <f t="shared" si="376"/>
        <v>15</v>
      </c>
      <c r="M829" s="331">
        <v>15</v>
      </c>
      <c r="N829" s="161">
        <f t="shared" si="385"/>
        <v>562.04999999999995</v>
      </c>
      <c r="O829" s="161">
        <f t="shared" si="386"/>
        <v>562.04999999999995</v>
      </c>
      <c r="P829" s="187">
        <f t="shared" si="387"/>
        <v>0</v>
      </c>
      <c r="Q829" s="161">
        <f t="shared" si="388"/>
        <v>0</v>
      </c>
      <c r="R829" s="85"/>
      <c r="S829" s="86">
        <f t="shared" si="389"/>
        <v>0</v>
      </c>
      <c r="T829" s="87">
        <f t="shared" si="384"/>
        <v>15</v>
      </c>
    </row>
    <row r="830" spans="2:31" ht="20.100000000000001" hidden="1" customHeight="1">
      <c r="B830" s="77">
        <v>8</v>
      </c>
      <c r="C830" s="78" t="s">
        <v>1457</v>
      </c>
      <c r="D830" s="79" t="s">
        <v>1610</v>
      </c>
      <c r="E830" s="80" t="s">
        <v>1611</v>
      </c>
      <c r="F830" s="81">
        <v>35.68</v>
      </c>
      <c r="G830" s="222">
        <v>18</v>
      </c>
      <c r="H830" s="186"/>
      <c r="I830" s="186"/>
      <c r="J830" s="308"/>
      <c r="K830" s="227">
        <v>8</v>
      </c>
      <c r="L830" s="82">
        <f t="shared" si="376"/>
        <v>10</v>
      </c>
      <c r="M830" s="331">
        <v>10</v>
      </c>
      <c r="N830" s="161">
        <f t="shared" si="385"/>
        <v>356.8</v>
      </c>
      <c r="O830" s="161">
        <f t="shared" si="386"/>
        <v>356.8</v>
      </c>
      <c r="P830" s="187">
        <f t="shared" si="387"/>
        <v>0</v>
      </c>
      <c r="Q830" s="161">
        <f t="shared" si="388"/>
        <v>0</v>
      </c>
      <c r="R830" s="85"/>
      <c r="S830" s="86">
        <f t="shared" si="389"/>
        <v>30</v>
      </c>
      <c r="T830" s="87">
        <f t="shared" si="384"/>
        <v>-20</v>
      </c>
      <c r="U830">
        <v>30</v>
      </c>
    </row>
    <row r="831" spans="2:31" ht="20.100000000000001" hidden="1" customHeight="1">
      <c r="B831" s="77">
        <v>8</v>
      </c>
      <c r="C831" s="78" t="s">
        <v>1457</v>
      </c>
      <c r="D831" s="79" t="s">
        <v>1612</v>
      </c>
      <c r="E831" s="80" t="s">
        <v>1613</v>
      </c>
      <c r="F831" s="81">
        <v>31.04</v>
      </c>
      <c r="G831" s="222">
        <v>34</v>
      </c>
      <c r="H831" s="186"/>
      <c r="I831" s="186"/>
      <c r="J831" s="308"/>
      <c r="K831" s="227"/>
      <c r="L831" s="82">
        <f t="shared" si="376"/>
        <v>34</v>
      </c>
      <c r="M831" s="331">
        <v>34</v>
      </c>
      <c r="N831" s="161">
        <f t="shared" si="385"/>
        <v>1055.3599999999999</v>
      </c>
      <c r="O831" s="161">
        <f t="shared" si="386"/>
        <v>1055.3599999999999</v>
      </c>
      <c r="P831" s="187">
        <f t="shared" si="387"/>
        <v>0</v>
      </c>
      <c r="Q831" s="161">
        <f t="shared" si="388"/>
        <v>0</v>
      </c>
      <c r="R831" s="85"/>
      <c r="S831" s="86">
        <f t="shared" si="389"/>
        <v>34</v>
      </c>
      <c r="T831" s="87">
        <f t="shared" si="384"/>
        <v>0</v>
      </c>
      <c r="U831">
        <v>34</v>
      </c>
    </row>
    <row r="832" spans="2:31" ht="20.100000000000001" hidden="1" customHeight="1">
      <c r="B832" s="77">
        <v>8</v>
      </c>
      <c r="C832" s="78" t="s">
        <v>1457</v>
      </c>
      <c r="D832" s="79" t="s">
        <v>1614</v>
      </c>
      <c r="E832" s="80" t="s">
        <v>1615</v>
      </c>
      <c r="F832" s="81">
        <v>13.39</v>
      </c>
      <c r="G832" s="222">
        <v>5</v>
      </c>
      <c r="H832" s="186"/>
      <c r="I832" s="186"/>
      <c r="J832" s="308"/>
      <c r="K832" s="227">
        <v>4</v>
      </c>
      <c r="L832" s="82">
        <f t="shared" si="376"/>
        <v>1</v>
      </c>
      <c r="M832" s="331">
        <v>1</v>
      </c>
      <c r="N832" s="161">
        <f t="shared" si="385"/>
        <v>13.39</v>
      </c>
      <c r="O832" s="161">
        <f t="shared" si="386"/>
        <v>13.39</v>
      </c>
      <c r="P832" s="187">
        <f t="shared" si="387"/>
        <v>0</v>
      </c>
      <c r="Q832" s="161">
        <f t="shared" si="388"/>
        <v>0</v>
      </c>
      <c r="R832" s="85"/>
      <c r="S832" s="86">
        <f t="shared" si="389"/>
        <v>25</v>
      </c>
      <c r="T832" s="87">
        <f t="shared" si="384"/>
        <v>-24</v>
      </c>
      <c r="U832">
        <v>25</v>
      </c>
    </row>
    <row r="833" spans="2:21" ht="20.100000000000001" hidden="1" customHeight="1">
      <c r="B833" s="77">
        <v>8</v>
      </c>
      <c r="C833" s="78" t="s">
        <v>1457</v>
      </c>
      <c r="D833" s="79" t="s">
        <v>1614</v>
      </c>
      <c r="E833" s="80" t="s">
        <v>1615</v>
      </c>
      <c r="F833" s="81">
        <v>13.39</v>
      </c>
      <c r="G833" s="222"/>
      <c r="H833" s="186"/>
      <c r="I833" s="186"/>
      <c r="J833" s="308"/>
      <c r="K833" s="227"/>
      <c r="L833" s="82">
        <f t="shared" si="376"/>
        <v>0</v>
      </c>
      <c r="M833" s="331"/>
      <c r="N833" s="161">
        <f t="shared" si="385"/>
        <v>0</v>
      </c>
      <c r="O833" s="161">
        <f t="shared" si="386"/>
        <v>0</v>
      </c>
      <c r="P833" s="187">
        <f t="shared" si="387"/>
        <v>0</v>
      </c>
      <c r="Q833" s="161">
        <f t="shared" si="388"/>
        <v>0</v>
      </c>
      <c r="R833" s="85"/>
      <c r="S833" s="86">
        <f t="shared" si="389"/>
        <v>0</v>
      </c>
      <c r="T833" s="87">
        <f t="shared" si="384"/>
        <v>0</v>
      </c>
    </row>
    <row r="834" spans="2:21" ht="20.100000000000001" hidden="1" customHeight="1">
      <c r="B834" s="77">
        <v>8</v>
      </c>
      <c r="C834" s="78" t="s">
        <v>1457</v>
      </c>
      <c r="D834" s="79" t="s">
        <v>1616</v>
      </c>
      <c r="E834" s="80" t="s">
        <v>1617</v>
      </c>
      <c r="F834" s="81">
        <v>362.5</v>
      </c>
      <c r="G834" s="222"/>
      <c r="H834" s="186"/>
      <c r="I834" s="186"/>
      <c r="J834" s="308"/>
      <c r="K834" s="227"/>
      <c r="L834" s="82">
        <f t="shared" si="376"/>
        <v>0</v>
      </c>
      <c r="M834" s="331"/>
      <c r="N834" s="161">
        <f t="shared" si="385"/>
        <v>0</v>
      </c>
      <c r="O834" s="161">
        <f t="shared" si="386"/>
        <v>0</v>
      </c>
      <c r="P834" s="187">
        <f t="shared" si="387"/>
        <v>0</v>
      </c>
      <c r="Q834" s="161">
        <f t="shared" si="388"/>
        <v>0</v>
      </c>
      <c r="R834" s="85"/>
      <c r="S834" s="86">
        <f t="shared" si="389"/>
        <v>0</v>
      </c>
      <c r="T834" s="87">
        <f t="shared" si="384"/>
        <v>0</v>
      </c>
    </row>
    <row r="835" spans="2:21" ht="20.100000000000001" hidden="1" customHeight="1">
      <c r="B835" s="77">
        <v>8</v>
      </c>
      <c r="C835" s="78" t="s">
        <v>1457</v>
      </c>
      <c r="D835" s="79" t="s">
        <v>1618</v>
      </c>
      <c r="E835" s="80" t="s">
        <v>1619</v>
      </c>
      <c r="F835" s="81">
        <v>5.61</v>
      </c>
      <c r="G835" s="222">
        <v>68</v>
      </c>
      <c r="H835" s="186"/>
      <c r="I835" s="186"/>
      <c r="J835" s="308"/>
      <c r="K835" s="227"/>
      <c r="L835" s="82">
        <f t="shared" si="376"/>
        <v>68</v>
      </c>
      <c r="M835" s="331">
        <v>68</v>
      </c>
      <c r="N835" s="161">
        <f t="shared" si="385"/>
        <v>381.48</v>
      </c>
      <c r="O835" s="161">
        <f t="shared" si="386"/>
        <v>381.48</v>
      </c>
      <c r="P835" s="187">
        <f t="shared" si="387"/>
        <v>0</v>
      </c>
      <c r="Q835" s="161">
        <f t="shared" si="388"/>
        <v>0</v>
      </c>
      <c r="R835" s="232"/>
      <c r="S835" s="86">
        <f t="shared" si="389"/>
        <v>0</v>
      </c>
      <c r="T835" s="87">
        <f t="shared" si="384"/>
        <v>68</v>
      </c>
    </row>
    <row r="836" spans="2:21" ht="20.100000000000001" hidden="1" customHeight="1">
      <c r="B836" s="77">
        <v>8</v>
      </c>
      <c r="C836" s="78" t="s">
        <v>1457</v>
      </c>
      <c r="D836" s="79" t="s">
        <v>1620</v>
      </c>
      <c r="E836" s="80" t="s">
        <v>1621</v>
      </c>
      <c r="F836" s="81">
        <v>21.67</v>
      </c>
      <c r="G836" s="222">
        <v>3</v>
      </c>
      <c r="H836" s="186"/>
      <c r="I836" s="186"/>
      <c r="J836" s="308"/>
      <c r="K836" s="227"/>
      <c r="L836" s="82">
        <f t="shared" si="376"/>
        <v>3</v>
      </c>
      <c r="M836" s="331">
        <v>3</v>
      </c>
      <c r="N836" s="161">
        <f t="shared" si="385"/>
        <v>65.010000000000005</v>
      </c>
      <c r="O836" s="161">
        <f t="shared" si="386"/>
        <v>65.010000000000005</v>
      </c>
      <c r="P836" s="187">
        <f t="shared" si="387"/>
        <v>0</v>
      </c>
      <c r="Q836" s="161">
        <f t="shared" si="388"/>
        <v>0</v>
      </c>
      <c r="R836" s="85"/>
      <c r="S836" s="86">
        <f t="shared" si="389"/>
        <v>5</v>
      </c>
      <c r="T836" s="87">
        <f t="shared" si="384"/>
        <v>-2</v>
      </c>
      <c r="U836">
        <v>5</v>
      </c>
    </row>
    <row r="837" spans="2:21" ht="20.100000000000001" hidden="1" customHeight="1">
      <c r="B837" s="77">
        <v>8</v>
      </c>
      <c r="C837" s="78" t="s">
        <v>1457</v>
      </c>
      <c r="D837" s="79" t="s">
        <v>1622</v>
      </c>
      <c r="E837" s="80" t="s">
        <v>1623</v>
      </c>
      <c r="F837" s="81">
        <v>37.450000000000003</v>
      </c>
      <c r="G837" s="222">
        <v>15</v>
      </c>
      <c r="H837" s="186"/>
      <c r="I837" s="186"/>
      <c r="J837" s="308"/>
      <c r="K837" s="227"/>
      <c r="L837" s="82">
        <f t="shared" si="376"/>
        <v>15</v>
      </c>
      <c r="M837" s="331">
        <v>15</v>
      </c>
      <c r="N837" s="161">
        <f t="shared" si="385"/>
        <v>561.75</v>
      </c>
      <c r="O837" s="161">
        <f t="shared" si="386"/>
        <v>561.75</v>
      </c>
      <c r="P837" s="187">
        <f t="shared" si="387"/>
        <v>0</v>
      </c>
      <c r="Q837" s="161">
        <f t="shared" si="388"/>
        <v>0</v>
      </c>
      <c r="R837" s="85"/>
      <c r="S837" s="86">
        <f t="shared" si="389"/>
        <v>24</v>
      </c>
      <c r="T837" s="87">
        <f t="shared" si="384"/>
        <v>-9</v>
      </c>
      <c r="U837">
        <v>24</v>
      </c>
    </row>
    <row r="838" spans="2:21" ht="20.100000000000001" hidden="1" customHeight="1">
      <c r="B838" s="77">
        <v>8</v>
      </c>
      <c r="C838" s="78" t="s">
        <v>1457</v>
      </c>
      <c r="D838" s="79" t="s">
        <v>1622</v>
      </c>
      <c r="E838" s="80" t="s">
        <v>1623</v>
      </c>
      <c r="F838" s="81">
        <v>39.33</v>
      </c>
      <c r="G838" s="222"/>
      <c r="H838" s="186"/>
      <c r="I838" s="186">
        <v>24</v>
      </c>
      <c r="J838" s="308"/>
      <c r="K838" s="227"/>
      <c r="L838" s="82">
        <f t="shared" si="376"/>
        <v>24</v>
      </c>
      <c r="M838" s="331">
        <v>24</v>
      </c>
      <c r="N838" s="161">
        <f t="shared" si="385"/>
        <v>943.92</v>
      </c>
      <c r="O838" s="161">
        <f t="shared" si="386"/>
        <v>943.92</v>
      </c>
      <c r="P838" s="187">
        <f t="shared" si="387"/>
        <v>0</v>
      </c>
      <c r="Q838" s="161">
        <f t="shared" si="388"/>
        <v>0</v>
      </c>
      <c r="R838" s="85"/>
      <c r="S838" s="86">
        <f t="shared" si="389"/>
        <v>0</v>
      </c>
      <c r="T838" s="87">
        <f t="shared" si="384"/>
        <v>24</v>
      </c>
    </row>
    <row r="839" spans="2:21" ht="20.100000000000001" hidden="1" customHeight="1">
      <c r="B839" s="77">
        <v>8</v>
      </c>
      <c r="C839" s="78" t="s">
        <v>1457</v>
      </c>
      <c r="D839" s="79" t="s">
        <v>1624</v>
      </c>
      <c r="E839" s="80" t="s">
        <v>1625</v>
      </c>
      <c r="F839" s="81">
        <v>11.02</v>
      </c>
      <c r="G839" s="222">
        <v>5</v>
      </c>
      <c r="H839" s="186"/>
      <c r="I839" s="186"/>
      <c r="J839" s="308"/>
      <c r="K839" s="227"/>
      <c r="L839" s="82">
        <f t="shared" si="376"/>
        <v>5</v>
      </c>
      <c r="M839" s="331">
        <v>5</v>
      </c>
      <c r="N839" s="161">
        <f t="shared" si="385"/>
        <v>55.099999999999994</v>
      </c>
      <c r="O839" s="161">
        <f t="shared" si="386"/>
        <v>55.099999999999994</v>
      </c>
      <c r="P839" s="187">
        <f t="shared" si="387"/>
        <v>0</v>
      </c>
      <c r="Q839" s="161">
        <f t="shared" si="388"/>
        <v>0</v>
      </c>
      <c r="R839" s="85"/>
      <c r="S839" s="86">
        <f t="shared" si="389"/>
        <v>0</v>
      </c>
      <c r="T839" s="87">
        <f t="shared" si="384"/>
        <v>5</v>
      </c>
    </row>
    <row r="840" spans="2:21" ht="20.100000000000001" hidden="1" customHeight="1">
      <c r="B840" s="77">
        <v>8</v>
      </c>
      <c r="C840" s="78" t="s">
        <v>1457</v>
      </c>
      <c r="D840" s="79" t="s">
        <v>1626</v>
      </c>
      <c r="E840" s="80" t="s">
        <v>1627</v>
      </c>
      <c r="F840" s="81">
        <v>35</v>
      </c>
      <c r="G840" s="222">
        <v>2</v>
      </c>
      <c r="H840" s="186"/>
      <c r="I840" s="186"/>
      <c r="J840" s="308"/>
      <c r="K840" s="227"/>
      <c r="L840" s="82">
        <f t="shared" ref="L840" si="418">G840+I840-J840-K840+H840</f>
        <v>2</v>
      </c>
      <c r="M840" s="331">
        <v>2</v>
      </c>
      <c r="N840" s="161">
        <f t="shared" ref="N840" si="419">F840*L840</f>
        <v>70</v>
      </c>
      <c r="O840" s="161">
        <f t="shared" ref="O840" si="420">M840*F840</f>
        <v>70</v>
      </c>
      <c r="P840" s="187">
        <f t="shared" ref="P840" si="421">L840-M840</f>
        <v>0</v>
      </c>
      <c r="Q840" s="161">
        <f t="shared" ref="Q840" si="422">N840-O840</f>
        <v>0</v>
      </c>
      <c r="R840" s="85"/>
      <c r="S840" s="86">
        <f t="shared" ref="S840" si="423">U840+Y840+W840+AA840</f>
        <v>4</v>
      </c>
      <c r="T840" s="87">
        <f t="shared" ref="T840" si="424">M840-S840</f>
        <v>-2</v>
      </c>
      <c r="U840">
        <v>4</v>
      </c>
    </row>
    <row r="841" spans="2:21" ht="20.100000000000001" hidden="1" customHeight="1">
      <c r="B841" s="77">
        <v>8</v>
      </c>
      <c r="C841" s="78" t="s">
        <v>1457</v>
      </c>
      <c r="D841" s="79" t="s">
        <v>1626</v>
      </c>
      <c r="E841" s="80" t="s">
        <v>1627</v>
      </c>
      <c r="F841" s="81">
        <v>37</v>
      </c>
      <c r="G841" s="222"/>
      <c r="H841" s="186"/>
      <c r="I841" s="186">
        <v>24</v>
      </c>
      <c r="J841" s="308"/>
      <c r="K841" s="227"/>
      <c r="L841" s="82">
        <f t="shared" si="376"/>
        <v>24</v>
      </c>
      <c r="M841" s="331">
        <v>24</v>
      </c>
      <c r="N841" s="161">
        <f t="shared" si="385"/>
        <v>888</v>
      </c>
      <c r="O841" s="161">
        <f t="shared" si="386"/>
        <v>888</v>
      </c>
      <c r="P841" s="187">
        <f t="shared" si="387"/>
        <v>0</v>
      </c>
      <c r="Q841" s="161">
        <f t="shared" si="388"/>
        <v>0</v>
      </c>
      <c r="R841" s="85"/>
      <c r="S841" s="86">
        <f t="shared" si="389"/>
        <v>4</v>
      </c>
      <c r="T841" s="87">
        <f t="shared" si="384"/>
        <v>20</v>
      </c>
      <c r="U841">
        <v>4</v>
      </c>
    </row>
    <row r="842" spans="2:21" ht="20.100000000000001" hidden="1" customHeight="1">
      <c r="B842" s="77">
        <v>8</v>
      </c>
      <c r="C842" s="78" t="s">
        <v>1457</v>
      </c>
      <c r="D842" s="79" t="s">
        <v>1628</v>
      </c>
      <c r="E842" s="80" t="s">
        <v>1629</v>
      </c>
      <c r="F842" s="81">
        <v>36</v>
      </c>
      <c r="G842" s="222"/>
      <c r="H842" s="186"/>
      <c r="I842" s="186"/>
      <c r="J842" s="308"/>
      <c r="K842" s="227"/>
      <c r="L842" s="82">
        <f t="shared" si="376"/>
        <v>0</v>
      </c>
      <c r="M842" s="331"/>
      <c r="N842" s="161">
        <f t="shared" si="385"/>
        <v>0</v>
      </c>
      <c r="O842" s="161">
        <f t="shared" si="386"/>
        <v>0</v>
      </c>
      <c r="P842" s="187">
        <f t="shared" si="387"/>
        <v>0</v>
      </c>
      <c r="Q842" s="161">
        <f t="shared" si="388"/>
        <v>0</v>
      </c>
      <c r="R842" s="85"/>
      <c r="S842" s="86">
        <f t="shared" si="389"/>
        <v>0</v>
      </c>
      <c r="T842" s="87">
        <f t="shared" si="384"/>
        <v>0</v>
      </c>
    </row>
    <row r="843" spans="2:21" ht="20.100000000000001" hidden="1" customHeight="1">
      <c r="B843" s="77">
        <v>8</v>
      </c>
      <c r="C843" s="78" t="s">
        <v>1457</v>
      </c>
      <c r="D843" s="79" t="s">
        <v>1630</v>
      </c>
      <c r="E843" s="80" t="s">
        <v>1631</v>
      </c>
      <c r="F843" s="81">
        <v>13.1</v>
      </c>
      <c r="G843" s="222">
        <v>4</v>
      </c>
      <c r="H843" s="186"/>
      <c r="I843" s="186"/>
      <c r="J843" s="308"/>
      <c r="K843" s="69"/>
      <c r="L843" s="82">
        <f t="shared" si="376"/>
        <v>4</v>
      </c>
      <c r="M843" s="331">
        <v>4</v>
      </c>
      <c r="N843" s="161">
        <f t="shared" si="385"/>
        <v>52.4</v>
      </c>
      <c r="O843" s="161">
        <f t="shared" si="386"/>
        <v>52.4</v>
      </c>
      <c r="P843" s="187">
        <f t="shared" si="387"/>
        <v>0</v>
      </c>
      <c r="Q843" s="161">
        <f t="shared" si="388"/>
        <v>0</v>
      </c>
      <c r="R843" s="85"/>
      <c r="S843" s="86">
        <f t="shared" si="389"/>
        <v>6</v>
      </c>
      <c r="T843" s="87">
        <f t="shared" si="384"/>
        <v>-2</v>
      </c>
      <c r="U843">
        <v>6</v>
      </c>
    </row>
    <row r="844" spans="2:21" ht="20.100000000000001" hidden="1" customHeight="1">
      <c r="B844" s="77">
        <v>8</v>
      </c>
      <c r="C844" s="78" t="s">
        <v>1457</v>
      </c>
      <c r="D844" s="79" t="s">
        <v>1632</v>
      </c>
      <c r="E844" s="80" t="s">
        <v>1633</v>
      </c>
      <c r="F844" s="81">
        <v>13.1</v>
      </c>
      <c r="G844" s="222">
        <v>5</v>
      </c>
      <c r="H844" s="186"/>
      <c r="I844" s="186"/>
      <c r="J844" s="308"/>
      <c r="K844" s="227"/>
      <c r="L844" s="82">
        <f t="shared" si="376"/>
        <v>5</v>
      </c>
      <c r="M844" s="331">
        <v>5</v>
      </c>
      <c r="N844" s="161">
        <f t="shared" si="385"/>
        <v>65.5</v>
      </c>
      <c r="O844" s="161">
        <f t="shared" si="386"/>
        <v>65.5</v>
      </c>
      <c r="P844" s="187">
        <f t="shared" si="387"/>
        <v>0</v>
      </c>
      <c r="Q844" s="161">
        <f t="shared" si="388"/>
        <v>0</v>
      </c>
      <c r="R844" s="85"/>
      <c r="S844" s="86">
        <f t="shared" si="389"/>
        <v>0</v>
      </c>
      <c r="T844" s="87">
        <f t="shared" si="384"/>
        <v>5</v>
      </c>
    </row>
    <row r="845" spans="2:21" ht="20.100000000000001" hidden="1" customHeight="1">
      <c r="B845" s="77">
        <v>8</v>
      </c>
      <c r="C845" s="78" t="s">
        <v>1457</v>
      </c>
      <c r="D845" s="79" t="s">
        <v>1634</v>
      </c>
      <c r="E845" s="80" t="s">
        <v>1635</v>
      </c>
      <c r="F845" s="81">
        <v>17.23</v>
      </c>
      <c r="G845" s="222"/>
      <c r="H845" s="186"/>
      <c r="I845" s="186"/>
      <c r="J845" s="308"/>
      <c r="K845" s="227"/>
      <c r="L845" s="82">
        <f t="shared" si="376"/>
        <v>0</v>
      </c>
      <c r="M845" s="331"/>
      <c r="N845" s="161">
        <f t="shared" si="385"/>
        <v>0</v>
      </c>
      <c r="O845" s="161">
        <f t="shared" si="386"/>
        <v>0</v>
      </c>
      <c r="P845" s="187">
        <f t="shared" si="387"/>
        <v>0</v>
      </c>
      <c r="Q845" s="161">
        <f t="shared" si="388"/>
        <v>0</v>
      </c>
      <c r="R845" s="85"/>
      <c r="S845" s="86">
        <f t="shared" si="389"/>
        <v>0</v>
      </c>
      <c r="T845" s="87">
        <f t="shared" si="384"/>
        <v>0</v>
      </c>
    </row>
    <row r="846" spans="2:21" ht="20.100000000000001" hidden="1" customHeight="1">
      <c r="B846" s="77">
        <v>8</v>
      </c>
      <c r="C846" s="78" t="s">
        <v>1457</v>
      </c>
      <c r="D846" s="79" t="s">
        <v>1634</v>
      </c>
      <c r="E846" s="80" t="s">
        <v>1635</v>
      </c>
      <c r="F846" s="81">
        <v>17.62</v>
      </c>
      <c r="G846" s="222">
        <v>3</v>
      </c>
      <c r="H846" s="186"/>
      <c r="I846" s="186"/>
      <c r="J846" s="308"/>
      <c r="K846" s="227"/>
      <c r="L846" s="82">
        <f t="shared" si="376"/>
        <v>3</v>
      </c>
      <c r="M846" s="331">
        <v>3</v>
      </c>
      <c r="N846" s="161">
        <f t="shared" si="385"/>
        <v>52.86</v>
      </c>
      <c r="O846" s="161">
        <f t="shared" si="386"/>
        <v>52.86</v>
      </c>
      <c r="P846" s="187">
        <f t="shared" si="387"/>
        <v>0</v>
      </c>
      <c r="Q846" s="161">
        <f t="shared" si="388"/>
        <v>0</v>
      </c>
      <c r="R846" s="85"/>
      <c r="S846" s="86">
        <f t="shared" si="389"/>
        <v>3</v>
      </c>
      <c r="T846" s="87">
        <f t="shared" si="384"/>
        <v>0</v>
      </c>
      <c r="U846">
        <v>3</v>
      </c>
    </row>
    <row r="847" spans="2:21" ht="20.100000000000001" hidden="1" customHeight="1">
      <c r="B847" s="77">
        <v>8</v>
      </c>
      <c r="C847" s="78" t="s">
        <v>1457</v>
      </c>
      <c r="D847" s="79" t="s">
        <v>1636</v>
      </c>
      <c r="E847" s="80" t="s">
        <v>1637</v>
      </c>
      <c r="F847" s="81">
        <v>67.290000000000006</v>
      </c>
      <c r="G847" s="222">
        <v>13</v>
      </c>
      <c r="H847" s="186"/>
      <c r="I847" s="186"/>
      <c r="J847" s="308"/>
      <c r="K847" s="227">
        <v>13</v>
      </c>
      <c r="L847" s="82">
        <f t="shared" ref="L847:L911" si="425">G847+I847-J847-K847+H847</f>
        <v>0</v>
      </c>
      <c r="M847" s="331"/>
      <c r="N847" s="161">
        <f t="shared" si="385"/>
        <v>0</v>
      </c>
      <c r="O847" s="161">
        <f t="shared" si="386"/>
        <v>0</v>
      </c>
      <c r="P847" s="187">
        <f t="shared" si="387"/>
        <v>0</v>
      </c>
      <c r="Q847" s="161">
        <f t="shared" si="388"/>
        <v>0</v>
      </c>
      <c r="R847" s="232" t="s">
        <v>3829</v>
      </c>
      <c r="S847" s="86">
        <f t="shared" si="389"/>
        <v>0</v>
      </c>
      <c r="T847" s="87">
        <f t="shared" si="384"/>
        <v>0</v>
      </c>
    </row>
    <row r="848" spans="2:21" ht="20.100000000000001" hidden="1" customHeight="1">
      <c r="B848" s="77">
        <v>8</v>
      </c>
      <c r="C848" s="78" t="s">
        <v>1457</v>
      </c>
      <c r="D848" s="79" t="s">
        <v>1638</v>
      </c>
      <c r="E848" s="80" t="s">
        <v>1639</v>
      </c>
      <c r="F848" s="81">
        <v>64.489999999999995</v>
      </c>
      <c r="G848" s="222">
        <v>18</v>
      </c>
      <c r="H848" s="186"/>
      <c r="I848" s="186"/>
      <c r="J848" s="308"/>
      <c r="K848" s="227">
        <v>2</v>
      </c>
      <c r="L848" s="82">
        <f t="shared" si="425"/>
        <v>16</v>
      </c>
      <c r="M848" s="331">
        <v>16</v>
      </c>
      <c r="N848" s="161">
        <f t="shared" si="385"/>
        <v>1031.8399999999999</v>
      </c>
      <c r="O848" s="161">
        <f t="shared" si="386"/>
        <v>1031.8399999999999</v>
      </c>
      <c r="P848" s="187">
        <f t="shared" si="387"/>
        <v>0</v>
      </c>
      <c r="Q848" s="161">
        <f t="shared" si="388"/>
        <v>0</v>
      </c>
      <c r="R848" s="85"/>
      <c r="S848" s="86">
        <f t="shared" si="389"/>
        <v>33</v>
      </c>
      <c r="T848" s="87">
        <f t="shared" si="384"/>
        <v>-17</v>
      </c>
      <c r="U848">
        <v>33</v>
      </c>
    </row>
    <row r="849" spans="2:31" ht="20.100000000000001" hidden="1" customHeight="1">
      <c r="B849" s="77">
        <v>8</v>
      </c>
      <c r="C849" s="78" t="s">
        <v>1457</v>
      </c>
      <c r="D849" s="79" t="s">
        <v>1640</v>
      </c>
      <c r="E849" s="80" t="s">
        <v>1641</v>
      </c>
      <c r="F849" s="81">
        <v>91.25</v>
      </c>
      <c r="G849" s="222"/>
      <c r="H849" s="186"/>
      <c r="I849" s="186"/>
      <c r="J849" s="308"/>
      <c r="K849" s="227"/>
      <c r="L849" s="82">
        <f t="shared" si="425"/>
        <v>0</v>
      </c>
      <c r="M849" s="331"/>
      <c r="N849" s="161">
        <f t="shared" si="385"/>
        <v>0</v>
      </c>
      <c r="O849" s="161">
        <f t="shared" si="386"/>
        <v>0</v>
      </c>
      <c r="P849" s="187">
        <f t="shared" si="387"/>
        <v>0</v>
      </c>
      <c r="Q849" s="161">
        <f t="shared" si="388"/>
        <v>0</v>
      </c>
      <c r="R849" s="85"/>
      <c r="S849" s="86">
        <f t="shared" si="389"/>
        <v>0</v>
      </c>
      <c r="T849" s="87">
        <f t="shared" ref="T849:T912" si="426">M849-S849</f>
        <v>0</v>
      </c>
    </row>
    <row r="850" spans="2:31" ht="20.100000000000001" hidden="1" customHeight="1">
      <c r="B850" s="77">
        <v>8</v>
      </c>
      <c r="C850" s="78" t="s">
        <v>1457</v>
      </c>
      <c r="D850" s="79" t="s">
        <v>1642</v>
      </c>
      <c r="E850" s="80" t="s">
        <v>1643</v>
      </c>
      <c r="F850" s="81">
        <v>15</v>
      </c>
      <c r="G850" s="222"/>
      <c r="H850" s="186"/>
      <c r="I850" s="186"/>
      <c r="J850" s="308"/>
      <c r="K850" s="227"/>
      <c r="L850" s="82">
        <f t="shared" si="425"/>
        <v>0</v>
      </c>
      <c r="M850" s="331"/>
      <c r="N850" s="161">
        <f t="shared" ref="N850:N913" si="427">F850*L850</f>
        <v>0</v>
      </c>
      <c r="O850" s="161">
        <f t="shared" ref="O850:O913" si="428">M850*F850</f>
        <v>0</v>
      </c>
      <c r="P850" s="187">
        <f t="shared" ref="P850:P913" si="429">L850-M850</f>
        <v>0</v>
      </c>
      <c r="Q850" s="161">
        <f t="shared" ref="Q850:Q913" si="430">N850-O850</f>
        <v>0</v>
      </c>
      <c r="R850" s="85"/>
      <c r="S850" s="86">
        <f t="shared" ref="S850:S913" si="431">U850+Y850+W850+AA850</f>
        <v>5</v>
      </c>
      <c r="T850" s="87">
        <f t="shared" si="426"/>
        <v>-5</v>
      </c>
      <c r="U850">
        <v>5</v>
      </c>
    </row>
    <row r="851" spans="2:31" ht="20.100000000000001" hidden="1" customHeight="1">
      <c r="B851" s="77">
        <v>8</v>
      </c>
      <c r="C851" s="78" t="s">
        <v>1457</v>
      </c>
      <c r="D851" s="79" t="s">
        <v>1644</v>
      </c>
      <c r="E851" s="80" t="s">
        <v>1645</v>
      </c>
      <c r="F851" s="81">
        <v>66.75</v>
      </c>
      <c r="G851" s="222">
        <v>22</v>
      </c>
      <c r="H851" s="186"/>
      <c r="I851" s="186"/>
      <c r="J851" s="308"/>
      <c r="K851" s="227"/>
      <c r="L851" s="82">
        <f t="shared" si="425"/>
        <v>22</v>
      </c>
      <c r="M851" s="331">
        <v>22</v>
      </c>
      <c r="N851" s="161">
        <f t="shared" si="427"/>
        <v>1468.5</v>
      </c>
      <c r="O851" s="161">
        <f t="shared" si="428"/>
        <v>1468.5</v>
      </c>
      <c r="P851" s="187">
        <f t="shared" si="429"/>
        <v>0</v>
      </c>
      <c r="Q851" s="161">
        <f t="shared" si="430"/>
        <v>0</v>
      </c>
      <c r="R851" s="91">
        <v>45930</v>
      </c>
      <c r="S851" s="86">
        <f t="shared" si="431"/>
        <v>22</v>
      </c>
      <c r="T851" s="87">
        <f t="shared" si="426"/>
        <v>0</v>
      </c>
      <c r="W851">
        <v>22</v>
      </c>
      <c r="X851" t="s">
        <v>121</v>
      </c>
      <c r="AD851">
        <f>W851</f>
        <v>22</v>
      </c>
      <c r="AE851" s="89">
        <f>AD851*F851</f>
        <v>1468.5</v>
      </c>
    </row>
    <row r="852" spans="2:31" ht="20.100000000000001" hidden="1" customHeight="1">
      <c r="B852" s="77">
        <v>8</v>
      </c>
      <c r="C852" s="78" t="s">
        <v>1457</v>
      </c>
      <c r="D852" s="79" t="s">
        <v>1646</v>
      </c>
      <c r="E852" s="80" t="s">
        <v>1647</v>
      </c>
      <c r="F852" s="81">
        <v>78.5</v>
      </c>
      <c r="G852" s="222">
        <v>17</v>
      </c>
      <c r="H852" s="186"/>
      <c r="I852" s="186"/>
      <c r="J852" s="308"/>
      <c r="K852" s="227"/>
      <c r="L852" s="82">
        <f t="shared" si="425"/>
        <v>17</v>
      </c>
      <c r="M852" s="331">
        <v>17</v>
      </c>
      <c r="N852" s="161">
        <f t="shared" si="427"/>
        <v>1334.5</v>
      </c>
      <c r="O852" s="161">
        <f t="shared" si="428"/>
        <v>1334.5</v>
      </c>
      <c r="P852" s="187">
        <f t="shared" si="429"/>
        <v>0</v>
      </c>
      <c r="Q852" s="161">
        <f t="shared" si="430"/>
        <v>0</v>
      </c>
      <c r="R852" s="91">
        <v>45886</v>
      </c>
      <c r="S852" s="86">
        <f t="shared" si="431"/>
        <v>17</v>
      </c>
      <c r="T852" s="87">
        <f t="shared" si="426"/>
        <v>0</v>
      </c>
      <c r="W852">
        <v>17</v>
      </c>
      <c r="X852" t="s">
        <v>121</v>
      </c>
      <c r="AD852">
        <f>W852</f>
        <v>17</v>
      </c>
      <c r="AE852" s="89">
        <f>AD852*F852</f>
        <v>1334.5</v>
      </c>
    </row>
    <row r="853" spans="2:31" ht="20.100000000000001" hidden="1" customHeight="1">
      <c r="B853" s="77">
        <v>8</v>
      </c>
      <c r="C853" s="78" t="s">
        <v>1457</v>
      </c>
      <c r="D853" s="79" t="s">
        <v>1648</v>
      </c>
      <c r="E853" s="80" t="s">
        <v>1649</v>
      </c>
      <c r="F853" s="81">
        <v>120</v>
      </c>
      <c r="G853" s="222"/>
      <c r="H853" s="186"/>
      <c r="I853" s="186"/>
      <c r="J853" s="308"/>
      <c r="K853" s="227"/>
      <c r="L853" s="82">
        <f t="shared" si="425"/>
        <v>0</v>
      </c>
      <c r="M853" s="331"/>
      <c r="N853" s="161">
        <f t="shared" si="427"/>
        <v>0</v>
      </c>
      <c r="O853" s="161">
        <f t="shared" si="428"/>
        <v>0</v>
      </c>
      <c r="P853" s="187">
        <f t="shared" si="429"/>
        <v>0</v>
      </c>
      <c r="Q853" s="161">
        <f t="shared" si="430"/>
        <v>0</v>
      </c>
      <c r="R853" s="85"/>
      <c r="S853" s="86">
        <f t="shared" si="431"/>
        <v>0</v>
      </c>
      <c r="T853" s="87">
        <f t="shared" si="426"/>
        <v>0</v>
      </c>
    </row>
    <row r="854" spans="2:31" ht="20.100000000000001" hidden="1" customHeight="1">
      <c r="B854" s="77">
        <v>8</v>
      </c>
      <c r="C854" s="78" t="s">
        <v>1457</v>
      </c>
      <c r="D854" s="79" t="s">
        <v>1650</v>
      </c>
      <c r="E854" s="80" t="s">
        <v>1651</v>
      </c>
      <c r="F854" s="81">
        <v>30.25</v>
      </c>
      <c r="G854" s="222"/>
      <c r="H854" s="186"/>
      <c r="I854" s="186"/>
      <c r="J854" s="308"/>
      <c r="K854" s="227"/>
      <c r="L854" s="82">
        <f t="shared" si="425"/>
        <v>0</v>
      </c>
      <c r="M854" s="331"/>
      <c r="N854" s="161">
        <f t="shared" si="427"/>
        <v>0</v>
      </c>
      <c r="O854" s="161">
        <f t="shared" si="428"/>
        <v>0</v>
      </c>
      <c r="P854" s="187">
        <f t="shared" si="429"/>
        <v>0</v>
      </c>
      <c r="Q854" s="161">
        <f t="shared" si="430"/>
        <v>0</v>
      </c>
      <c r="R854" s="85"/>
      <c r="S854" s="86">
        <f t="shared" si="431"/>
        <v>0</v>
      </c>
      <c r="T854" s="87">
        <f t="shared" si="426"/>
        <v>0</v>
      </c>
    </row>
    <row r="855" spans="2:31" ht="20.100000000000001" hidden="1" customHeight="1">
      <c r="B855" s="77">
        <v>8</v>
      </c>
      <c r="C855" s="78" t="s">
        <v>1457</v>
      </c>
      <c r="D855" s="79" t="s">
        <v>1652</v>
      </c>
      <c r="E855" s="80" t="s">
        <v>1653</v>
      </c>
      <c r="F855" s="81">
        <v>100</v>
      </c>
      <c r="G855" s="222"/>
      <c r="H855" s="186"/>
      <c r="I855" s="186"/>
      <c r="J855" s="308"/>
      <c r="K855" s="227"/>
      <c r="L855" s="82">
        <f t="shared" si="425"/>
        <v>0</v>
      </c>
      <c r="M855" s="331"/>
      <c r="N855" s="161">
        <f t="shared" si="427"/>
        <v>0</v>
      </c>
      <c r="O855" s="161">
        <f t="shared" si="428"/>
        <v>0</v>
      </c>
      <c r="P855" s="187">
        <f t="shared" si="429"/>
        <v>0</v>
      </c>
      <c r="Q855" s="161">
        <f t="shared" si="430"/>
        <v>0</v>
      </c>
      <c r="R855" s="85"/>
      <c r="S855" s="86">
        <f t="shared" si="431"/>
        <v>0</v>
      </c>
      <c r="T855" s="87">
        <f t="shared" si="426"/>
        <v>0</v>
      </c>
    </row>
    <row r="856" spans="2:31" ht="20.100000000000001" hidden="1" customHeight="1">
      <c r="B856" s="77">
        <v>8</v>
      </c>
      <c r="C856" s="78" t="s">
        <v>1457</v>
      </c>
      <c r="D856" s="79" t="s">
        <v>1654</v>
      </c>
      <c r="E856" s="80" t="s">
        <v>1655</v>
      </c>
      <c r="F856" s="81">
        <v>63.2</v>
      </c>
      <c r="G856" s="222">
        <v>9</v>
      </c>
      <c r="H856" s="186"/>
      <c r="I856" s="186"/>
      <c r="J856" s="308"/>
      <c r="K856" s="227">
        <v>3</v>
      </c>
      <c r="L856" s="82">
        <f t="shared" si="425"/>
        <v>6</v>
      </c>
      <c r="M856" s="331">
        <v>6</v>
      </c>
      <c r="N856" s="161">
        <f t="shared" si="427"/>
        <v>379.20000000000005</v>
      </c>
      <c r="O856" s="161">
        <f t="shared" si="428"/>
        <v>379.20000000000005</v>
      </c>
      <c r="P856" s="187">
        <f t="shared" si="429"/>
        <v>0</v>
      </c>
      <c r="Q856" s="161">
        <f t="shared" si="430"/>
        <v>0</v>
      </c>
      <c r="R856" s="85"/>
      <c r="S856" s="86">
        <f t="shared" si="431"/>
        <v>12</v>
      </c>
      <c r="T856" s="87">
        <f t="shared" si="426"/>
        <v>-6</v>
      </c>
      <c r="U856">
        <v>12</v>
      </c>
    </row>
    <row r="857" spans="2:31" ht="20.100000000000001" hidden="1" customHeight="1">
      <c r="B857" s="77">
        <v>8</v>
      </c>
      <c r="C857" s="78" t="s">
        <v>1457</v>
      </c>
      <c r="D857" s="79" t="s">
        <v>1656</v>
      </c>
      <c r="E857" s="80" t="s">
        <v>1657</v>
      </c>
      <c r="F857" s="81">
        <v>53.2</v>
      </c>
      <c r="G857" s="222">
        <v>5</v>
      </c>
      <c r="H857" s="186"/>
      <c r="I857" s="186"/>
      <c r="J857" s="308"/>
      <c r="K857" s="227">
        <v>5</v>
      </c>
      <c r="L857" s="82">
        <f t="shared" si="425"/>
        <v>0</v>
      </c>
      <c r="M857" s="331"/>
      <c r="N857" s="161">
        <f t="shared" si="427"/>
        <v>0</v>
      </c>
      <c r="O857" s="161">
        <f t="shared" si="428"/>
        <v>0</v>
      </c>
      <c r="P857" s="187">
        <f t="shared" si="429"/>
        <v>0</v>
      </c>
      <c r="Q857" s="161">
        <f t="shared" si="430"/>
        <v>0</v>
      </c>
      <c r="R857" s="85"/>
      <c r="S857" s="86">
        <f t="shared" si="431"/>
        <v>12</v>
      </c>
      <c r="T857" s="87">
        <f t="shared" si="426"/>
        <v>-12</v>
      </c>
      <c r="U857">
        <v>12</v>
      </c>
    </row>
    <row r="858" spans="2:31" ht="20.100000000000001" hidden="1" customHeight="1">
      <c r="B858" s="77">
        <v>8</v>
      </c>
      <c r="C858" s="78" t="s">
        <v>1457</v>
      </c>
      <c r="D858" s="79" t="s">
        <v>1658</v>
      </c>
      <c r="E858" s="80" t="s">
        <v>1659</v>
      </c>
      <c r="F858" s="81">
        <v>80</v>
      </c>
      <c r="G858" s="222"/>
      <c r="H858" s="186"/>
      <c r="I858" s="186"/>
      <c r="J858" s="308"/>
      <c r="K858" s="227"/>
      <c r="L858" s="82">
        <f t="shared" si="425"/>
        <v>0</v>
      </c>
      <c r="M858" s="331"/>
      <c r="N858" s="161">
        <f t="shared" si="427"/>
        <v>0</v>
      </c>
      <c r="O858" s="161">
        <f t="shared" si="428"/>
        <v>0</v>
      </c>
      <c r="P858" s="187">
        <f t="shared" si="429"/>
        <v>0</v>
      </c>
      <c r="Q858" s="161">
        <f t="shared" si="430"/>
        <v>0</v>
      </c>
      <c r="R858" s="85"/>
      <c r="S858" s="86">
        <f t="shared" si="431"/>
        <v>0</v>
      </c>
      <c r="T858" s="87">
        <f t="shared" si="426"/>
        <v>0</v>
      </c>
    </row>
    <row r="859" spans="2:31" ht="20.100000000000001" hidden="1" customHeight="1">
      <c r="B859" s="77">
        <v>8</v>
      </c>
      <c r="C859" s="78" t="s">
        <v>1457</v>
      </c>
      <c r="D859" s="79" t="s">
        <v>1660</v>
      </c>
      <c r="E859" s="80" t="s">
        <v>1661</v>
      </c>
      <c r="F859" s="81">
        <v>24.75</v>
      </c>
      <c r="G859" s="222">
        <v>13</v>
      </c>
      <c r="H859" s="186"/>
      <c r="I859" s="186"/>
      <c r="J859" s="308"/>
      <c r="K859" s="227"/>
      <c r="L859" s="82">
        <f t="shared" si="425"/>
        <v>13</v>
      </c>
      <c r="M859" s="331">
        <v>13</v>
      </c>
      <c r="N859" s="161">
        <f t="shared" si="427"/>
        <v>321.75</v>
      </c>
      <c r="O859" s="161">
        <f t="shared" si="428"/>
        <v>321.75</v>
      </c>
      <c r="P859" s="187">
        <f t="shared" si="429"/>
        <v>0</v>
      </c>
      <c r="Q859" s="161">
        <f t="shared" si="430"/>
        <v>0</v>
      </c>
      <c r="R859" s="91">
        <v>45023</v>
      </c>
      <c r="S859" s="86">
        <f t="shared" si="431"/>
        <v>13</v>
      </c>
      <c r="T859" s="87">
        <f t="shared" si="426"/>
        <v>0</v>
      </c>
      <c r="W859">
        <v>13</v>
      </c>
      <c r="X859" t="s">
        <v>523</v>
      </c>
      <c r="AD859">
        <f>W859</f>
        <v>13</v>
      </c>
      <c r="AE859" s="89">
        <f>AD859*F859</f>
        <v>321.75</v>
      </c>
    </row>
    <row r="860" spans="2:31" ht="20.100000000000001" hidden="1" customHeight="1">
      <c r="B860" s="77">
        <v>8</v>
      </c>
      <c r="C860" s="78" t="s">
        <v>1457</v>
      </c>
      <c r="D860" s="79" t="s">
        <v>1662</v>
      </c>
      <c r="E860" s="80" t="s">
        <v>1663</v>
      </c>
      <c r="F860" s="81">
        <v>199.95</v>
      </c>
      <c r="G860" s="222"/>
      <c r="H860" s="186"/>
      <c r="I860" s="186"/>
      <c r="J860" s="308"/>
      <c r="K860" s="227"/>
      <c r="L860" s="82">
        <f t="shared" si="425"/>
        <v>0</v>
      </c>
      <c r="M860" s="331"/>
      <c r="N860" s="161">
        <f t="shared" si="427"/>
        <v>0</v>
      </c>
      <c r="O860" s="161">
        <f t="shared" si="428"/>
        <v>0</v>
      </c>
      <c r="P860" s="187">
        <f t="shared" si="429"/>
        <v>0</v>
      </c>
      <c r="Q860" s="161">
        <f t="shared" si="430"/>
        <v>0</v>
      </c>
      <c r="R860" s="85"/>
      <c r="S860" s="86">
        <f t="shared" si="431"/>
        <v>0</v>
      </c>
      <c r="T860" s="87">
        <f t="shared" si="426"/>
        <v>0</v>
      </c>
    </row>
    <row r="861" spans="2:31" ht="20.100000000000001" hidden="1" customHeight="1">
      <c r="B861" s="77">
        <v>8</v>
      </c>
      <c r="C861" s="78" t="s">
        <v>1457</v>
      </c>
      <c r="D861" s="79" t="s">
        <v>1664</v>
      </c>
      <c r="E861" s="80" t="s">
        <v>1665</v>
      </c>
      <c r="F861" s="81">
        <v>10.25</v>
      </c>
      <c r="G861" s="222"/>
      <c r="H861" s="186"/>
      <c r="I861" s="186"/>
      <c r="J861" s="308"/>
      <c r="K861" s="227"/>
      <c r="L861" s="82">
        <f t="shared" si="425"/>
        <v>0</v>
      </c>
      <c r="M861" s="331"/>
      <c r="N861" s="161">
        <f t="shared" si="427"/>
        <v>0</v>
      </c>
      <c r="O861" s="161">
        <f t="shared" si="428"/>
        <v>0</v>
      </c>
      <c r="P861" s="187">
        <f t="shared" si="429"/>
        <v>0</v>
      </c>
      <c r="Q861" s="161">
        <f t="shared" si="430"/>
        <v>0</v>
      </c>
      <c r="R861" s="85"/>
      <c r="S861" s="86">
        <f t="shared" si="431"/>
        <v>0</v>
      </c>
      <c r="T861" s="87">
        <f t="shared" si="426"/>
        <v>0</v>
      </c>
    </row>
    <row r="862" spans="2:31" ht="20.100000000000001" hidden="1" customHeight="1">
      <c r="B862" s="77">
        <v>8</v>
      </c>
      <c r="C862" s="78" t="s">
        <v>1457</v>
      </c>
      <c r="D862" s="79" t="s">
        <v>1666</v>
      </c>
      <c r="E862" s="80" t="s">
        <v>1667</v>
      </c>
      <c r="F862" s="81">
        <v>68</v>
      </c>
      <c r="G862" s="222"/>
      <c r="H862" s="186"/>
      <c r="I862" s="186"/>
      <c r="J862" s="308"/>
      <c r="K862" s="227"/>
      <c r="L862" s="82">
        <f t="shared" si="425"/>
        <v>0</v>
      </c>
      <c r="M862" s="331"/>
      <c r="N862" s="161">
        <f t="shared" si="427"/>
        <v>0</v>
      </c>
      <c r="O862" s="161">
        <f t="shared" si="428"/>
        <v>0</v>
      </c>
      <c r="P862" s="187">
        <f t="shared" si="429"/>
        <v>0</v>
      </c>
      <c r="Q862" s="161">
        <f t="shared" si="430"/>
        <v>0</v>
      </c>
      <c r="R862" s="85"/>
      <c r="S862" s="86">
        <f t="shared" si="431"/>
        <v>0</v>
      </c>
      <c r="T862" s="87">
        <f t="shared" si="426"/>
        <v>0</v>
      </c>
    </row>
    <row r="863" spans="2:31" ht="20.100000000000001" hidden="1" customHeight="1">
      <c r="B863" s="77">
        <v>8</v>
      </c>
      <c r="C863" s="78" t="s">
        <v>1457</v>
      </c>
      <c r="D863" s="79" t="s">
        <v>1668</v>
      </c>
      <c r="E863" s="80" t="s">
        <v>1669</v>
      </c>
      <c r="F863" s="81">
        <v>17.5</v>
      </c>
      <c r="G863" s="222">
        <v>1</v>
      </c>
      <c r="H863" s="186"/>
      <c r="I863" s="186"/>
      <c r="J863" s="308"/>
      <c r="K863" s="227"/>
      <c r="L863" s="82">
        <f t="shared" si="425"/>
        <v>1</v>
      </c>
      <c r="M863" s="331">
        <v>1</v>
      </c>
      <c r="N863" s="161">
        <f t="shared" si="427"/>
        <v>17.5</v>
      </c>
      <c r="O863" s="161">
        <f t="shared" si="428"/>
        <v>17.5</v>
      </c>
      <c r="P863" s="187">
        <f t="shared" si="429"/>
        <v>0</v>
      </c>
      <c r="Q863" s="161">
        <f t="shared" si="430"/>
        <v>0</v>
      </c>
      <c r="R863" s="85" t="s">
        <v>1670</v>
      </c>
      <c r="S863" s="86">
        <f t="shared" si="431"/>
        <v>1</v>
      </c>
      <c r="T863" s="87">
        <f t="shared" si="426"/>
        <v>0</v>
      </c>
      <c r="W863">
        <v>1</v>
      </c>
      <c r="X863" t="s">
        <v>121</v>
      </c>
      <c r="AD863">
        <f>W863</f>
        <v>1</v>
      </c>
      <c r="AE863" s="89">
        <f>AD863*F863</f>
        <v>17.5</v>
      </c>
    </row>
    <row r="864" spans="2:31" ht="20.100000000000001" hidden="1" customHeight="1">
      <c r="B864" s="77">
        <v>8</v>
      </c>
      <c r="C864" s="78" t="s">
        <v>1457</v>
      </c>
      <c r="D864" s="79" t="s">
        <v>1671</v>
      </c>
      <c r="E864" s="80" t="s">
        <v>1672</v>
      </c>
      <c r="F864" s="81">
        <v>26</v>
      </c>
      <c r="G864" s="222"/>
      <c r="H864" s="186"/>
      <c r="I864" s="186"/>
      <c r="J864" s="308"/>
      <c r="K864" s="227"/>
      <c r="L864" s="82">
        <f t="shared" si="425"/>
        <v>0</v>
      </c>
      <c r="M864" s="331"/>
      <c r="N864" s="161">
        <f t="shared" si="427"/>
        <v>0</v>
      </c>
      <c r="O864" s="161">
        <f t="shared" si="428"/>
        <v>0</v>
      </c>
      <c r="P864" s="187">
        <f t="shared" si="429"/>
        <v>0</v>
      </c>
      <c r="Q864" s="161">
        <f t="shared" si="430"/>
        <v>0</v>
      </c>
      <c r="R864" s="85"/>
      <c r="S864" s="86">
        <f t="shared" si="431"/>
        <v>2</v>
      </c>
      <c r="T864" s="87">
        <f t="shared" si="426"/>
        <v>-2</v>
      </c>
      <c r="U864">
        <v>2</v>
      </c>
    </row>
    <row r="865" spans="2:21" ht="20.100000000000001" hidden="1" customHeight="1">
      <c r="B865" s="77">
        <v>8</v>
      </c>
      <c r="C865" s="78" t="s">
        <v>1457</v>
      </c>
      <c r="D865" s="79" t="s">
        <v>1671</v>
      </c>
      <c r="E865" s="80" t="s">
        <v>1672</v>
      </c>
      <c r="F865" s="81">
        <v>26</v>
      </c>
      <c r="G865" s="222"/>
      <c r="H865" s="186"/>
      <c r="I865" s="186"/>
      <c r="J865" s="308"/>
      <c r="K865" s="227"/>
      <c r="L865" s="82">
        <f t="shared" si="425"/>
        <v>0</v>
      </c>
      <c r="M865" s="331"/>
      <c r="N865" s="161">
        <f t="shared" si="427"/>
        <v>0</v>
      </c>
      <c r="O865" s="161">
        <f t="shared" si="428"/>
        <v>0</v>
      </c>
      <c r="P865" s="187">
        <f t="shared" si="429"/>
        <v>0</v>
      </c>
      <c r="Q865" s="161">
        <f t="shared" si="430"/>
        <v>0</v>
      </c>
      <c r="R865" s="85"/>
      <c r="S865" s="86">
        <f t="shared" si="431"/>
        <v>0</v>
      </c>
      <c r="T865" s="87">
        <f t="shared" si="426"/>
        <v>0</v>
      </c>
    </row>
    <row r="866" spans="2:21" ht="20.100000000000001" hidden="1" customHeight="1">
      <c r="B866" s="77">
        <v>8</v>
      </c>
      <c r="C866" s="78" t="s">
        <v>1457</v>
      </c>
      <c r="D866" s="79" t="s">
        <v>1673</v>
      </c>
      <c r="E866" s="80" t="s">
        <v>1674</v>
      </c>
      <c r="F866" s="81">
        <v>250.75</v>
      </c>
      <c r="G866" s="222"/>
      <c r="H866" s="186"/>
      <c r="I866" s="186">
        <v>4</v>
      </c>
      <c r="J866" s="308"/>
      <c r="K866" s="227">
        <v>2</v>
      </c>
      <c r="L866" s="82">
        <f t="shared" si="425"/>
        <v>2</v>
      </c>
      <c r="M866" s="331">
        <v>2</v>
      </c>
      <c r="N866" s="161">
        <f t="shared" si="427"/>
        <v>501.5</v>
      </c>
      <c r="O866" s="161">
        <f t="shared" si="428"/>
        <v>501.5</v>
      </c>
      <c r="P866" s="187">
        <f t="shared" si="429"/>
        <v>0</v>
      </c>
      <c r="Q866" s="161">
        <f t="shared" si="430"/>
        <v>0</v>
      </c>
      <c r="R866" s="85"/>
      <c r="S866" s="86">
        <f t="shared" si="431"/>
        <v>2</v>
      </c>
      <c r="T866" s="87">
        <f t="shared" si="426"/>
        <v>0</v>
      </c>
      <c r="U866">
        <v>2</v>
      </c>
    </row>
    <row r="867" spans="2:21" ht="20.100000000000001" hidden="1" customHeight="1">
      <c r="B867" s="77">
        <v>8</v>
      </c>
      <c r="C867" s="78" t="s">
        <v>1457</v>
      </c>
      <c r="D867" s="79" t="s">
        <v>1675</v>
      </c>
      <c r="E867" s="80" t="s">
        <v>1676</v>
      </c>
      <c r="F867" s="81">
        <v>135.25</v>
      </c>
      <c r="G867" s="222">
        <v>1</v>
      </c>
      <c r="H867" s="186"/>
      <c r="I867" s="186"/>
      <c r="J867" s="308"/>
      <c r="K867" s="227"/>
      <c r="L867" s="82">
        <f t="shared" ref="L867" si="432">G867+I867-J867-K867+H867</f>
        <v>1</v>
      </c>
      <c r="M867" s="331">
        <v>1</v>
      </c>
      <c r="N867" s="161">
        <f t="shared" ref="N867" si="433">F867*L867</f>
        <v>135.25</v>
      </c>
      <c r="O867" s="161">
        <f t="shared" ref="O867" si="434">M867*F867</f>
        <v>135.25</v>
      </c>
      <c r="P867" s="187">
        <f t="shared" ref="P867" si="435">L867-M867</f>
        <v>0</v>
      </c>
      <c r="Q867" s="161">
        <f t="shared" ref="Q867" si="436">N867-O867</f>
        <v>0</v>
      </c>
      <c r="R867" s="85"/>
      <c r="S867" s="86">
        <f t="shared" ref="S867" si="437">U867+Y867+W867+AA867</f>
        <v>6</v>
      </c>
      <c r="T867" s="87">
        <f t="shared" ref="T867" si="438">M867-S867</f>
        <v>-5</v>
      </c>
      <c r="U867">
        <v>6</v>
      </c>
    </row>
    <row r="868" spans="2:21" ht="20.100000000000001" hidden="1" customHeight="1">
      <c r="B868" s="77">
        <v>8</v>
      </c>
      <c r="C868" s="78" t="s">
        <v>1457</v>
      </c>
      <c r="D868" s="79" t="s">
        <v>1675</v>
      </c>
      <c r="E868" s="80" t="s">
        <v>1676</v>
      </c>
      <c r="F868" s="267">
        <v>149</v>
      </c>
      <c r="G868" s="222"/>
      <c r="H868" s="186"/>
      <c r="I868" s="186">
        <v>12</v>
      </c>
      <c r="J868" s="308"/>
      <c r="K868" s="227">
        <v>2</v>
      </c>
      <c r="L868" s="82">
        <f t="shared" si="425"/>
        <v>10</v>
      </c>
      <c r="M868" s="331">
        <v>10</v>
      </c>
      <c r="N868" s="161">
        <f t="shared" si="427"/>
        <v>1490</v>
      </c>
      <c r="O868" s="161">
        <f t="shared" si="428"/>
        <v>1490</v>
      </c>
      <c r="P868" s="187">
        <f t="shared" si="429"/>
        <v>0</v>
      </c>
      <c r="Q868" s="161">
        <f t="shared" si="430"/>
        <v>0</v>
      </c>
      <c r="R868" s="85"/>
      <c r="S868" s="86">
        <f t="shared" si="431"/>
        <v>6</v>
      </c>
      <c r="T868" s="87">
        <f t="shared" si="426"/>
        <v>4</v>
      </c>
      <c r="U868">
        <v>6</v>
      </c>
    </row>
    <row r="869" spans="2:21" ht="20.100000000000001" hidden="1" customHeight="1">
      <c r="B869" s="77">
        <v>8</v>
      </c>
      <c r="C869" s="78" t="s">
        <v>1457</v>
      </c>
      <c r="D869" s="79" t="s">
        <v>1677</v>
      </c>
      <c r="E869" s="80" t="s">
        <v>1678</v>
      </c>
      <c r="F869" s="81">
        <v>42.75</v>
      </c>
      <c r="G869" s="222"/>
      <c r="H869" s="186"/>
      <c r="I869" s="186"/>
      <c r="J869" s="308"/>
      <c r="K869" s="227"/>
      <c r="L869" s="82">
        <f t="shared" si="425"/>
        <v>0</v>
      </c>
      <c r="M869" s="331"/>
      <c r="N869" s="161">
        <f t="shared" si="427"/>
        <v>0</v>
      </c>
      <c r="O869" s="161">
        <f t="shared" si="428"/>
        <v>0</v>
      </c>
      <c r="P869" s="187">
        <f t="shared" si="429"/>
        <v>0</v>
      </c>
      <c r="Q869" s="161">
        <f t="shared" si="430"/>
        <v>0</v>
      </c>
      <c r="R869" s="85"/>
      <c r="S869" s="86">
        <f t="shared" si="431"/>
        <v>14</v>
      </c>
      <c r="T869" s="87">
        <f t="shared" si="426"/>
        <v>-14</v>
      </c>
      <c r="U869">
        <v>14</v>
      </c>
    </row>
    <row r="870" spans="2:21" ht="20.100000000000001" hidden="1" customHeight="1">
      <c r="B870" s="77">
        <v>8</v>
      </c>
      <c r="C870" s="78" t="s">
        <v>1457</v>
      </c>
      <c r="D870" s="79" t="s">
        <v>1679</v>
      </c>
      <c r="E870" s="80" t="s">
        <v>1680</v>
      </c>
      <c r="F870" s="268">
        <v>1670</v>
      </c>
      <c r="G870" s="222"/>
      <c r="H870" s="186"/>
      <c r="I870" s="186">
        <v>2</v>
      </c>
      <c r="J870" s="308"/>
      <c r="K870" s="227">
        <v>2</v>
      </c>
      <c r="L870" s="82">
        <f t="shared" si="425"/>
        <v>0</v>
      </c>
      <c r="M870" s="331"/>
      <c r="N870" s="161">
        <f t="shared" si="427"/>
        <v>0</v>
      </c>
      <c r="O870" s="161">
        <f t="shared" si="428"/>
        <v>0</v>
      </c>
      <c r="P870" s="187">
        <f t="shared" si="429"/>
        <v>0</v>
      </c>
      <c r="Q870" s="161">
        <f t="shared" si="430"/>
        <v>0</v>
      </c>
      <c r="R870" s="85"/>
      <c r="S870" s="86">
        <f t="shared" si="431"/>
        <v>0</v>
      </c>
      <c r="T870" s="87">
        <f t="shared" si="426"/>
        <v>0</v>
      </c>
    </row>
    <row r="871" spans="2:21" ht="20.100000000000001" hidden="1" customHeight="1">
      <c r="B871" s="77">
        <v>8</v>
      </c>
      <c r="C871" s="78" t="s">
        <v>1457</v>
      </c>
      <c r="D871" s="79" t="s">
        <v>1679</v>
      </c>
      <c r="E871" s="80" t="s">
        <v>1680</v>
      </c>
      <c r="F871" s="81">
        <v>1638</v>
      </c>
      <c r="G871" s="222"/>
      <c r="H871" s="186"/>
      <c r="I871" s="186"/>
      <c r="J871" s="308"/>
      <c r="K871" s="227"/>
      <c r="L871" s="82">
        <f t="shared" si="425"/>
        <v>0</v>
      </c>
      <c r="M871" s="331"/>
      <c r="N871" s="161">
        <f t="shared" si="427"/>
        <v>0</v>
      </c>
      <c r="O871" s="161">
        <f t="shared" si="428"/>
        <v>0</v>
      </c>
      <c r="P871" s="187">
        <f t="shared" si="429"/>
        <v>0</v>
      </c>
      <c r="Q871" s="161">
        <f t="shared" si="430"/>
        <v>0</v>
      </c>
      <c r="R871" s="85"/>
      <c r="S871" s="86">
        <f t="shared" si="431"/>
        <v>0</v>
      </c>
      <c r="T871" s="87">
        <f t="shared" si="426"/>
        <v>0</v>
      </c>
    </row>
    <row r="872" spans="2:21" ht="20.100000000000001" hidden="1" customHeight="1">
      <c r="B872" s="77">
        <v>8</v>
      </c>
      <c r="C872" s="78" t="s">
        <v>1457</v>
      </c>
      <c r="D872" s="79" t="s">
        <v>1679</v>
      </c>
      <c r="E872" s="80" t="s">
        <v>1680</v>
      </c>
      <c r="F872" s="81">
        <v>1638</v>
      </c>
      <c r="G872" s="222"/>
      <c r="H872" s="186"/>
      <c r="I872" s="186"/>
      <c r="J872" s="308"/>
      <c r="K872" s="227"/>
      <c r="L872" s="82">
        <f t="shared" si="425"/>
        <v>0</v>
      </c>
      <c r="M872" s="331"/>
      <c r="N872" s="161">
        <f t="shared" si="427"/>
        <v>0</v>
      </c>
      <c r="O872" s="161">
        <f t="shared" si="428"/>
        <v>0</v>
      </c>
      <c r="P872" s="187">
        <f t="shared" si="429"/>
        <v>0</v>
      </c>
      <c r="Q872" s="161">
        <f t="shared" si="430"/>
        <v>0</v>
      </c>
      <c r="R872" s="85"/>
      <c r="S872" s="86">
        <f t="shared" si="431"/>
        <v>0</v>
      </c>
      <c r="T872" s="87">
        <f t="shared" si="426"/>
        <v>0</v>
      </c>
    </row>
    <row r="873" spans="2:21" ht="20.100000000000001" hidden="1" customHeight="1">
      <c r="B873" s="77">
        <v>8</v>
      </c>
      <c r="C873" s="78" t="s">
        <v>1457</v>
      </c>
      <c r="D873" s="79" t="s">
        <v>1679</v>
      </c>
      <c r="E873" s="80" t="s">
        <v>1680</v>
      </c>
      <c r="F873" s="81">
        <v>1638</v>
      </c>
      <c r="G873" s="222"/>
      <c r="H873" s="186"/>
      <c r="I873" s="186"/>
      <c r="J873" s="308"/>
      <c r="K873" s="227"/>
      <c r="L873" s="82">
        <f t="shared" si="425"/>
        <v>0</v>
      </c>
      <c r="M873" s="331"/>
      <c r="N873" s="161">
        <f t="shared" si="427"/>
        <v>0</v>
      </c>
      <c r="O873" s="161">
        <f t="shared" si="428"/>
        <v>0</v>
      </c>
      <c r="P873" s="187">
        <f t="shared" si="429"/>
        <v>0</v>
      </c>
      <c r="Q873" s="161">
        <f t="shared" si="430"/>
        <v>0</v>
      </c>
      <c r="R873" s="85"/>
      <c r="S873" s="86">
        <f t="shared" si="431"/>
        <v>0</v>
      </c>
      <c r="T873" s="87">
        <f t="shared" si="426"/>
        <v>0</v>
      </c>
    </row>
    <row r="874" spans="2:21" ht="20.100000000000001" hidden="1" customHeight="1">
      <c r="B874" s="77">
        <v>8</v>
      </c>
      <c r="C874" s="78" t="s">
        <v>1457</v>
      </c>
      <c r="D874" s="79" t="s">
        <v>1681</v>
      </c>
      <c r="E874" s="80" t="s">
        <v>1682</v>
      </c>
      <c r="F874" s="81">
        <v>31.5</v>
      </c>
      <c r="G874" s="222">
        <v>23</v>
      </c>
      <c r="H874" s="186"/>
      <c r="I874" s="186"/>
      <c r="J874" s="308"/>
      <c r="K874" s="227"/>
      <c r="L874" s="82">
        <f t="shared" si="425"/>
        <v>23</v>
      </c>
      <c r="M874" s="331">
        <v>23</v>
      </c>
      <c r="N874" s="161">
        <f t="shared" si="427"/>
        <v>724.5</v>
      </c>
      <c r="O874" s="161">
        <f t="shared" si="428"/>
        <v>724.5</v>
      </c>
      <c r="P874" s="187">
        <f t="shared" si="429"/>
        <v>0</v>
      </c>
      <c r="Q874" s="161">
        <f t="shared" si="430"/>
        <v>0</v>
      </c>
      <c r="R874" s="85"/>
      <c r="S874" s="86">
        <f t="shared" si="431"/>
        <v>12</v>
      </c>
      <c r="T874" s="87">
        <f t="shared" si="426"/>
        <v>11</v>
      </c>
      <c r="U874">
        <v>12</v>
      </c>
    </row>
    <row r="875" spans="2:21" ht="20.100000000000001" hidden="1" customHeight="1">
      <c r="B875" s="77">
        <v>8</v>
      </c>
      <c r="C875" s="78" t="s">
        <v>1457</v>
      </c>
      <c r="D875" s="79" t="s">
        <v>1683</v>
      </c>
      <c r="E875" s="80" t="s">
        <v>1684</v>
      </c>
      <c r="F875" s="81">
        <v>61</v>
      </c>
      <c r="G875" s="222"/>
      <c r="H875" s="186"/>
      <c r="I875" s="186"/>
      <c r="J875" s="308"/>
      <c r="K875" s="227"/>
      <c r="L875" s="82">
        <f t="shared" si="425"/>
        <v>0</v>
      </c>
      <c r="M875" s="331"/>
      <c r="N875" s="161">
        <f t="shared" si="427"/>
        <v>0</v>
      </c>
      <c r="O875" s="161">
        <f t="shared" si="428"/>
        <v>0</v>
      </c>
      <c r="P875" s="187">
        <f t="shared" si="429"/>
        <v>0</v>
      </c>
      <c r="Q875" s="161">
        <f t="shared" si="430"/>
        <v>0</v>
      </c>
      <c r="R875" s="85"/>
      <c r="S875" s="86">
        <f t="shared" si="431"/>
        <v>0</v>
      </c>
      <c r="T875" s="87">
        <f t="shared" si="426"/>
        <v>0</v>
      </c>
    </row>
    <row r="876" spans="2:21" ht="20.100000000000001" hidden="1" customHeight="1">
      <c r="B876" s="77">
        <v>8</v>
      </c>
      <c r="C876" s="78" t="s">
        <v>1457</v>
      </c>
      <c r="D876" s="79" t="s">
        <v>1685</v>
      </c>
      <c r="E876" s="80" t="s">
        <v>1686</v>
      </c>
      <c r="F876" s="81">
        <v>3250</v>
      </c>
      <c r="G876" s="222"/>
      <c r="H876" s="186"/>
      <c r="I876" s="186"/>
      <c r="J876" s="308"/>
      <c r="K876" s="227"/>
      <c r="L876" s="82">
        <f t="shared" si="425"/>
        <v>0</v>
      </c>
      <c r="M876" s="331"/>
      <c r="N876" s="161">
        <f t="shared" si="427"/>
        <v>0</v>
      </c>
      <c r="O876" s="161">
        <f t="shared" si="428"/>
        <v>0</v>
      </c>
      <c r="P876" s="187">
        <f t="shared" si="429"/>
        <v>0</v>
      </c>
      <c r="Q876" s="161">
        <f t="shared" si="430"/>
        <v>0</v>
      </c>
      <c r="R876" s="85"/>
      <c r="S876" s="86">
        <f t="shared" si="431"/>
        <v>0</v>
      </c>
      <c r="T876" s="87">
        <f t="shared" si="426"/>
        <v>0</v>
      </c>
    </row>
    <row r="877" spans="2:21" ht="20.100000000000001" hidden="1" customHeight="1">
      <c r="B877" s="77">
        <v>8</v>
      </c>
      <c r="C877" s="78" t="s">
        <v>1457</v>
      </c>
      <c r="D877" s="79" t="s">
        <v>1687</v>
      </c>
      <c r="E877" s="80" t="s">
        <v>1688</v>
      </c>
      <c r="F877" s="81">
        <v>20.88</v>
      </c>
      <c r="G877" s="222">
        <v>30</v>
      </c>
      <c r="H877" s="186"/>
      <c r="I877" s="186"/>
      <c r="J877" s="308"/>
      <c r="K877" s="227">
        <v>1</v>
      </c>
      <c r="L877" s="82">
        <f t="shared" si="425"/>
        <v>29</v>
      </c>
      <c r="M877" s="331">
        <v>29</v>
      </c>
      <c r="N877" s="161">
        <f t="shared" si="427"/>
        <v>605.52</v>
      </c>
      <c r="O877" s="161">
        <f t="shared" si="428"/>
        <v>605.52</v>
      </c>
      <c r="P877" s="187">
        <f t="shared" si="429"/>
        <v>0</v>
      </c>
      <c r="Q877" s="161">
        <f t="shared" si="430"/>
        <v>0</v>
      </c>
      <c r="R877" s="85"/>
      <c r="S877" s="86">
        <f t="shared" si="431"/>
        <v>0</v>
      </c>
      <c r="T877" s="87">
        <f t="shared" si="426"/>
        <v>29</v>
      </c>
    </row>
    <row r="878" spans="2:21" ht="20.100000000000001" hidden="1" customHeight="1">
      <c r="B878" s="77">
        <v>8</v>
      </c>
      <c r="C878" s="78" t="s">
        <v>1457</v>
      </c>
      <c r="D878" s="79" t="s">
        <v>1689</v>
      </c>
      <c r="E878" s="80" t="s">
        <v>1690</v>
      </c>
      <c r="F878" s="81">
        <v>17.899999999999999</v>
      </c>
      <c r="G878" s="222"/>
      <c r="H878" s="186"/>
      <c r="I878" s="186"/>
      <c r="J878" s="308"/>
      <c r="K878" s="227"/>
      <c r="L878" s="82">
        <f t="shared" si="425"/>
        <v>0</v>
      </c>
      <c r="M878" s="331"/>
      <c r="N878" s="161">
        <f t="shared" si="427"/>
        <v>0</v>
      </c>
      <c r="O878" s="161">
        <f t="shared" si="428"/>
        <v>0</v>
      </c>
      <c r="P878" s="187">
        <f t="shared" si="429"/>
        <v>0</v>
      </c>
      <c r="Q878" s="161">
        <f t="shared" si="430"/>
        <v>0</v>
      </c>
      <c r="R878" s="85"/>
      <c r="S878" s="86">
        <f t="shared" si="431"/>
        <v>0</v>
      </c>
      <c r="T878" s="87">
        <f t="shared" si="426"/>
        <v>0</v>
      </c>
    </row>
    <row r="879" spans="2:21" ht="20.100000000000001" customHeight="1">
      <c r="B879" s="77">
        <v>8</v>
      </c>
      <c r="C879" s="78" t="s">
        <v>1457</v>
      </c>
      <c r="D879" s="79" t="s">
        <v>1689</v>
      </c>
      <c r="E879" s="80" t="s">
        <v>1690</v>
      </c>
      <c r="F879" s="81">
        <v>17.899999999999999</v>
      </c>
      <c r="G879" s="222">
        <v>25</v>
      </c>
      <c r="H879" s="186"/>
      <c r="I879" s="186"/>
      <c r="J879" s="308"/>
      <c r="K879" s="227">
        <v>2</v>
      </c>
      <c r="L879" s="82">
        <f t="shared" si="425"/>
        <v>23</v>
      </c>
      <c r="M879" s="331">
        <v>22</v>
      </c>
      <c r="N879" s="161">
        <f t="shared" si="427"/>
        <v>411.7</v>
      </c>
      <c r="O879" s="161">
        <f t="shared" si="428"/>
        <v>393.79999999999995</v>
      </c>
      <c r="P879" s="187">
        <f t="shared" si="429"/>
        <v>1</v>
      </c>
      <c r="Q879" s="161">
        <f t="shared" si="430"/>
        <v>17.900000000000034</v>
      </c>
      <c r="R879" s="85"/>
      <c r="S879" s="86">
        <f t="shared" si="431"/>
        <v>39</v>
      </c>
      <c r="T879" s="87">
        <f t="shared" si="426"/>
        <v>-17</v>
      </c>
      <c r="U879">
        <v>39</v>
      </c>
    </row>
    <row r="880" spans="2:21" ht="20.100000000000001" hidden="1" customHeight="1">
      <c r="B880" s="77">
        <v>8</v>
      </c>
      <c r="C880" s="78" t="s">
        <v>1457</v>
      </c>
      <c r="D880" s="79" t="s">
        <v>1691</v>
      </c>
      <c r="E880" s="80" t="s">
        <v>1692</v>
      </c>
      <c r="F880" s="81">
        <v>3050</v>
      </c>
      <c r="G880" s="222"/>
      <c r="H880" s="186"/>
      <c r="I880" s="186"/>
      <c r="J880" s="308"/>
      <c r="K880" s="227"/>
      <c r="L880" s="82">
        <f t="shared" si="425"/>
        <v>0</v>
      </c>
      <c r="M880" s="331"/>
      <c r="N880" s="161">
        <f t="shared" si="427"/>
        <v>0</v>
      </c>
      <c r="O880" s="161">
        <f t="shared" si="428"/>
        <v>0</v>
      </c>
      <c r="P880" s="187">
        <f t="shared" si="429"/>
        <v>0</v>
      </c>
      <c r="Q880" s="161">
        <f t="shared" si="430"/>
        <v>0</v>
      </c>
      <c r="R880" s="85"/>
      <c r="S880" s="86">
        <f t="shared" si="431"/>
        <v>0</v>
      </c>
      <c r="T880" s="87">
        <f t="shared" si="426"/>
        <v>0</v>
      </c>
    </row>
    <row r="881" spans="2:31" ht="20.100000000000001" hidden="1" customHeight="1">
      <c r="B881" s="77">
        <v>9</v>
      </c>
      <c r="C881" s="78" t="s">
        <v>1693</v>
      </c>
      <c r="D881" s="79" t="s">
        <v>1694</v>
      </c>
      <c r="E881" s="80" t="s">
        <v>1695</v>
      </c>
      <c r="F881" s="81">
        <v>75</v>
      </c>
      <c r="G881" s="222">
        <v>32</v>
      </c>
      <c r="H881" s="186"/>
      <c r="I881" s="186"/>
      <c r="J881" s="308"/>
      <c r="K881" s="227"/>
      <c r="L881" s="82">
        <f t="shared" si="425"/>
        <v>32</v>
      </c>
      <c r="M881" s="331">
        <v>32</v>
      </c>
      <c r="N881" s="161">
        <f t="shared" si="427"/>
        <v>2400</v>
      </c>
      <c r="O881" s="161">
        <f t="shared" si="428"/>
        <v>2400</v>
      </c>
      <c r="P881" s="187">
        <f t="shared" si="429"/>
        <v>0</v>
      </c>
      <c r="Q881" s="161">
        <f t="shared" si="430"/>
        <v>0</v>
      </c>
      <c r="R881" s="85" t="s">
        <v>1696</v>
      </c>
      <c r="S881" s="86">
        <f t="shared" si="431"/>
        <v>32</v>
      </c>
      <c r="T881" s="87">
        <f t="shared" si="426"/>
        <v>0</v>
      </c>
      <c r="U881">
        <v>32</v>
      </c>
      <c r="V881" s="88" t="s">
        <v>45</v>
      </c>
      <c r="AD881" s="17">
        <f>M881</f>
        <v>32</v>
      </c>
      <c r="AE881" s="89">
        <f>AD881*F881</f>
        <v>2400</v>
      </c>
    </row>
    <row r="882" spans="2:31" ht="20.100000000000001" hidden="1" customHeight="1">
      <c r="B882" s="77">
        <v>9</v>
      </c>
      <c r="C882" s="78" t="s">
        <v>1693</v>
      </c>
      <c r="D882" s="79" t="s">
        <v>1697</v>
      </c>
      <c r="E882" s="80" t="s">
        <v>1698</v>
      </c>
      <c r="F882" s="81">
        <v>88</v>
      </c>
      <c r="G882" s="222">
        <v>5</v>
      </c>
      <c r="H882" s="186"/>
      <c r="I882" s="186"/>
      <c r="J882" s="308"/>
      <c r="K882" s="227">
        <v>1</v>
      </c>
      <c r="L882" s="82">
        <f t="shared" si="425"/>
        <v>4</v>
      </c>
      <c r="M882" s="331">
        <v>4</v>
      </c>
      <c r="N882" s="161">
        <f t="shared" si="427"/>
        <v>352</v>
      </c>
      <c r="O882" s="161">
        <f t="shared" si="428"/>
        <v>352</v>
      </c>
      <c r="P882" s="187">
        <f t="shared" si="429"/>
        <v>0</v>
      </c>
      <c r="Q882" s="161">
        <f t="shared" si="430"/>
        <v>0</v>
      </c>
      <c r="R882" s="85"/>
      <c r="S882" s="86">
        <f t="shared" si="431"/>
        <v>6</v>
      </c>
      <c r="T882" s="87">
        <f t="shared" si="426"/>
        <v>-2</v>
      </c>
      <c r="U882">
        <v>6</v>
      </c>
    </row>
    <row r="883" spans="2:31" ht="20.100000000000001" hidden="1" customHeight="1">
      <c r="B883" s="77">
        <v>9</v>
      </c>
      <c r="C883" s="78" t="s">
        <v>1693</v>
      </c>
      <c r="D883" s="79" t="s">
        <v>1697</v>
      </c>
      <c r="E883" s="80" t="s">
        <v>1698</v>
      </c>
      <c r="F883" s="81">
        <v>88</v>
      </c>
      <c r="G883" s="222"/>
      <c r="H883" s="186"/>
      <c r="I883" s="186"/>
      <c r="J883" s="308"/>
      <c r="K883" s="227"/>
      <c r="L883" s="82">
        <f t="shared" si="425"/>
        <v>0</v>
      </c>
      <c r="M883" s="331"/>
      <c r="N883" s="161">
        <f t="shared" si="427"/>
        <v>0</v>
      </c>
      <c r="O883" s="161">
        <f t="shared" si="428"/>
        <v>0</v>
      </c>
      <c r="P883" s="187">
        <f t="shared" si="429"/>
        <v>0</v>
      </c>
      <c r="Q883" s="161">
        <f t="shared" si="430"/>
        <v>0</v>
      </c>
      <c r="R883" s="85"/>
      <c r="S883" s="86">
        <f t="shared" si="431"/>
        <v>0</v>
      </c>
      <c r="T883" s="87">
        <f t="shared" si="426"/>
        <v>0</v>
      </c>
    </row>
    <row r="884" spans="2:31" ht="20.100000000000001" hidden="1" customHeight="1">
      <c r="B884" s="77">
        <v>9</v>
      </c>
      <c r="C884" s="78" t="s">
        <v>1693</v>
      </c>
      <c r="D884" s="79" t="s">
        <v>1699</v>
      </c>
      <c r="E884" s="80" t="s">
        <v>1700</v>
      </c>
      <c r="F884" s="81">
        <v>4.96</v>
      </c>
      <c r="G884" s="222">
        <v>4</v>
      </c>
      <c r="H884" s="186"/>
      <c r="I884" s="186"/>
      <c r="J884" s="308"/>
      <c r="K884" s="227"/>
      <c r="L884" s="82">
        <f t="shared" si="425"/>
        <v>4</v>
      </c>
      <c r="M884" s="331">
        <v>4</v>
      </c>
      <c r="N884" s="161">
        <f t="shared" si="427"/>
        <v>19.84</v>
      </c>
      <c r="O884" s="161">
        <f t="shared" si="428"/>
        <v>19.84</v>
      </c>
      <c r="P884" s="187">
        <f t="shared" si="429"/>
        <v>0</v>
      </c>
      <c r="Q884" s="161">
        <f t="shared" si="430"/>
        <v>0</v>
      </c>
      <c r="R884" s="85" t="s">
        <v>1696</v>
      </c>
      <c r="S884" s="86">
        <f t="shared" si="431"/>
        <v>4</v>
      </c>
      <c r="T884" s="87">
        <f t="shared" si="426"/>
        <v>0</v>
      </c>
      <c r="U884">
        <v>4</v>
      </c>
      <c r="V884" s="88" t="s">
        <v>45</v>
      </c>
      <c r="AD884" s="17">
        <f>M884</f>
        <v>4</v>
      </c>
      <c r="AE884">
        <f>AD884*F884</f>
        <v>19.84</v>
      </c>
    </row>
    <row r="885" spans="2:31" ht="20.100000000000001" hidden="1" customHeight="1">
      <c r="B885" s="77">
        <v>9</v>
      </c>
      <c r="C885" s="78" t="s">
        <v>1693</v>
      </c>
      <c r="D885" s="79" t="s">
        <v>1701</v>
      </c>
      <c r="E885" s="80" t="s">
        <v>1702</v>
      </c>
      <c r="F885" s="81">
        <v>54</v>
      </c>
      <c r="G885" s="222">
        <v>6</v>
      </c>
      <c r="H885" s="186"/>
      <c r="I885" s="186"/>
      <c r="J885" s="308"/>
      <c r="K885" s="227"/>
      <c r="L885" s="82">
        <f t="shared" si="425"/>
        <v>6</v>
      </c>
      <c r="M885" s="331">
        <v>6</v>
      </c>
      <c r="N885" s="161">
        <f t="shared" si="427"/>
        <v>324</v>
      </c>
      <c r="O885" s="161">
        <f t="shared" si="428"/>
        <v>324</v>
      </c>
      <c r="P885" s="187">
        <f t="shared" si="429"/>
        <v>0</v>
      </c>
      <c r="Q885" s="161">
        <f t="shared" si="430"/>
        <v>0</v>
      </c>
      <c r="R885" s="85"/>
      <c r="S885" s="86">
        <f t="shared" si="431"/>
        <v>6</v>
      </c>
      <c r="T885" s="87">
        <f t="shared" si="426"/>
        <v>0</v>
      </c>
      <c r="U885">
        <v>6</v>
      </c>
    </row>
    <row r="886" spans="2:31" ht="20.100000000000001" hidden="1" customHeight="1">
      <c r="B886" s="77">
        <v>9</v>
      </c>
      <c r="C886" s="78" t="s">
        <v>1693</v>
      </c>
      <c r="D886" s="79" t="s">
        <v>1703</v>
      </c>
      <c r="E886" s="80" t="s">
        <v>1704</v>
      </c>
      <c r="F886" s="81">
        <v>54</v>
      </c>
      <c r="G886" s="222">
        <v>4</v>
      </c>
      <c r="H886" s="186"/>
      <c r="I886" s="186"/>
      <c r="J886" s="308"/>
      <c r="K886" s="227">
        <v>1</v>
      </c>
      <c r="L886" s="82">
        <f t="shared" si="425"/>
        <v>3</v>
      </c>
      <c r="M886" s="331">
        <v>3</v>
      </c>
      <c r="N886" s="161">
        <f t="shared" si="427"/>
        <v>162</v>
      </c>
      <c r="O886" s="161">
        <f t="shared" si="428"/>
        <v>162</v>
      </c>
      <c r="P886" s="187">
        <f t="shared" si="429"/>
        <v>0</v>
      </c>
      <c r="Q886" s="161">
        <f t="shared" si="430"/>
        <v>0</v>
      </c>
      <c r="R886" s="85"/>
      <c r="S886" s="86">
        <f t="shared" si="431"/>
        <v>6</v>
      </c>
      <c r="T886" s="87">
        <f t="shared" si="426"/>
        <v>-3</v>
      </c>
      <c r="U886">
        <v>6</v>
      </c>
    </row>
    <row r="887" spans="2:31" ht="20.100000000000001" hidden="1" customHeight="1">
      <c r="B887" s="77">
        <v>9</v>
      </c>
      <c r="C887" s="78" t="s">
        <v>1693</v>
      </c>
      <c r="D887" s="79" t="s">
        <v>1705</v>
      </c>
      <c r="E887" s="80" t="s">
        <v>1706</v>
      </c>
      <c r="F887" s="81">
        <v>54</v>
      </c>
      <c r="G887" s="222">
        <v>6</v>
      </c>
      <c r="H887" s="186"/>
      <c r="I887" s="186"/>
      <c r="J887" s="308"/>
      <c r="K887" s="227"/>
      <c r="L887" s="82">
        <f t="shared" si="425"/>
        <v>6</v>
      </c>
      <c r="M887" s="331">
        <v>6</v>
      </c>
      <c r="N887" s="161">
        <f t="shared" si="427"/>
        <v>324</v>
      </c>
      <c r="O887" s="161">
        <f t="shared" si="428"/>
        <v>324</v>
      </c>
      <c r="P887" s="187">
        <f t="shared" si="429"/>
        <v>0</v>
      </c>
      <c r="Q887" s="161">
        <f t="shared" si="430"/>
        <v>0</v>
      </c>
      <c r="R887" s="85"/>
      <c r="S887" s="86">
        <f t="shared" si="431"/>
        <v>6</v>
      </c>
      <c r="T887" s="87">
        <f t="shared" si="426"/>
        <v>0</v>
      </c>
      <c r="U887">
        <v>6</v>
      </c>
    </row>
    <row r="888" spans="2:31" ht="20.100000000000001" hidden="1" customHeight="1">
      <c r="B888" s="77">
        <v>9</v>
      </c>
      <c r="C888" s="78" t="s">
        <v>1693</v>
      </c>
      <c r="D888" s="79" t="s">
        <v>1705</v>
      </c>
      <c r="E888" s="80" t="s">
        <v>1706</v>
      </c>
      <c r="F888" s="81">
        <v>54</v>
      </c>
      <c r="G888" s="222"/>
      <c r="H888" s="186"/>
      <c r="I888" s="186"/>
      <c r="J888" s="308"/>
      <c r="K888" s="227"/>
      <c r="L888" s="82">
        <f t="shared" si="425"/>
        <v>0</v>
      </c>
      <c r="M888" s="331"/>
      <c r="N888" s="161">
        <f t="shared" si="427"/>
        <v>0</v>
      </c>
      <c r="O888" s="161">
        <f t="shared" si="428"/>
        <v>0</v>
      </c>
      <c r="P888" s="187">
        <f t="shared" si="429"/>
        <v>0</v>
      </c>
      <c r="Q888" s="161">
        <f t="shared" si="430"/>
        <v>0</v>
      </c>
      <c r="R888" s="85"/>
      <c r="S888" s="86">
        <f t="shared" si="431"/>
        <v>0</v>
      </c>
      <c r="T888" s="87">
        <f t="shared" si="426"/>
        <v>0</v>
      </c>
    </row>
    <row r="889" spans="2:31" ht="20.100000000000001" hidden="1" customHeight="1">
      <c r="B889" s="77">
        <v>9</v>
      </c>
      <c r="C889" s="78" t="s">
        <v>1693</v>
      </c>
      <c r="D889" s="79" t="s">
        <v>1707</v>
      </c>
      <c r="E889" s="80" t="s">
        <v>1708</v>
      </c>
      <c r="F889" s="81">
        <v>54</v>
      </c>
      <c r="G889" s="222">
        <v>6</v>
      </c>
      <c r="H889" s="186"/>
      <c r="I889" s="186"/>
      <c r="J889" s="308"/>
      <c r="K889" s="227"/>
      <c r="L889" s="82">
        <f t="shared" si="425"/>
        <v>6</v>
      </c>
      <c r="M889" s="331">
        <v>6</v>
      </c>
      <c r="N889" s="161">
        <f t="shared" si="427"/>
        <v>324</v>
      </c>
      <c r="O889" s="161">
        <f t="shared" si="428"/>
        <v>324</v>
      </c>
      <c r="P889" s="187">
        <f t="shared" si="429"/>
        <v>0</v>
      </c>
      <c r="Q889" s="161">
        <f t="shared" si="430"/>
        <v>0</v>
      </c>
      <c r="R889" s="85"/>
      <c r="S889" s="86">
        <f t="shared" si="431"/>
        <v>6</v>
      </c>
      <c r="T889" s="87">
        <f t="shared" si="426"/>
        <v>0</v>
      </c>
      <c r="U889">
        <v>6</v>
      </c>
    </row>
    <row r="890" spans="2:31" ht="20.100000000000001" hidden="1" customHeight="1">
      <c r="B890" s="77">
        <v>9</v>
      </c>
      <c r="C890" s="78" t="s">
        <v>1693</v>
      </c>
      <c r="D890" s="79" t="s">
        <v>1707</v>
      </c>
      <c r="E890" s="80" t="s">
        <v>1708</v>
      </c>
      <c r="F890" s="81">
        <v>54</v>
      </c>
      <c r="G890" s="222"/>
      <c r="H890" s="186"/>
      <c r="I890" s="186"/>
      <c r="J890" s="308"/>
      <c r="K890" s="227"/>
      <c r="L890" s="82">
        <f t="shared" si="425"/>
        <v>0</v>
      </c>
      <c r="M890" s="331"/>
      <c r="N890" s="161">
        <f t="shared" si="427"/>
        <v>0</v>
      </c>
      <c r="O890" s="161">
        <f t="shared" si="428"/>
        <v>0</v>
      </c>
      <c r="P890" s="187">
        <f t="shared" si="429"/>
        <v>0</v>
      </c>
      <c r="Q890" s="161">
        <f t="shared" si="430"/>
        <v>0</v>
      </c>
      <c r="R890" s="85"/>
      <c r="S890" s="86">
        <f t="shared" si="431"/>
        <v>0</v>
      </c>
      <c r="T890" s="87">
        <f t="shared" si="426"/>
        <v>0</v>
      </c>
    </row>
    <row r="891" spans="2:31" ht="20.100000000000001" hidden="1" customHeight="1">
      <c r="B891" s="77">
        <v>9</v>
      </c>
      <c r="C891" s="78" t="s">
        <v>1693</v>
      </c>
      <c r="D891" s="79" t="s">
        <v>1709</v>
      </c>
      <c r="E891" s="80" t="s">
        <v>1710</v>
      </c>
      <c r="F891" s="81">
        <v>27</v>
      </c>
      <c r="G891" s="222"/>
      <c r="H891" s="186"/>
      <c r="I891" s="186"/>
      <c r="J891" s="308"/>
      <c r="K891" s="227"/>
      <c r="L891" s="82">
        <f t="shared" si="425"/>
        <v>0</v>
      </c>
      <c r="M891" s="331"/>
      <c r="N891" s="161">
        <f t="shared" si="427"/>
        <v>0</v>
      </c>
      <c r="O891" s="161">
        <f t="shared" si="428"/>
        <v>0</v>
      </c>
      <c r="P891" s="187">
        <f t="shared" si="429"/>
        <v>0</v>
      </c>
      <c r="Q891" s="161">
        <f t="shared" si="430"/>
        <v>0</v>
      </c>
      <c r="R891" s="85"/>
      <c r="S891" s="86">
        <f t="shared" si="431"/>
        <v>0</v>
      </c>
      <c r="T891" s="87">
        <f t="shared" si="426"/>
        <v>0</v>
      </c>
    </row>
    <row r="892" spans="2:31" ht="20.100000000000001" hidden="1" customHeight="1">
      <c r="B892" s="77">
        <v>9</v>
      </c>
      <c r="C892" s="78" t="s">
        <v>1693</v>
      </c>
      <c r="D892" s="79" t="s">
        <v>1711</v>
      </c>
      <c r="E892" s="80" t="s">
        <v>1712</v>
      </c>
      <c r="F892" s="81">
        <v>37</v>
      </c>
      <c r="G892" s="222">
        <v>5</v>
      </c>
      <c r="H892" s="186"/>
      <c r="I892" s="186"/>
      <c r="J892" s="308"/>
      <c r="K892" s="227"/>
      <c r="L892" s="82">
        <f t="shared" si="425"/>
        <v>5</v>
      </c>
      <c r="M892" s="331">
        <v>5</v>
      </c>
      <c r="N892" s="161">
        <f t="shared" si="427"/>
        <v>185</v>
      </c>
      <c r="O892" s="161">
        <f t="shared" si="428"/>
        <v>185</v>
      </c>
      <c r="P892" s="187">
        <f t="shared" si="429"/>
        <v>0</v>
      </c>
      <c r="Q892" s="161">
        <f t="shared" si="430"/>
        <v>0</v>
      </c>
      <c r="R892" s="232"/>
      <c r="S892" s="86">
        <f t="shared" si="431"/>
        <v>6</v>
      </c>
      <c r="T892" s="87">
        <f t="shared" si="426"/>
        <v>-1</v>
      </c>
      <c r="U892">
        <v>6</v>
      </c>
    </row>
    <row r="893" spans="2:31" ht="20.100000000000001" hidden="1" customHeight="1">
      <c r="B893" s="77">
        <v>9</v>
      </c>
      <c r="C893" s="78" t="s">
        <v>1693</v>
      </c>
      <c r="D893" s="79" t="s">
        <v>1713</v>
      </c>
      <c r="E893" s="80" t="s">
        <v>1714</v>
      </c>
      <c r="F893" s="81">
        <v>54</v>
      </c>
      <c r="G893" s="222"/>
      <c r="H893" s="186"/>
      <c r="I893" s="186"/>
      <c r="J893" s="308"/>
      <c r="K893" s="227"/>
      <c r="L893" s="82">
        <f t="shared" si="425"/>
        <v>0</v>
      </c>
      <c r="M893" s="331"/>
      <c r="N893" s="161">
        <f t="shared" si="427"/>
        <v>0</v>
      </c>
      <c r="O893" s="161">
        <f t="shared" si="428"/>
        <v>0</v>
      </c>
      <c r="P893" s="187">
        <f t="shared" si="429"/>
        <v>0</v>
      </c>
      <c r="Q893" s="161">
        <f t="shared" si="430"/>
        <v>0</v>
      </c>
      <c r="R893" s="85"/>
      <c r="S893" s="86">
        <f t="shared" si="431"/>
        <v>0</v>
      </c>
      <c r="T893" s="87">
        <f t="shared" si="426"/>
        <v>0</v>
      </c>
    </row>
    <row r="894" spans="2:31" ht="20.100000000000001" hidden="1" customHeight="1">
      <c r="B894" s="77">
        <v>9</v>
      </c>
      <c r="C894" s="78" t="s">
        <v>1693</v>
      </c>
      <c r="D894" s="79" t="s">
        <v>1713</v>
      </c>
      <c r="E894" s="80" t="s">
        <v>1714</v>
      </c>
      <c r="F894" s="81">
        <v>54</v>
      </c>
      <c r="G894" s="222">
        <v>6</v>
      </c>
      <c r="H894" s="186"/>
      <c r="I894" s="186"/>
      <c r="J894" s="308"/>
      <c r="K894" s="227">
        <v>1</v>
      </c>
      <c r="L894" s="82">
        <f t="shared" si="425"/>
        <v>5</v>
      </c>
      <c r="M894" s="331">
        <v>5</v>
      </c>
      <c r="N894" s="161">
        <f t="shared" si="427"/>
        <v>270</v>
      </c>
      <c r="O894" s="161">
        <f t="shared" si="428"/>
        <v>270</v>
      </c>
      <c r="P894" s="187">
        <f t="shared" si="429"/>
        <v>0</v>
      </c>
      <c r="Q894" s="161">
        <f t="shared" si="430"/>
        <v>0</v>
      </c>
      <c r="R894" s="85"/>
      <c r="S894" s="86">
        <f t="shared" si="431"/>
        <v>0</v>
      </c>
      <c r="T894" s="87">
        <f t="shared" si="426"/>
        <v>5</v>
      </c>
    </row>
    <row r="895" spans="2:31" ht="20.100000000000001" hidden="1" customHeight="1">
      <c r="B895" s="77">
        <v>9</v>
      </c>
      <c r="C895" s="78" t="s">
        <v>1693</v>
      </c>
      <c r="D895" s="79" t="s">
        <v>1715</v>
      </c>
      <c r="E895" s="80" t="s">
        <v>1716</v>
      </c>
      <c r="F895" s="81">
        <v>37</v>
      </c>
      <c r="G895" s="222">
        <v>4</v>
      </c>
      <c r="H895" s="186"/>
      <c r="I895" s="186"/>
      <c r="J895" s="308"/>
      <c r="K895" s="227"/>
      <c r="L895" s="82">
        <f t="shared" si="425"/>
        <v>4</v>
      </c>
      <c r="M895" s="331">
        <v>4</v>
      </c>
      <c r="N895" s="161">
        <f t="shared" si="427"/>
        <v>148</v>
      </c>
      <c r="O895" s="161">
        <f t="shared" si="428"/>
        <v>148</v>
      </c>
      <c r="P895" s="187">
        <f t="shared" si="429"/>
        <v>0</v>
      </c>
      <c r="Q895" s="161">
        <f t="shared" si="430"/>
        <v>0</v>
      </c>
      <c r="R895" s="85"/>
      <c r="S895" s="86">
        <f t="shared" si="431"/>
        <v>6</v>
      </c>
      <c r="T895" s="87">
        <f t="shared" si="426"/>
        <v>-2</v>
      </c>
      <c r="U895">
        <v>6</v>
      </c>
    </row>
    <row r="896" spans="2:31" ht="20.100000000000001" hidden="1" customHeight="1">
      <c r="B896" s="77">
        <v>9</v>
      </c>
      <c r="C896" s="78" t="s">
        <v>1693</v>
      </c>
      <c r="D896" s="79" t="s">
        <v>1717</v>
      </c>
      <c r="E896" s="80" t="s">
        <v>1718</v>
      </c>
      <c r="F896" s="81">
        <v>37</v>
      </c>
      <c r="G896" s="222">
        <v>6</v>
      </c>
      <c r="H896" s="186"/>
      <c r="I896" s="186"/>
      <c r="J896" s="308"/>
      <c r="K896" s="227"/>
      <c r="L896" s="82">
        <f t="shared" si="425"/>
        <v>6</v>
      </c>
      <c r="M896" s="331">
        <v>6</v>
      </c>
      <c r="N896" s="161">
        <f t="shared" si="427"/>
        <v>222</v>
      </c>
      <c r="O896" s="161">
        <f t="shared" si="428"/>
        <v>222</v>
      </c>
      <c r="P896" s="187">
        <f t="shared" si="429"/>
        <v>0</v>
      </c>
      <c r="Q896" s="161">
        <f t="shared" si="430"/>
        <v>0</v>
      </c>
      <c r="R896" s="85"/>
      <c r="S896" s="86">
        <f t="shared" si="431"/>
        <v>6</v>
      </c>
      <c r="T896" s="87">
        <f t="shared" si="426"/>
        <v>0</v>
      </c>
      <c r="U896">
        <v>6</v>
      </c>
    </row>
    <row r="897" spans="2:31" ht="20.100000000000001" hidden="1" customHeight="1">
      <c r="B897" s="77">
        <v>9</v>
      </c>
      <c r="C897" s="78" t="s">
        <v>1693</v>
      </c>
      <c r="D897" s="79" t="s">
        <v>1719</v>
      </c>
      <c r="E897" s="80" t="s">
        <v>1720</v>
      </c>
      <c r="F897" s="81">
        <v>37</v>
      </c>
      <c r="G897" s="222">
        <v>5</v>
      </c>
      <c r="H897" s="186"/>
      <c r="I897" s="186"/>
      <c r="J897" s="308"/>
      <c r="K897" s="227"/>
      <c r="L897" s="82">
        <f t="shared" si="425"/>
        <v>5</v>
      </c>
      <c r="M897" s="331">
        <v>5</v>
      </c>
      <c r="N897" s="161">
        <f t="shared" si="427"/>
        <v>185</v>
      </c>
      <c r="O897" s="161">
        <f t="shared" si="428"/>
        <v>185</v>
      </c>
      <c r="P897" s="187">
        <f t="shared" si="429"/>
        <v>0</v>
      </c>
      <c r="Q897" s="161">
        <f t="shared" si="430"/>
        <v>0</v>
      </c>
      <c r="R897" s="85"/>
      <c r="S897" s="86">
        <f t="shared" si="431"/>
        <v>6</v>
      </c>
      <c r="T897" s="87">
        <f t="shared" si="426"/>
        <v>-1</v>
      </c>
      <c r="U897">
        <v>6</v>
      </c>
    </row>
    <row r="898" spans="2:31" ht="20.100000000000001" hidden="1" customHeight="1">
      <c r="B898" s="77">
        <v>9</v>
      </c>
      <c r="C898" s="78" t="s">
        <v>1693</v>
      </c>
      <c r="D898" s="79" t="s">
        <v>1721</v>
      </c>
      <c r="E898" s="80" t="s">
        <v>1722</v>
      </c>
      <c r="F898" s="81">
        <v>37</v>
      </c>
      <c r="G898" s="222">
        <v>6</v>
      </c>
      <c r="H898" s="186"/>
      <c r="I898" s="186"/>
      <c r="J898" s="308"/>
      <c r="K898" s="227"/>
      <c r="L898" s="82">
        <f t="shared" si="425"/>
        <v>6</v>
      </c>
      <c r="M898" s="331">
        <v>6</v>
      </c>
      <c r="N898" s="161">
        <f t="shared" si="427"/>
        <v>222</v>
      </c>
      <c r="O898" s="161">
        <f t="shared" si="428"/>
        <v>222</v>
      </c>
      <c r="P898" s="187">
        <f t="shared" si="429"/>
        <v>0</v>
      </c>
      <c r="Q898" s="161">
        <f t="shared" si="430"/>
        <v>0</v>
      </c>
      <c r="R898" s="85"/>
      <c r="S898" s="86">
        <f t="shared" si="431"/>
        <v>0</v>
      </c>
      <c r="T898" s="87">
        <f t="shared" si="426"/>
        <v>6</v>
      </c>
    </row>
    <row r="899" spans="2:31" ht="20.100000000000001" hidden="1" customHeight="1">
      <c r="B899" s="77">
        <v>9</v>
      </c>
      <c r="C899" s="78" t="s">
        <v>1693</v>
      </c>
      <c r="D899" s="79" t="s">
        <v>1723</v>
      </c>
      <c r="E899" s="80" t="s">
        <v>1724</v>
      </c>
      <c r="F899" s="81">
        <v>115</v>
      </c>
      <c r="G899" s="222"/>
      <c r="H899" s="186"/>
      <c r="I899" s="186"/>
      <c r="J899" s="308"/>
      <c r="K899" s="227"/>
      <c r="L899" s="82">
        <f t="shared" si="425"/>
        <v>0</v>
      </c>
      <c r="M899" s="331"/>
      <c r="N899" s="161">
        <f t="shared" si="427"/>
        <v>0</v>
      </c>
      <c r="O899" s="161">
        <f t="shared" si="428"/>
        <v>0</v>
      </c>
      <c r="P899" s="187">
        <f t="shared" si="429"/>
        <v>0</v>
      </c>
      <c r="Q899" s="161">
        <f t="shared" si="430"/>
        <v>0</v>
      </c>
      <c r="R899" s="85"/>
      <c r="S899" s="86">
        <f t="shared" si="431"/>
        <v>0</v>
      </c>
      <c r="T899" s="87">
        <f t="shared" si="426"/>
        <v>0</v>
      </c>
    </row>
    <row r="900" spans="2:31" ht="20.100000000000001" hidden="1" customHeight="1">
      <c r="B900" s="77">
        <v>9</v>
      </c>
      <c r="C900" s="78" t="s">
        <v>1693</v>
      </c>
      <c r="D900" s="79" t="s">
        <v>1725</v>
      </c>
      <c r="E900" s="80" t="s">
        <v>1726</v>
      </c>
      <c r="F900" s="81">
        <v>88</v>
      </c>
      <c r="G900" s="222">
        <v>3</v>
      </c>
      <c r="H900" s="186"/>
      <c r="I900" s="186"/>
      <c r="J900" s="308"/>
      <c r="K900" s="227"/>
      <c r="L900" s="82">
        <f t="shared" si="425"/>
        <v>3</v>
      </c>
      <c r="M900" s="331">
        <v>3</v>
      </c>
      <c r="N900" s="161">
        <f t="shared" si="427"/>
        <v>264</v>
      </c>
      <c r="O900" s="161">
        <f t="shared" si="428"/>
        <v>264</v>
      </c>
      <c r="P900" s="187">
        <f t="shared" si="429"/>
        <v>0</v>
      </c>
      <c r="Q900" s="161">
        <f t="shared" si="430"/>
        <v>0</v>
      </c>
      <c r="R900" s="85"/>
      <c r="S900" s="86">
        <f t="shared" si="431"/>
        <v>5</v>
      </c>
      <c r="T900" s="87">
        <f t="shared" si="426"/>
        <v>-2</v>
      </c>
      <c r="U900">
        <v>5</v>
      </c>
    </row>
    <row r="901" spans="2:31" ht="20.100000000000001" hidden="1" customHeight="1">
      <c r="B901" s="77">
        <v>9</v>
      </c>
      <c r="C901" s="78" t="s">
        <v>1693</v>
      </c>
      <c r="D901" s="79" t="s">
        <v>1727</v>
      </c>
      <c r="E901" s="80" t="s">
        <v>1728</v>
      </c>
      <c r="F901" s="81">
        <v>75</v>
      </c>
      <c r="G901" s="222">
        <v>5</v>
      </c>
      <c r="H901" s="186"/>
      <c r="I901" s="186"/>
      <c r="J901" s="308"/>
      <c r="K901" s="227"/>
      <c r="L901" s="82">
        <f t="shared" si="425"/>
        <v>5</v>
      </c>
      <c r="M901" s="331">
        <v>5</v>
      </c>
      <c r="N901" s="161">
        <f t="shared" si="427"/>
        <v>375</v>
      </c>
      <c r="O901" s="161">
        <f t="shared" si="428"/>
        <v>375</v>
      </c>
      <c r="P901" s="187">
        <f t="shared" si="429"/>
        <v>0</v>
      </c>
      <c r="Q901" s="161">
        <f t="shared" si="430"/>
        <v>0</v>
      </c>
      <c r="R901" s="85"/>
      <c r="S901" s="86">
        <f t="shared" si="431"/>
        <v>6</v>
      </c>
      <c r="T901" s="87">
        <f t="shared" si="426"/>
        <v>-1</v>
      </c>
      <c r="U901">
        <v>6</v>
      </c>
    </row>
    <row r="902" spans="2:31" ht="20.100000000000001" hidden="1" customHeight="1">
      <c r="B902" s="77">
        <v>9</v>
      </c>
      <c r="C902" s="78" t="s">
        <v>1693</v>
      </c>
      <c r="D902" s="79" t="s">
        <v>1729</v>
      </c>
      <c r="E902" s="80" t="s">
        <v>1730</v>
      </c>
      <c r="F902" s="81">
        <v>36.74</v>
      </c>
      <c r="G902" s="222">
        <v>5</v>
      </c>
      <c r="H902" s="186"/>
      <c r="I902" s="186"/>
      <c r="J902" s="308"/>
      <c r="K902" s="227"/>
      <c r="L902" s="82">
        <f t="shared" si="425"/>
        <v>5</v>
      </c>
      <c r="M902" s="331">
        <v>5</v>
      </c>
      <c r="N902" s="161">
        <f t="shared" si="427"/>
        <v>183.70000000000002</v>
      </c>
      <c r="O902" s="161">
        <f t="shared" si="428"/>
        <v>183.70000000000002</v>
      </c>
      <c r="P902" s="187">
        <f t="shared" si="429"/>
        <v>0</v>
      </c>
      <c r="Q902" s="161">
        <f t="shared" si="430"/>
        <v>0</v>
      </c>
      <c r="R902" s="85"/>
      <c r="S902" s="86">
        <f t="shared" si="431"/>
        <v>6</v>
      </c>
      <c r="T902" s="87">
        <f t="shared" si="426"/>
        <v>-1</v>
      </c>
      <c r="U902">
        <v>6</v>
      </c>
    </row>
    <row r="903" spans="2:31" ht="20.100000000000001" hidden="1" customHeight="1">
      <c r="B903" s="77">
        <v>9</v>
      </c>
      <c r="C903" s="78" t="s">
        <v>1693</v>
      </c>
      <c r="D903" s="79" t="s">
        <v>1731</v>
      </c>
      <c r="E903" s="80" t="s">
        <v>1732</v>
      </c>
      <c r="F903" s="81">
        <v>38</v>
      </c>
      <c r="G903" s="222">
        <v>1</v>
      </c>
      <c r="H903" s="186"/>
      <c r="I903" s="186"/>
      <c r="J903" s="308"/>
      <c r="K903" s="227"/>
      <c r="L903" s="82">
        <f t="shared" si="425"/>
        <v>1</v>
      </c>
      <c r="M903" s="344">
        <v>1</v>
      </c>
      <c r="N903" s="161">
        <f t="shared" si="427"/>
        <v>38</v>
      </c>
      <c r="O903" s="161">
        <f t="shared" si="428"/>
        <v>38</v>
      </c>
      <c r="P903" s="187">
        <f t="shared" si="429"/>
        <v>0</v>
      </c>
      <c r="Q903" s="161">
        <f t="shared" si="430"/>
        <v>0</v>
      </c>
      <c r="R903" s="85"/>
      <c r="S903" s="86">
        <f t="shared" si="431"/>
        <v>1</v>
      </c>
      <c r="T903" s="87">
        <f t="shared" si="426"/>
        <v>0</v>
      </c>
      <c r="AA903">
        <v>1</v>
      </c>
      <c r="AB903" s="88" t="s">
        <v>1733</v>
      </c>
      <c r="AD903">
        <f>AA903</f>
        <v>1</v>
      </c>
      <c r="AE903">
        <f>AD903*F903</f>
        <v>38</v>
      </c>
    </row>
    <row r="904" spans="2:31" ht="20.100000000000001" hidden="1" customHeight="1">
      <c r="B904" s="77">
        <v>9</v>
      </c>
      <c r="C904" s="78" t="s">
        <v>1693</v>
      </c>
      <c r="D904" s="79" t="s">
        <v>1734</v>
      </c>
      <c r="E904" s="80" t="s">
        <v>1735</v>
      </c>
      <c r="F904" s="81">
        <v>38</v>
      </c>
      <c r="G904" s="222">
        <v>1</v>
      </c>
      <c r="H904" s="186"/>
      <c r="I904" s="186"/>
      <c r="J904" s="308"/>
      <c r="K904" s="227"/>
      <c r="L904" s="82">
        <f t="shared" si="425"/>
        <v>1</v>
      </c>
      <c r="M904" s="331">
        <v>1</v>
      </c>
      <c r="N904" s="161">
        <f t="shared" si="427"/>
        <v>38</v>
      </c>
      <c r="O904" s="161">
        <f t="shared" si="428"/>
        <v>38</v>
      </c>
      <c r="P904" s="187">
        <f t="shared" si="429"/>
        <v>0</v>
      </c>
      <c r="Q904" s="161">
        <f t="shared" si="430"/>
        <v>0</v>
      </c>
      <c r="R904" s="85"/>
      <c r="S904" s="86">
        <f t="shared" si="431"/>
        <v>1</v>
      </c>
      <c r="T904" s="87">
        <f t="shared" si="426"/>
        <v>0</v>
      </c>
      <c r="AA904">
        <v>1</v>
      </c>
      <c r="AB904" s="88" t="s">
        <v>171</v>
      </c>
      <c r="AD904">
        <f>AA904</f>
        <v>1</v>
      </c>
      <c r="AE904">
        <f>AD904*F904</f>
        <v>38</v>
      </c>
    </row>
    <row r="905" spans="2:31" ht="20.100000000000001" hidden="1" customHeight="1">
      <c r="B905" s="77">
        <v>9</v>
      </c>
      <c r="C905" s="78" t="s">
        <v>1693</v>
      </c>
      <c r="D905" s="79" t="s">
        <v>1736</v>
      </c>
      <c r="E905" s="80" t="s">
        <v>1737</v>
      </c>
      <c r="F905" s="81">
        <v>68.64</v>
      </c>
      <c r="G905" s="222">
        <v>3</v>
      </c>
      <c r="H905" s="186"/>
      <c r="I905" s="186"/>
      <c r="J905" s="308">
        <v>1</v>
      </c>
      <c r="K905" s="227"/>
      <c r="L905" s="82">
        <f t="shared" si="425"/>
        <v>2</v>
      </c>
      <c r="M905" s="331">
        <v>2</v>
      </c>
      <c r="N905" s="161">
        <f t="shared" si="427"/>
        <v>137.28</v>
      </c>
      <c r="O905" s="161">
        <f t="shared" si="428"/>
        <v>137.28</v>
      </c>
      <c r="P905" s="187">
        <f t="shared" si="429"/>
        <v>0</v>
      </c>
      <c r="Q905" s="161">
        <f t="shared" si="430"/>
        <v>0</v>
      </c>
      <c r="R905" s="85"/>
      <c r="S905" s="86">
        <f t="shared" si="431"/>
        <v>3</v>
      </c>
      <c r="T905" s="87">
        <f t="shared" si="426"/>
        <v>-1</v>
      </c>
      <c r="U905">
        <v>3</v>
      </c>
    </row>
    <row r="906" spans="2:31" ht="20.100000000000001" hidden="1" customHeight="1">
      <c r="B906" s="77">
        <v>9</v>
      </c>
      <c r="C906" s="78" t="s">
        <v>1693</v>
      </c>
      <c r="D906" s="79" t="s">
        <v>1738</v>
      </c>
      <c r="E906" s="80" t="s">
        <v>1739</v>
      </c>
      <c r="F906" s="81">
        <v>169.42</v>
      </c>
      <c r="G906" s="222">
        <v>2</v>
      </c>
      <c r="H906" s="186"/>
      <c r="I906" s="186"/>
      <c r="J906" s="308"/>
      <c r="K906" s="227"/>
      <c r="L906" s="82">
        <f t="shared" si="425"/>
        <v>2</v>
      </c>
      <c r="M906" s="331">
        <v>2</v>
      </c>
      <c r="N906" s="161">
        <f t="shared" si="427"/>
        <v>338.84</v>
      </c>
      <c r="O906" s="161">
        <f t="shared" si="428"/>
        <v>338.84</v>
      </c>
      <c r="P906" s="187">
        <f t="shared" si="429"/>
        <v>0</v>
      </c>
      <c r="Q906" s="161">
        <f t="shared" si="430"/>
        <v>0</v>
      </c>
      <c r="R906" s="85"/>
      <c r="S906" s="86">
        <f t="shared" si="431"/>
        <v>3</v>
      </c>
      <c r="T906" s="87">
        <f t="shared" si="426"/>
        <v>-1</v>
      </c>
      <c r="U906">
        <v>3</v>
      </c>
    </row>
    <row r="907" spans="2:31" ht="20.100000000000001" hidden="1" customHeight="1">
      <c r="B907" s="77">
        <v>9</v>
      </c>
      <c r="C907" s="78" t="s">
        <v>1693</v>
      </c>
      <c r="D907" s="79" t="s">
        <v>1740</v>
      </c>
      <c r="E907" s="80" t="s">
        <v>1741</v>
      </c>
      <c r="F907" s="81">
        <v>58.03</v>
      </c>
      <c r="G907" s="222"/>
      <c r="H907" s="186"/>
      <c r="I907" s="186"/>
      <c r="J907" s="308"/>
      <c r="K907" s="227"/>
      <c r="L907" s="82">
        <f t="shared" si="425"/>
        <v>0</v>
      </c>
      <c r="M907" s="331"/>
      <c r="N907" s="161">
        <f t="shared" si="427"/>
        <v>0</v>
      </c>
      <c r="O907" s="161">
        <f t="shared" si="428"/>
        <v>0</v>
      </c>
      <c r="P907" s="187">
        <f t="shared" si="429"/>
        <v>0</v>
      </c>
      <c r="Q907" s="161">
        <f t="shared" si="430"/>
        <v>0</v>
      </c>
      <c r="R907" s="85"/>
      <c r="S907" s="86">
        <f t="shared" si="431"/>
        <v>1</v>
      </c>
      <c r="T907" s="87">
        <f t="shared" si="426"/>
        <v>-1</v>
      </c>
      <c r="U907">
        <v>1</v>
      </c>
    </row>
    <row r="908" spans="2:31" ht="20.100000000000001" hidden="1" customHeight="1">
      <c r="B908" s="77">
        <v>9</v>
      </c>
      <c r="C908" s="78" t="s">
        <v>1693</v>
      </c>
      <c r="D908" s="79" t="s">
        <v>1742</v>
      </c>
      <c r="E908" s="80" t="s">
        <v>1743</v>
      </c>
      <c r="F908" s="81">
        <v>143</v>
      </c>
      <c r="G908" s="222">
        <v>3</v>
      </c>
      <c r="H908" s="186"/>
      <c r="I908" s="186"/>
      <c r="J908" s="308"/>
      <c r="K908" s="227"/>
      <c r="L908" s="82">
        <f t="shared" si="425"/>
        <v>3</v>
      </c>
      <c r="M908" s="331">
        <v>3</v>
      </c>
      <c r="N908" s="161">
        <f t="shared" si="427"/>
        <v>429</v>
      </c>
      <c r="O908" s="161">
        <f t="shared" si="428"/>
        <v>429</v>
      </c>
      <c r="P908" s="187">
        <f t="shared" si="429"/>
        <v>0</v>
      </c>
      <c r="Q908" s="161">
        <f t="shared" si="430"/>
        <v>0</v>
      </c>
      <c r="R908" s="85"/>
      <c r="S908" s="86">
        <f t="shared" si="431"/>
        <v>3</v>
      </c>
      <c r="T908" s="87">
        <f t="shared" si="426"/>
        <v>0</v>
      </c>
      <c r="U908">
        <v>3</v>
      </c>
    </row>
    <row r="909" spans="2:31" ht="20.100000000000001" hidden="1" customHeight="1">
      <c r="B909" s="77">
        <v>9</v>
      </c>
      <c r="C909" s="78" t="s">
        <v>1693</v>
      </c>
      <c r="D909" s="79" t="s">
        <v>1744</v>
      </c>
      <c r="E909" s="80" t="s">
        <v>1745</v>
      </c>
      <c r="F909" s="81">
        <v>83.46</v>
      </c>
      <c r="G909" s="222">
        <v>3</v>
      </c>
      <c r="H909" s="186"/>
      <c r="I909" s="186"/>
      <c r="J909" s="308"/>
      <c r="K909" s="227"/>
      <c r="L909" s="82">
        <f t="shared" si="425"/>
        <v>3</v>
      </c>
      <c r="M909" s="331">
        <v>3</v>
      </c>
      <c r="N909" s="161">
        <f t="shared" si="427"/>
        <v>250.38</v>
      </c>
      <c r="O909" s="161">
        <f t="shared" si="428"/>
        <v>250.38</v>
      </c>
      <c r="P909" s="187">
        <f t="shared" si="429"/>
        <v>0</v>
      </c>
      <c r="Q909" s="161">
        <f t="shared" si="430"/>
        <v>0</v>
      </c>
      <c r="R909" s="85"/>
      <c r="S909" s="86">
        <f t="shared" si="431"/>
        <v>3</v>
      </c>
      <c r="T909" s="87">
        <f t="shared" si="426"/>
        <v>0</v>
      </c>
      <c r="U909">
        <v>3</v>
      </c>
    </row>
    <row r="910" spans="2:31" ht="20.100000000000001" hidden="1" customHeight="1">
      <c r="B910" s="77">
        <v>9</v>
      </c>
      <c r="C910" s="78" t="s">
        <v>1693</v>
      </c>
      <c r="D910" s="79" t="s">
        <v>1746</v>
      </c>
      <c r="E910" s="80" t="s">
        <v>1747</v>
      </c>
      <c r="F910" s="81">
        <v>206.23</v>
      </c>
      <c r="G910" s="222">
        <v>1</v>
      </c>
      <c r="H910" s="186"/>
      <c r="I910" s="186"/>
      <c r="J910" s="308">
        <v>1</v>
      </c>
      <c r="K910" s="227"/>
      <c r="L910" s="82">
        <f t="shared" si="425"/>
        <v>0</v>
      </c>
      <c r="M910" s="331"/>
      <c r="N910" s="161">
        <f t="shared" si="427"/>
        <v>0</v>
      </c>
      <c r="O910" s="161">
        <f t="shared" si="428"/>
        <v>0</v>
      </c>
      <c r="P910" s="187">
        <f t="shared" si="429"/>
        <v>0</v>
      </c>
      <c r="Q910" s="161">
        <f t="shared" si="430"/>
        <v>0</v>
      </c>
      <c r="R910" s="85"/>
      <c r="S910" s="86">
        <f t="shared" si="431"/>
        <v>1</v>
      </c>
      <c r="T910" s="87">
        <f t="shared" si="426"/>
        <v>-1</v>
      </c>
      <c r="U910">
        <v>1</v>
      </c>
    </row>
    <row r="911" spans="2:31" ht="20.100000000000001" hidden="1" customHeight="1">
      <c r="B911" s="77">
        <v>9</v>
      </c>
      <c r="C911" s="78" t="s">
        <v>1693</v>
      </c>
      <c r="D911" s="79" t="s">
        <v>1748</v>
      </c>
      <c r="E911" s="80" t="s">
        <v>1749</v>
      </c>
      <c r="F911" s="81">
        <v>185.74</v>
      </c>
      <c r="G911" s="222"/>
      <c r="H911" s="186"/>
      <c r="I911" s="186"/>
      <c r="J911" s="308"/>
      <c r="K911" s="227"/>
      <c r="L911" s="82">
        <f t="shared" si="425"/>
        <v>0</v>
      </c>
      <c r="M911" s="331"/>
      <c r="N911" s="161">
        <f t="shared" si="427"/>
        <v>0</v>
      </c>
      <c r="O911" s="161">
        <f t="shared" si="428"/>
        <v>0</v>
      </c>
      <c r="P911" s="187">
        <f t="shared" si="429"/>
        <v>0</v>
      </c>
      <c r="Q911" s="161">
        <f t="shared" si="430"/>
        <v>0</v>
      </c>
      <c r="R911" s="85"/>
      <c r="S911" s="86">
        <f t="shared" si="431"/>
        <v>1</v>
      </c>
      <c r="T911" s="87">
        <f t="shared" si="426"/>
        <v>-1</v>
      </c>
      <c r="U911">
        <v>1</v>
      </c>
    </row>
    <row r="912" spans="2:31" ht="20.100000000000001" hidden="1" customHeight="1">
      <c r="B912" s="77">
        <v>9</v>
      </c>
      <c r="C912" s="78" t="s">
        <v>1693</v>
      </c>
      <c r="D912" s="79" t="s">
        <v>1750</v>
      </c>
      <c r="E912" s="80" t="s">
        <v>1751</v>
      </c>
      <c r="F912" s="81">
        <v>195.62</v>
      </c>
      <c r="G912" s="222"/>
      <c r="H912" s="186"/>
      <c r="I912" s="186"/>
      <c r="J912" s="308"/>
      <c r="K912" s="227"/>
      <c r="L912" s="82">
        <f t="shared" ref="L912:L975" si="439">G912+I912-J912-K912+H912</f>
        <v>0</v>
      </c>
      <c r="M912" s="331"/>
      <c r="N912" s="161">
        <f t="shared" si="427"/>
        <v>0</v>
      </c>
      <c r="O912" s="161">
        <f t="shared" si="428"/>
        <v>0</v>
      </c>
      <c r="P912" s="187">
        <f t="shared" si="429"/>
        <v>0</v>
      </c>
      <c r="Q912" s="161">
        <f t="shared" si="430"/>
        <v>0</v>
      </c>
      <c r="R912" s="85"/>
      <c r="S912" s="86">
        <f t="shared" si="431"/>
        <v>2</v>
      </c>
      <c r="T912" s="87">
        <f t="shared" si="426"/>
        <v>-2</v>
      </c>
      <c r="U912">
        <v>2</v>
      </c>
    </row>
    <row r="913" spans="2:25" ht="20.100000000000001" hidden="1" customHeight="1">
      <c r="B913" s="77">
        <v>9</v>
      </c>
      <c r="C913" s="78" t="s">
        <v>1693</v>
      </c>
      <c r="D913" s="79" t="s">
        <v>1752</v>
      </c>
      <c r="E913" s="80" t="s">
        <v>1753</v>
      </c>
      <c r="F913" s="81">
        <v>41.06</v>
      </c>
      <c r="G913" s="222"/>
      <c r="H913" s="186"/>
      <c r="I913" s="186"/>
      <c r="J913" s="308"/>
      <c r="K913" s="227"/>
      <c r="L913" s="82">
        <f t="shared" si="439"/>
        <v>0</v>
      </c>
      <c r="M913" s="331"/>
      <c r="N913" s="161">
        <f t="shared" si="427"/>
        <v>0</v>
      </c>
      <c r="O913" s="161">
        <f t="shared" si="428"/>
        <v>0</v>
      </c>
      <c r="P913" s="187">
        <f t="shared" si="429"/>
        <v>0</v>
      </c>
      <c r="Q913" s="161">
        <f t="shared" si="430"/>
        <v>0</v>
      </c>
      <c r="R913" s="85"/>
      <c r="S913" s="86">
        <f t="shared" si="431"/>
        <v>0</v>
      </c>
      <c r="T913" s="87">
        <f t="shared" ref="T913:T973" si="440">M913-S913</f>
        <v>0</v>
      </c>
    </row>
    <row r="914" spans="2:25" ht="20.100000000000001" hidden="1" customHeight="1">
      <c r="B914" s="77">
        <v>9</v>
      </c>
      <c r="C914" s="78" t="s">
        <v>1693</v>
      </c>
      <c r="D914" s="79" t="s">
        <v>1754</v>
      </c>
      <c r="E914" s="80" t="s">
        <v>1755</v>
      </c>
      <c r="F914" s="81">
        <v>16.32</v>
      </c>
      <c r="G914" s="222">
        <v>36</v>
      </c>
      <c r="H914" s="186"/>
      <c r="I914" s="186"/>
      <c r="J914" s="308"/>
      <c r="K914" s="227"/>
      <c r="L914" s="82">
        <f t="shared" si="439"/>
        <v>36</v>
      </c>
      <c r="M914" s="331">
        <v>36</v>
      </c>
      <c r="N914" s="161">
        <f t="shared" ref="N914:N974" si="441">F914*L914</f>
        <v>587.52</v>
      </c>
      <c r="O914" s="161">
        <f t="shared" ref="O914:O974" si="442">M914*F914</f>
        <v>587.52</v>
      </c>
      <c r="P914" s="187">
        <f t="shared" ref="P914:P974" si="443">L914-M914</f>
        <v>0</v>
      </c>
      <c r="Q914" s="161">
        <f t="shared" ref="Q914:Q974" si="444">N914-O914</f>
        <v>0</v>
      </c>
      <c r="R914" s="85"/>
      <c r="S914" s="86">
        <f t="shared" ref="S914:S974" si="445">U914+Y914+W914+AA914</f>
        <v>36</v>
      </c>
      <c r="T914" s="87">
        <f t="shared" si="440"/>
        <v>0</v>
      </c>
      <c r="Y914">
        <v>36</v>
      </c>
    </row>
    <row r="915" spans="2:25" ht="20.100000000000001" hidden="1" customHeight="1">
      <c r="B915" s="77">
        <v>9</v>
      </c>
      <c r="C915" s="78" t="s">
        <v>1693</v>
      </c>
      <c r="D915" s="79" t="s">
        <v>1756</v>
      </c>
      <c r="E915" s="80" t="s">
        <v>1757</v>
      </c>
      <c r="F915" s="81">
        <v>41.06</v>
      </c>
      <c r="G915" s="222"/>
      <c r="H915" s="186"/>
      <c r="I915" s="186"/>
      <c r="J915" s="308"/>
      <c r="K915" s="227"/>
      <c r="L915" s="82">
        <f t="shared" si="439"/>
        <v>0</v>
      </c>
      <c r="M915" s="331"/>
      <c r="N915" s="161">
        <f t="shared" si="441"/>
        <v>0</v>
      </c>
      <c r="O915" s="161">
        <f t="shared" si="442"/>
        <v>0</v>
      </c>
      <c r="P915" s="187">
        <f t="shared" si="443"/>
        <v>0</v>
      </c>
      <c r="Q915" s="161">
        <f t="shared" si="444"/>
        <v>0</v>
      </c>
      <c r="R915" s="85"/>
      <c r="S915" s="86">
        <f t="shared" si="445"/>
        <v>0</v>
      </c>
      <c r="T915" s="87">
        <f t="shared" si="440"/>
        <v>0</v>
      </c>
    </row>
    <row r="916" spans="2:25" ht="20.100000000000001" hidden="1" customHeight="1">
      <c r="B916" s="77">
        <v>9</v>
      </c>
      <c r="C916" s="78" t="s">
        <v>1693</v>
      </c>
      <c r="D916" s="79" t="s">
        <v>1758</v>
      </c>
      <c r="E916" s="80" t="s">
        <v>1759</v>
      </c>
      <c r="F916" s="81">
        <v>16.32</v>
      </c>
      <c r="G916" s="222">
        <v>51</v>
      </c>
      <c r="H916" s="186"/>
      <c r="I916" s="186"/>
      <c r="J916" s="308"/>
      <c r="K916" s="227"/>
      <c r="L916" s="82">
        <f t="shared" si="439"/>
        <v>51</v>
      </c>
      <c r="M916" s="331">
        <v>51</v>
      </c>
      <c r="N916" s="161">
        <f t="shared" si="441"/>
        <v>832.32</v>
      </c>
      <c r="O916" s="161">
        <f t="shared" si="442"/>
        <v>832.32</v>
      </c>
      <c r="P916" s="187">
        <f t="shared" si="443"/>
        <v>0</v>
      </c>
      <c r="Q916" s="161">
        <f t="shared" si="444"/>
        <v>0</v>
      </c>
      <c r="R916" s="232" t="s">
        <v>3820</v>
      </c>
      <c r="S916" s="86">
        <f t="shared" si="445"/>
        <v>51</v>
      </c>
      <c r="T916" s="87">
        <f t="shared" si="440"/>
        <v>0</v>
      </c>
      <c r="Y916">
        <v>51</v>
      </c>
    </row>
    <row r="917" spans="2:25" ht="20.100000000000001" hidden="1" customHeight="1">
      <c r="B917" s="77">
        <v>9</v>
      </c>
      <c r="C917" s="78" t="s">
        <v>1693</v>
      </c>
      <c r="D917" s="79" t="s">
        <v>1760</v>
      </c>
      <c r="E917" s="80" t="s">
        <v>1761</v>
      </c>
      <c r="F917" s="81">
        <v>15.9</v>
      </c>
      <c r="G917" s="222">
        <v>54</v>
      </c>
      <c r="H917" s="186"/>
      <c r="I917" s="186"/>
      <c r="J917" s="308"/>
      <c r="K917" s="227"/>
      <c r="L917" s="82">
        <f t="shared" si="439"/>
        <v>54</v>
      </c>
      <c r="M917" s="331">
        <v>54</v>
      </c>
      <c r="N917" s="161">
        <f t="shared" si="441"/>
        <v>858.6</v>
      </c>
      <c r="O917" s="161">
        <f t="shared" si="442"/>
        <v>858.6</v>
      </c>
      <c r="P917" s="187">
        <f t="shared" si="443"/>
        <v>0</v>
      </c>
      <c r="Q917" s="161">
        <f t="shared" si="444"/>
        <v>0</v>
      </c>
      <c r="R917" s="85"/>
      <c r="S917" s="86">
        <f t="shared" si="445"/>
        <v>54</v>
      </c>
      <c r="T917" s="87">
        <f t="shared" si="440"/>
        <v>0</v>
      </c>
      <c r="Y917">
        <v>54</v>
      </c>
    </row>
    <row r="918" spans="2:25" ht="20.100000000000001" hidden="1" customHeight="1">
      <c r="B918" s="77">
        <v>9</v>
      </c>
      <c r="C918" s="78" t="s">
        <v>1693</v>
      </c>
      <c r="D918" s="79" t="s">
        <v>1762</v>
      </c>
      <c r="E918" s="80" t="s">
        <v>1763</v>
      </c>
      <c r="F918" s="81">
        <v>8.4499999999999993</v>
      </c>
      <c r="G918" s="222"/>
      <c r="H918" s="186"/>
      <c r="I918" s="186"/>
      <c r="J918" s="308"/>
      <c r="K918" s="227"/>
      <c r="L918" s="82">
        <f t="shared" si="439"/>
        <v>0</v>
      </c>
      <c r="M918" s="331"/>
      <c r="N918" s="161">
        <f t="shared" si="441"/>
        <v>0</v>
      </c>
      <c r="O918" s="161">
        <f t="shared" si="442"/>
        <v>0</v>
      </c>
      <c r="P918" s="187">
        <f t="shared" si="443"/>
        <v>0</v>
      </c>
      <c r="Q918" s="161">
        <f t="shared" si="444"/>
        <v>0</v>
      </c>
      <c r="R918" s="85"/>
      <c r="S918" s="86">
        <f t="shared" si="445"/>
        <v>0</v>
      </c>
      <c r="T918" s="87">
        <f t="shared" si="440"/>
        <v>0</v>
      </c>
    </row>
    <row r="919" spans="2:25" ht="20.100000000000001" hidden="1" customHeight="1">
      <c r="B919" s="77">
        <v>9</v>
      </c>
      <c r="C919" s="78" t="s">
        <v>1693</v>
      </c>
      <c r="D919" s="79" t="s">
        <v>1764</v>
      </c>
      <c r="E919" s="80" t="s">
        <v>1765</v>
      </c>
      <c r="F919" s="81">
        <v>99.5</v>
      </c>
      <c r="G919" s="222"/>
      <c r="H919" s="186"/>
      <c r="I919" s="186"/>
      <c r="J919" s="308"/>
      <c r="K919" s="227"/>
      <c r="L919" s="82">
        <f t="shared" si="439"/>
        <v>0</v>
      </c>
      <c r="M919" s="331"/>
      <c r="N919" s="161">
        <f t="shared" si="441"/>
        <v>0</v>
      </c>
      <c r="O919" s="161">
        <f t="shared" si="442"/>
        <v>0</v>
      </c>
      <c r="P919" s="187">
        <f t="shared" si="443"/>
        <v>0</v>
      </c>
      <c r="Q919" s="161">
        <f t="shared" si="444"/>
        <v>0</v>
      </c>
      <c r="R919" s="85"/>
      <c r="S919" s="86">
        <f t="shared" si="445"/>
        <v>0</v>
      </c>
      <c r="T919" s="87">
        <f t="shared" si="440"/>
        <v>0</v>
      </c>
    </row>
    <row r="920" spans="2:25" ht="20.100000000000001" hidden="1" customHeight="1">
      <c r="B920" s="77">
        <v>9</v>
      </c>
      <c r="C920" s="78" t="s">
        <v>1693</v>
      </c>
      <c r="D920" s="79" t="s">
        <v>1766</v>
      </c>
      <c r="E920" s="80" t="s">
        <v>1767</v>
      </c>
      <c r="F920" s="81">
        <v>24.5</v>
      </c>
      <c r="G920" s="222">
        <v>1</v>
      </c>
      <c r="H920" s="186"/>
      <c r="I920" s="186"/>
      <c r="J920" s="308"/>
      <c r="K920" s="227"/>
      <c r="L920" s="82">
        <f t="shared" si="439"/>
        <v>1</v>
      </c>
      <c r="M920" s="331">
        <v>1</v>
      </c>
      <c r="N920" s="161">
        <f t="shared" si="441"/>
        <v>24.5</v>
      </c>
      <c r="O920" s="161">
        <f t="shared" si="442"/>
        <v>24.5</v>
      </c>
      <c r="P920" s="187">
        <f t="shared" si="443"/>
        <v>0</v>
      </c>
      <c r="Q920" s="161">
        <f t="shared" si="444"/>
        <v>0</v>
      </c>
      <c r="R920" s="85"/>
      <c r="S920" s="86">
        <f t="shared" si="445"/>
        <v>1</v>
      </c>
      <c r="T920" s="87">
        <f t="shared" si="440"/>
        <v>0</v>
      </c>
      <c r="U920">
        <v>1</v>
      </c>
    </row>
    <row r="921" spans="2:25" ht="20.100000000000001" hidden="1" customHeight="1">
      <c r="B921" s="77">
        <v>9</v>
      </c>
      <c r="C921" s="78" t="s">
        <v>1693</v>
      </c>
      <c r="D921" s="79" t="s">
        <v>1768</v>
      </c>
      <c r="E921" s="80" t="s">
        <v>1769</v>
      </c>
      <c r="F921" s="81">
        <v>22.75</v>
      </c>
      <c r="G921" s="222"/>
      <c r="H921" s="186"/>
      <c r="I921" s="186"/>
      <c r="J921" s="308"/>
      <c r="K921" s="227"/>
      <c r="L921" s="82">
        <f t="shared" si="439"/>
        <v>0</v>
      </c>
      <c r="M921" s="331"/>
      <c r="N921" s="161">
        <f t="shared" si="441"/>
        <v>0</v>
      </c>
      <c r="O921" s="161">
        <f t="shared" si="442"/>
        <v>0</v>
      </c>
      <c r="P921" s="187">
        <f t="shared" si="443"/>
        <v>0</v>
      </c>
      <c r="Q921" s="161">
        <f t="shared" si="444"/>
        <v>0</v>
      </c>
      <c r="R921" s="85"/>
      <c r="S921" s="86">
        <f t="shared" si="445"/>
        <v>0</v>
      </c>
      <c r="T921" s="87">
        <f t="shared" si="440"/>
        <v>0</v>
      </c>
    </row>
    <row r="922" spans="2:25" ht="20.100000000000001" customHeight="1">
      <c r="B922" s="77">
        <v>9</v>
      </c>
      <c r="C922" s="78" t="s">
        <v>1693</v>
      </c>
      <c r="D922" s="79" t="s">
        <v>1770</v>
      </c>
      <c r="E922" s="80" t="s">
        <v>1771</v>
      </c>
      <c r="F922" s="81">
        <v>5.46</v>
      </c>
      <c r="G922" s="222">
        <v>36</v>
      </c>
      <c r="H922" s="186"/>
      <c r="I922" s="186"/>
      <c r="J922" s="308"/>
      <c r="K922" s="227"/>
      <c r="L922" s="82">
        <f t="shared" si="439"/>
        <v>36</v>
      </c>
      <c r="M922" s="331">
        <v>34</v>
      </c>
      <c r="N922" s="161">
        <f t="shared" si="441"/>
        <v>196.56</v>
      </c>
      <c r="O922" s="161">
        <f t="shared" si="442"/>
        <v>185.64</v>
      </c>
      <c r="P922" s="187">
        <f t="shared" si="443"/>
        <v>2</v>
      </c>
      <c r="Q922" s="161">
        <f t="shared" si="444"/>
        <v>10.920000000000016</v>
      </c>
      <c r="R922" s="85"/>
      <c r="S922" s="86">
        <f t="shared" si="445"/>
        <v>48</v>
      </c>
      <c r="T922" s="87">
        <f t="shared" si="440"/>
        <v>-14</v>
      </c>
      <c r="U922">
        <f>36+12</f>
        <v>48</v>
      </c>
    </row>
    <row r="923" spans="2:25" ht="20.100000000000001" hidden="1" customHeight="1">
      <c r="B923" s="77">
        <v>9</v>
      </c>
      <c r="C923" s="78" t="s">
        <v>1693</v>
      </c>
      <c r="D923" s="79" t="s">
        <v>1772</v>
      </c>
      <c r="E923" s="80" t="s">
        <v>1773</v>
      </c>
      <c r="F923" s="81">
        <v>47</v>
      </c>
      <c r="G923" s="222"/>
      <c r="H923" s="186"/>
      <c r="I923" s="186"/>
      <c r="J923" s="308"/>
      <c r="K923" s="227"/>
      <c r="L923" s="82">
        <f t="shared" si="439"/>
        <v>0</v>
      </c>
      <c r="M923" s="331"/>
      <c r="N923" s="161">
        <f t="shared" si="441"/>
        <v>0</v>
      </c>
      <c r="O923" s="161">
        <f t="shared" si="442"/>
        <v>0</v>
      </c>
      <c r="P923" s="187">
        <f t="shared" si="443"/>
        <v>0</v>
      </c>
      <c r="Q923" s="161">
        <f t="shared" si="444"/>
        <v>0</v>
      </c>
      <c r="R923" s="85"/>
      <c r="S923" s="86">
        <f t="shared" si="445"/>
        <v>0</v>
      </c>
      <c r="T923" s="87">
        <f t="shared" si="440"/>
        <v>0</v>
      </c>
    </row>
    <row r="924" spans="2:25" ht="20.100000000000001" hidden="1" customHeight="1">
      <c r="B924" s="77">
        <v>9</v>
      </c>
      <c r="C924" s="78" t="s">
        <v>1693</v>
      </c>
      <c r="D924" s="79" t="s">
        <v>1774</v>
      </c>
      <c r="E924" s="80" t="s">
        <v>1775</v>
      </c>
      <c r="F924" s="81">
        <v>125.26</v>
      </c>
      <c r="G924" s="222"/>
      <c r="H924" s="186"/>
      <c r="I924" s="186"/>
      <c r="J924" s="308"/>
      <c r="K924" s="227"/>
      <c r="L924" s="82">
        <f t="shared" si="439"/>
        <v>0</v>
      </c>
      <c r="M924" s="331"/>
      <c r="N924" s="161">
        <f t="shared" si="441"/>
        <v>0</v>
      </c>
      <c r="O924" s="161">
        <f t="shared" si="442"/>
        <v>0</v>
      </c>
      <c r="P924" s="187">
        <f t="shared" si="443"/>
        <v>0</v>
      </c>
      <c r="Q924" s="161">
        <f t="shared" si="444"/>
        <v>0</v>
      </c>
      <c r="R924" s="85"/>
      <c r="S924" s="86">
        <f t="shared" si="445"/>
        <v>0</v>
      </c>
      <c r="T924" s="87">
        <f t="shared" si="440"/>
        <v>0</v>
      </c>
    </row>
    <row r="925" spans="2:25" ht="20.100000000000001" hidden="1" customHeight="1">
      <c r="B925" s="77">
        <v>9</v>
      </c>
      <c r="C925" s="78" t="s">
        <v>1693</v>
      </c>
      <c r="D925" s="79" t="s">
        <v>1776</v>
      </c>
      <c r="E925" s="80" t="s">
        <v>1777</v>
      </c>
      <c r="F925" s="81">
        <v>83.05</v>
      </c>
      <c r="G925" s="222"/>
      <c r="H925" s="186"/>
      <c r="I925" s="186"/>
      <c r="J925" s="308"/>
      <c r="K925" s="227"/>
      <c r="L925" s="82">
        <f t="shared" si="439"/>
        <v>0</v>
      </c>
      <c r="M925" s="331"/>
      <c r="N925" s="161">
        <f t="shared" si="441"/>
        <v>0</v>
      </c>
      <c r="O925" s="161">
        <f t="shared" si="442"/>
        <v>0</v>
      </c>
      <c r="P925" s="187">
        <f t="shared" si="443"/>
        <v>0</v>
      </c>
      <c r="Q925" s="161">
        <f t="shared" si="444"/>
        <v>0</v>
      </c>
      <c r="R925" s="85"/>
      <c r="S925" s="86">
        <f t="shared" si="445"/>
        <v>0</v>
      </c>
      <c r="T925" s="87">
        <f t="shared" si="440"/>
        <v>0</v>
      </c>
    </row>
    <row r="926" spans="2:25" ht="20.100000000000001" hidden="1" customHeight="1">
      <c r="B926" s="77">
        <v>9</v>
      </c>
      <c r="C926" s="78" t="s">
        <v>1693</v>
      </c>
      <c r="D926" s="79" t="s">
        <v>1778</v>
      </c>
      <c r="E926" s="80" t="s">
        <v>1779</v>
      </c>
      <c r="F926" s="81">
        <v>7.75</v>
      </c>
      <c r="G926" s="222">
        <v>167</v>
      </c>
      <c r="H926" s="186"/>
      <c r="I926" s="186"/>
      <c r="J926" s="308"/>
      <c r="K926" s="227"/>
      <c r="L926" s="82">
        <f t="shared" si="439"/>
        <v>167</v>
      </c>
      <c r="M926" s="331">
        <v>169</v>
      </c>
      <c r="N926" s="161">
        <f t="shared" si="441"/>
        <v>1294.25</v>
      </c>
      <c r="O926" s="161">
        <f t="shared" si="442"/>
        <v>1309.75</v>
      </c>
      <c r="P926" s="187">
        <f t="shared" si="443"/>
        <v>-2</v>
      </c>
      <c r="Q926" s="161">
        <f t="shared" si="444"/>
        <v>-15.5</v>
      </c>
      <c r="R926" s="232" t="s">
        <v>3835</v>
      </c>
      <c r="S926" s="86">
        <f t="shared" si="445"/>
        <v>172</v>
      </c>
      <c r="T926" s="87">
        <f t="shared" si="440"/>
        <v>-3</v>
      </c>
      <c r="U926">
        <f>149+23</f>
        <v>172</v>
      </c>
    </row>
    <row r="927" spans="2:25" ht="20.100000000000001" hidden="1" customHeight="1">
      <c r="B927" s="77">
        <v>9</v>
      </c>
      <c r="C927" s="78" t="s">
        <v>1693</v>
      </c>
      <c r="D927" s="79" t="s">
        <v>1780</v>
      </c>
      <c r="E927" s="80" t="s">
        <v>1781</v>
      </c>
      <c r="F927" s="81">
        <v>121.38</v>
      </c>
      <c r="G927" s="222"/>
      <c r="H927" s="186"/>
      <c r="I927" s="186"/>
      <c r="J927" s="308"/>
      <c r="K927" s="227"/>
      <c r="L927" s="82">
        <f t="shared" si="439"/>
        <v>0</v>
      </c>
      <c r="M927" s="331"/>
      <c r="N927" s="161">
        <f t="shared" si="441"/>
        <v>0</v>
      </c>
      <c r="O927" s="161">
        <f t="shared" si="442"/>
        <v>0</v>
      </c>
      <c r="P927" s="187">
        <f t="shared" si="443"/>
        <v>0</v>
      </c>
      <c r="Q927" s="161">
        <f t="shared" si="444"/>
        <v>0</v>
      </c>
      <c r="R927" s="85"/>
      <c r="S927" s="86">
        <f t="shared" si="445"/>
        <v>0</v>
      </c>
      <c r="T927" s="87">
        <f t="shared" si="440"/>
        <v>0</v>
      </c>
    </row>
    <row r="928" spans="2:25" ht="20.100000000000001" hidden="1" customHeight="1">
      <c r="B928" s="77">
        <v>9</v>
      </c>
      <c r="C928" s="78" t="s">
        <v>1693</v>
      </c>
      <c r="D928" s="79" t="s">
        <v>1782</v>
      </c>
      <c r="E928" s="80" t="s">
        <v>1783</v>
      </c>
      <c r="F928" s="81">
        <v>7.75</v>
      </c>
      <c r="G928" s="222">
        <v>99</v>
      </c>
      <c r="H928" s="186"/>
      <c r="I928" s="186"/>
      <c r="J928" s="308"/>
      <c r="K928" s="227">
        <v>3</v>
      </c>
      <c r="L928" s="82">
        <f t="shared" si="439"/>
        <v>96</v>
      </c>
      <c r="M928" s="331">
        <v>96</v>
      </c>
      <c r="N928" s="161">
        <f t="shared" si="441"/>
        <v>744</v>
      </c>
      <c r="O928" s="161">
        <f t="shared" si="442"/>
        <v>744</v>
      </c>
      <c r="P928" s="187">
        <f t="shared" si="443"/>
        <v>0</v>
      </c>
      <c r="Q928" s="161">
        <f t="shared" si="444"/>
        <v>0</v>
      </c>
      <c r="R928" s="85"/>
      <c r="S928" s="86">
        <f t="shared" si="445"/>
        <v>102</v>
      </c>
      <c r="T928" s="87">
        <f t="shared" si="440"/>
        <v>-6</v>
      </c>
      <c r="U928">
        <v>102</v>
      </c>
    </row>
    <row r="929" spans="2:25" ht="20.100000000000001" hidden="1" customHeight="1">
      <c r="B929" s="77">
        <v>9</v>
      </c>
      <c r="C929" s="78" t="s">
        <v>1693</v>
      </c>
      <c r="D929" s="79" t="s">
        <v>1782</v>
      </c>
      <c r="E929" s="80" t="s">
        <v>1783</v>
      </c>
      <c r="F929" s="81">
        <v>7.75</v>
      </c>
      <c r="G929" s="222"/>
      <c r="H929" s="186"/>
      <c r="I929" s="186"/>
      <c r="J929" s="308"/>
      <c r="K929" s="227"/>
      <c r="L929" s="82">
        <f t="shared" si="439"/>
        <v>0</v>
      </c>
      <c r="M929" s="331"/>
      <c r="N929" s="161">
        <f t="shared" si="441"/>
        <v>0</v>
      </c>
      <c r="O929" s="161">
        <f t="shared" si="442"/>
        <v>0</v>
      </c>
      <c r="P929" s="187">
        <f t="shared" si="443"/>
        <v>0</v>
      </c>
      <c r="Q929" s="161">
        <f t="shared" si="444"/>
        <v>0</v>
      </c>
      <c r="R929" s="85"/>
      <c r="S929" s="86">
        <f t="shared" si="445"/>
        <v>0</v>
      </c>
      <c r="T929" s="87">
        <f t="shared" si="440"/>
        <v>0</v>
      </c>
    </row>
    <row r="930" spans="2:25" ht="20.100000000000001" hidden="1" customHeight="1">
      <c r="B930" s="77">
        <v>9</v>
      </c>
      <c r="C930" s="78" t="s">
        <v>1693</v>
      </c>
      <c r="D930" s="79" t="s">
        <v>1784</v>
      </c>
      <c r="E930" s="80" t="s">
        <v>1785</v>
      </c>
      <c r="F930" s="81">
        <v>53.57</v>
      </c>
      <c r="G930" s="222">
        <v>3</v>
      </c>
      <c r="H930" s="186"/>
      <c r="I930" s="186"/>
      <c r="J930" s="308"/>
      <c r="K930" s="227"/>
      <c r="L930" s="82">
        <f t="shared" si="439"/>
        <v>3</v>
      </c>
      <c r="M930" s="331">
        <v>3</v>
      </c>
      <c r="N930" s="161">
        <f t="shared" si="441"/>
        <v>160.71</v>
      </c>
      <c r="O930" s="161">
        <f t="shared" si="442"/>
        <v>160.71</v>
      </c>
      <c r="P930" s="187">
        <f t="shared" si="443"/>
        <v>0</v>
      </c>
      <c r="Q930" s="161">
        <f t="shared" si="444"/>
        <v>0</v>
      </c>
      <c r="R930" s="85"/>
      <c r="S930" s="86">
        <f t="shared" si="445"/>
        <v>3</v>
      </c>
      <c r="T930" s="87">
        <f t="shared" si="440"/>
        <v>0</v>
      </c>
      <c r="U930">
        <v>3</v>
      </c>
    </row>
    <row r="931" spans="2:25" ht="20.100000000000001" hidden="1" customHeight="1">
      <c r="B931" s="77">
        <v>9</v>
      </c>
      <c r="C931" s="78" t="s">
        <v>1693</v>
      </c>
      <c r="D931" s="79" t="s">
        <v>1786</v>
      </c>
      <c r="E931" s="80" t="s">
        <v>1787</v>
      </c>
      <c r="F931" s="81">
        <v>71.5</v>
      </c>
      <c r="G931" s="222">
        <v>1</v>
      </c>
      <c r="H931" s="186"/>
      <c r="I931" s="186"/>
      <c r="J931" s="308"/>
      <c r="K931" s="227"/>
      <c r="L931" s="82">
        <f t="shared" si="439"/>
        <v>1</v>
      </c>
      <c r="M931" s="331">
        <v>1</v>
      </c>
      <c r="N931" s="161">
        <f t="shared" si="441"/>
        <v>71.5</v>
      </c>
      <c r="O931" s="161">
        <f t="shared" si="442"/>
        <v>71.5</v>
      </c>
      <c r="P931" s="187">
        <f t="shared" si="443"/>
        <v>0</v>
      </c>
      <c r="Q931" s="161">
        <f t="shared" si="444"/>
        <v>0</v>
      </c>
      <c r="R931" s="85"/>
      <c r="S931" s="86">
        <f t="shared" si="445"/>
        <v>1</v>
      </c>
      <c r="T931" s="87">
        <f t="shared" si="440"/>
        <v>0</v>
      </c>
      <c r="U931">
        <v>1</v>
      </c>
    </row>
    <row r="932" spans="2:25" ht="20.100000000000001" hidden="1" customHeight="1">
      <c r="B932" s="77">
        <v>9</v>
      </c>
      <c r="C932" s="78" t="s">
        <v>1693</v>
      </c>
      <c r="D932" s="79" t="s">
        <v>1788</v>
      </c>
      <c r="E932" s="80" t="s">
        <v>1789</v>
      </c>
      <c r="F932" s="81">
        <v>71.5</v>
      </c>
      <c r="G932" s="222">
        <v>2</v>
      </c>
      <c r="H932" s="186"/>
      <c r="I932" s="186"/>
      <c r="J932" s="308"/>
      <c r="K932" s="227"/>
      <c r="L932" s="82">
        <f t="shared" si="439"/>
        <v>2</v>
      </c>
      <c r="M932" s="331">
        <v>2</v>
      </c>
      <c r="N932" s="161">
        <f t="shared" si="441"/>
        <v>143</v>
      </c>
      <c r="O932" s="161">
        <f t="shared" si="442"/>
        <v>143</v>
      </c>
      <c r="P932" s="187">
        <f t="shared" si="443"/>
        <v>0</v>
      </c>
      <c r="Q932" s="161">
        <f t="shared" si="444"/>
        <v>0</v>
      </c>
      <c r="R932" s="85"/>
      <c r="S932" s="86">
        <f t="shared" si="445"/>
        <v>2</v>
      </c>
      <c r="T932" s="87">
        <f t="shared" si="440"/>
        <v>0</v>
      </c>
      <c r="U932">
        <v>2</v>
      </c>
    </row>
    <row r="933" spans="2:25" ht="20.100000000000001" hidden="1" customHeight="1">
      <c r="B933" s="77">
        <v>9</v>
      </c>
      <c r="C933" s="78" t="s">
        <v>1693</v>
      </c>
      <c r="D933" s="79" t="s">
        <v>1790</v>
      </c>
      <c r="E933" s="80" t="s">
        <v>1791</v>
      </c>
      <c r="F933" s="81">
        <v>9.17</v>
      </c>
      <c r="G933" s="222">
        <v>87</v>
      </c>
      <c r="H933" s="186"/>
      <c r="I933" s="186"/>
      <c r="J933" s="308"/>
      <c r="K933" s="227">
        <v>13</v>
      </c>
      <c r="L933" s="82">
        <f t="shared" si="439"/>
        <v>74</v>
      </c>
      <c r="M933" s="331">
        <v>74</v>
      </c>
      <c r="N933" s="161">
        <f t="shared" si="441"/>
        <v>678.58</v>
      </c>
      <c r="O933" s="161">
        <f t="shared" si="442"/>
        <v>678.58</v>
      </c>
      <c r="P933" s="187">
        <f t="shared" si="443"/>
        <v>0</v>
      </c>
      <c r="Q933" s="161">
        <f t="shared" si="444"/>
        <v>0</v>
      </c>
      <c r="R933" s="85"/>
      <c r="S933" s="86">
        <f t="shared" si="445"/>
        <v>92</v>
      </c>
      <c r="T933" s="87">
        <f t="shared" si="440"/>
        <v>-18</v>
      </c>
      <c r="U933">
        <v>92</v>
      </c>
    </row>
    <row r="934" spans="2:25" ht="20.100000000000001" customHeight="1">
      <c r="B934" s="77">
        <v>9</v>
      </c>
      <c r="C934" s="78" t="s">
        <v>1693</v>
      </c>
      <c r="D934" s="79" t="s">
        <v>1792</v>
      </c>
      <c r="E934" s="80" t="s">
        <v>1793</v>
      </c>
      <c r="F934" s="81">
        <v>15.5</v>
      </c>
      <c r="G934" s="222">
        <v>7</v>
      </c>
      <c r="H934" s="186"/>
      <c r="I934" s="186"/>
      <c r="J934" s="308"/>
      <c r="K934" s="227">
        <v>1</v>
      </c>
      <c r="L934" s="82">
        <f t="shared" si="439"/>
        <v>6</v>
      </c>
      <c r="M934" s="331">
        <v>5</v>
      </c>
      <c r="N934" s="161">
        <f t="shared" si="441"/>
        <v>93</v>
      </c>
      <c r="O934" s="161">
        <f t="shared" si="442"/>
        <v>77.5</v>
      </c>
      <c r="P934" s="187">
        <f t="shared" si="443"/>
        <v>1</v>
      </c>
      <c r="Q934" s="161">
        <f t="shared" si="444"/>
        <v>15.5</v>
      </c>
      <c r="R934" s="85"/>
      <c r="S934" s="86">
        <f t="shared" si="445"/>
        <v>0</v>
      </c>
      <c r="T934" s="87">
        <f t="shared" si="440"/>
        <v>5</v>
      </c>
    </row>
    <row r="935" spans="2:25" ht="20.100000000000001" hidden="1" customHeight="1">
      <c r="B935" s="77">
        <v>9</v>
      </c>
      <c r="C935" s="78" t="s">
        <v>1693</v>
      </c>
      <c r="D935" s="79" t="s">
        <v>1794</v>
      </c>
      <c r="E935" s="80" t="s">
        <v>1795</v>
      </c>
      <c r="F935" s="81">
        <v>12.67</v>
      </c>
      <c r="G935" s="222"/>
      <c r="H935" s="186"/>
      <c r="I935" s="186"/>
      <c r="J935" s="308"/>
      <c r="K935" s="227"/>
      <c r="L935" s="82">
        <f t="shared" si="439"/>
        <v>0</v>
      </c>
      <c r="M935" s="331"/>
      <c r="N935" s="161">
        <f t="shared" si="441"/>
        <v>0</v>
      </c>
      <c r="O935" s="161">
        <f t="shared" si="442"/>
        <v>0</v>
      </c>
      <c r="P935" s="187">
        <f t="shared" si="443"/>
        <v>0</v>
      </c>
      <c r="Q935" s="161">
        <f t="shared" si="444"/>
        <v>0</v>
      </c>
      <c r="R935" s="85"/>
      <c r="S935" s="86">
        <f t="shared" si="445"/>
        <v>0</v>
      </c>
      <c r="T935" s="87">
        <f t="shared" si="440"/>
        <v>0</v>
      </c>
    </row>
    <row r="936" spans="2:25" ht="20.100000000000001" hidden="1" customHeight="1">
      <c r="B936" s="77">
        <v>9</v>
      </c>
      <c r="C936" s="78" t="s">
        <v>1693</v>
      </c>
      <c r="D936" s="79" t="s">
        <v>1796</v>
      </c>
      <c r="E936" s="80" t="s">
        <v>1797</v>
      </c>
      <c r="F936" s="81">
        <v>30.2</v>
      </c>
      <c r="G936" s="222"/>
      <c r="H936" s="186"/>
      <c r="I936" s="186"/>
      <c r="J936" s="308"/>
      <c r="K936" s="227">
        <v>1</v>
      </c>
      <c r="L936" s="82">
        <f t="shared" si="439"/>
        <v>-1</v>
      </c>
      <c r="M936" s="331"/>
      <c r="N936" s="161">
        <f t="shared" si="441"/>
        <v>-30.2</v>
      </c>
      <c r="O936" s="161">
        <f t="shared" si="442"/>
        <v>0</v>
      </c>
      <c r="P936" s="187">
        <f t="shared" si="443"/>
        <v>-1</v>
      </c>
      <c r="Q936" s="161">
        <f t="shared" si="444"/>
        <v>-30.2</v>
      </c>
      <c r="R936" s="85"/>
      <c r="S936" s="86">
        <f t="shared" si="445"/>
        <v>0</v>
      </c>
      <c r="T936" s="87">
        <f t="shared" si="440"/>
        <v>0</v>
      </c>
    </row>
    <row r="937" spans="2:25" ht="20.100000000000001" hidden="1" customHeight="1">
      <c r="B937" s="77">
        <v>9</v>
      </c>
      <c r="C937" s="78" t="s">
        <v>1693</v>
      </c>
      <c r="D937" s="79" t="s">
        <v>1798</v>
      </c>
      <c r="E937" s="80" t="s">
        <v>1799</v>
      </c>
      <c r="F937" s="81">
        <v>91.5</v>
      </c>
      <c r="G937" s="222"/>
      <c r="H937" s="186"/>
      <c r="I937" s="186"/>
      <c r="J937" s="308"/>
      <c r="K937" s="227"/>
      <c r="L937" s="82">
        <f t="shared" si="439"/>
        <v>0</v>
      </c>
      <c r="M937" s="331"/>
      <c r="N937" s="161">
        <f t="shared" si="441"/>
        <v>0</v>
      </c>
      <c r="O937" s="161">
        <f t="shared" si="442"/>
        <v>0</v>
      </c>
      <c r="P937" s="187">
        <f t="shared" si="443"/>
        <v>0</v>
      </c>
      <c r="Q937" s="161">
        <f t="shared" si="444"/>
        <v>0</v>
      </c>
      <c r="R937" s="85"/>
      <c r="S937" s="86">
        <f t="shared" si="445"/>
        <v>2</v>
      </c>
      <c r="T937" s="87">
        <f t="shared" si="440"/>
        <v>-2</v>
      </c>
      <c r="U937">
        <v>2</v>
      </c>
    </row>
    <row r="938" spans="2:25" ht="20.100000000000001" hidden="1" customHeight="1">
      <c r="B938" s="77">
        <v>9</v>
      </c>
      <c r="C938" s="78" t="s">
        <v>1693</v>
      </c>
      <c r="D938" s="79" t="s">
        <v>1800</v>
      </c>
      <c r="E938" s="80" t="s">
        <v>1801</v>
      </c>
      <c r="F938" s="81">
        <v>152</v>
      </c>
      <c r="G938" s="222">
        <v>6</v>
      </c>
      <c r="H938" s="186"/>
      <c r="I938" s="186"/>
      <c r="J938" s="308"/>
      <c r="K938" s="227"/>
      <c r="L938" s="82">
        <f t="shared" si="439"/>
        <v>6</v>
      </c>
      <c r="M938" s="331">
        <v>6</v>
      </c>
      <c r="N938" s="161">
        <f t="shared" si="441"/>
        <v>912</v>
      </c>
      <c r="O938" s="161">
        <f t="shared" si="442"/>
        <v>912</v>
      </c>
      <c r="P938" s="187">
        <f t="shared" si="443"/>
        <v>0</v>
      </c>
      <c r="Q938" s="161">
        <f t="shared" si="444"/>
        <v>0</v>
      </c>
      <c r="R938" s="85"/>
      <c r="S938" s="86">
        <f t="shared" si="445"/>
        <v>6</v>
      </c>
      <c r="T938" s="87">
        <f t="shared" si="440"/>
        <v>0</v>
      </c>
      <c r="Y938">
        <v>6</v>
      </c>
    </row>
    <row r="939" spans="2:25" ht="20.100000000000001" hidden="1" customHeight="1">
      <c r="B939" s="77">
        <v>9</v>
      </c>
      <c r="C939" s="78" t="s">
        <v>1693</v>
      </c>
      <c r="D939" s="79" t="s">
        <v>1802</v>
      </c>
      <c r="E939" s="80" t="s">
        <v>1803</v>
      </c>
      <c r="F939" s="81">
        <v>133</v>
      </c>
      <c r="G939" s="222"/>
      <c r="H939" s="186"/>
      <c r="I939" s="186"/>
      <c r="J939" s="308"/>
      <c r="K939" s="227"/>
      <c r="L939" s="82">
        <f t="shared" si="439"/>
        <v>0</v>
      </c>
      <c r="M939" s="331"/>
      <c r="N939" s="161">
        <f t="shared" si="441"/>
        <v>0</v>
      </c>
      <c r="O939" s="161">
        <f t="shared" si="442"/>
        <v>0</v>
      </c>
      <c r="P939" s="187">
        <f t="shared" si="443"/>
        <v>0</v>
      </c>
      <c r="Q939" s="161">
        <f t="shared" si="444"/>
        <v>0</v>
      </c>
      <c r="R939" s="85"/>
      <c r="S939" s="86">
        <f t="shared" si="445"/>
        <v>0</v>
      </c>
      <c r="T939" s="87">
        <f t="shared" si="440"/>
        <v>0</v>
      </c>
    </row>
    <row r="940" spans="2:25" ht="20.100000000000001" hidden="1" customHeight="1">
      <c r="B940" s="77">
        <v>9</v>
      </c>
      <c r="C940" s="78" t="s">
        <v>1693</v>
      </c>
      <c r="D940" s="79" t="s">
        <v>1804</v>
      </c>
      <c r="E940" s="80" t="s">
        <v>1805</v>
      </c>
      <c r="F940" s="81">
        <v>152</v>
      </c>
      <c r="G940" s="222">
        <v>10</v>
      </c>
      <c r="H940" s="186"/>
      <c r="I940" s="186"/>
      <c r="J940" s="308"/>
      <c r="K940" s="227"/>
      <c r="L940" s="82">
        <f t="shared" si="439"/>
        <v>10</v>
      </c>
      <c r="M940" s="331">
        <v>10</v>
      </c>
      <c r="N940" s="161">
        <f t="shared" si="441"/>
        <v>1520</v>
      </c>
      <c r="O940" s="161">
        <f t="shared" si="442"/>
        <v>1520</v>
      </c>
      <c r="P940" s="187">
        <f t="shared" si="443"/>
        <v>0</v>
      </c>
      <c r="Q940" s="161">
        <f t="shared" si="444"/>
        <v>0</v>
      </c>
      <c r="R940" s="85"/>
      <c r="S940" s="86">
        <f t="shared" si="445"/>
        <v>12</v>
      </c>
      <c r="T940" s="87">
        <f t="shared" si="440"/>
        <v>-2</v>
      </c>
      <c r="U940">
        <v>3</v>
      </c>
      <c r="Y940">
        <v>9</v>
      </c>
    </row>
    <row r="941" spans="2:25" ht="20.100000000000001" hidden="1" customHeight="1">
      <c r="B941" s="77">
        <v>9</v>
      </c>
      <c r="C941" s="78" t="s">
        <v>1693</v>
      </c>
      <c r="D941" s="79" t="s">
        <v>1806</v>
      </c>
      <c r="E941" s="80" t="s">
        <v>1807</v>
      </c>
      <c r="F941" s="81">
        <v>133</v>
      </c>
      <c r="G941" s="222"/>
      <c r="H941" s="186"/>
      <c r="I941" s="186"/>
      <c r="J941" s="308"/>
      <c r="K941" s="227"/>
      <c r="L941" s="82">
        <f t="shared" si="439"/>
        <v>0</v>
      </c>
      <c r="M941" s="331"/>
      <c r="N941" s="161">
        <f t="shared" si="441"/>
        <v>0</v>
      </c>
      <c r="O941" s="161">
        <f t="shared" si="442"/>
        <v>0</v>
      </c>
      <c r="P941" s="187">
        <f t="shared" si="443"/>
        <v>0</v>
      </c>
      <c r="Q941" s="161">
        <f t="shared" si="444"/>
        <v>0</v>
      </c>
      <c r="R941" s="85"/>
      <c r="S941" s="86">
        <f t="shared" si="445"/>
        <v>0</v>
      </c>
      <c r="T941" s="87">
        <f t="shared" si="440"/>
        <v>0</v>
      </c>
    </row>
    <row r="942" spans="2:25" ht="20.100000000000001" hidden="1" customHeight="1">
      <c r="B942" s="77">
        <v>9</v>
      </c>
      <c r="C942" s="78" t="s">
        <v>1693</v>
      </c>
      <c r="D942" s="79" t="s">
        <v>1808</v>
      </c>
      <c r="E942" s="80" t="s">
        <v>1809</v>
      </c>
      <c r="F942" s="81">
        <v>152</v>
      </c>
      <c r="G942" s="222"/>
      <c r="H942" s="186"/>
      <c r="I942" s="186"/>
      <c r="J942" s="308"/>
      <c r="K942" s="227"/>
      <c r="L942" s="82">
        <f t="shared" si="439"/>
        <v>0</v>
      </c>
      <c r="M942" s="331"/>
      <c r="N942" s="161">
        <f t="shared" si="441"/>
        <v>0</v>
      </c>
      <c r="O942" s="161">
        <f t="shared" si="442"/>
        <v>0</v>
      </c>
      <c r="P942" s="187">
        <f t="shared" si="443"/>
        <v>0</v>
      </c>
      <c r="Q942" s="161">
        <f t="shared" si="444"/>
        <v>0</v>
      </c>
      <c r="R942" s="85"/>
      <c r="S942" s="86">
        <f t="shared" si="445"/>
        <v>0</v>
      </c>
      <c r="T942" s="87">
        <f t="shared" si="440"/>
        <v>0</v>
      </c>
    </row>
    <row r="943" spans="2:25" ht="20.100000000000001" hidden="1" customHeight="1">
      <c r="B943" s="77">
        <v>9</v>
      </c>
      <c r="C943" s="78" t="s">
        <v>1693</v>
      </c>
      <c r="D943" s="79" t="s">
        <v>1810</v>
      </c>
      <c r="E943" s="80" t="s">
        <v>1811</v>
      </c>
      <c r="F943" s="81">
        <v>171</v>
      </c>
      <c r="G943" s="222"/>
      <c r="H943" s="186"/>
      <c r="I943" s="186"/>
      <c r="J943" s="308"/>
      <c r="K943" s="227"/>
      <c r="L943" s="82">
        <f t="shared" si="439"/>
        <v>0</v>
      </c>
      <c r="M943" s="331"/>
      <c r="N943" s="161">
        <f t="shared" si="441"/>
        <v>0</v>
      </c>
      <c r="O943" s="161">
        <f t="shared" si="442"/>
        <v>0</v>
      </c>
      <c r="P943" s="187">
        <f t="shared" si="443"/>
        <v>0</v>
      </c>
      <c r="Q943" s="161">
        <f t="shared" si="444"/>
        <v>0</v>
      </c>
      <c r="R943" s="85"/>
      <c r="S943" s="86">
        <f t="shared" si="445"/>
        <v>0</v>
      </c>
      <c r="T943" s="87">
        <f t="shared" si="440"/>
        <v>0</v>
      </c>
    </row>
    <row r="944" spans="2:25" ht="20.100000000000001" hidden="1" customHeight="1">
      <c r="B944" s="77">
        <v>9</v>
      </c>
      <c r="C944" s="78" t="s">
        <v>1693</v>
      </c>
      <c r="D944" s="79" t="s">
        <v>1812</v>
      </c>
      <c r="E944" s="80" t="s">
        <v>1813</v>
      </c>
      <c r="F944" s="81">
        <v>8.3000000000000007</v>
      </c>
      <c r="G944" s="222">
        <v>264</v>
      </c>
      <c r="H944" s="186"/>
      <c r="I944" s="186"/>
      <c r="J944" s="308"/>
      <c r="K944" s="227"/>
      <c r="L944" s="82">
        <f t="shared" si="439"/>
        <v>264</v>
      </c>
      <c r="M944" s="331">
        <v>264</v>
      </c>
      <c r="N944" s="161">
        <f t="shared" si="441"/>
        <v>2191.2000000000003</v>
      </c>
      <c r="O944" s="161">
        <f t="shared" si="442"/>
        <v>2191.2000000000003</v>
      </c>
      <c r="P944" s="187">
        <f t="shared" si="443"/>
        <v>0</v>
      </c>
      <c r="Q944" s="161">
        <f t="shared" si="444"/>
        <v>0</v>
      </c>
      <c r="R944" s="232"/>
      <c r="S944" s="86">
        <f t="shared" si="445"/>
        <v>264</v>
      </c>
      <c r="T944" s="87">
        <f t="shared" si="440"/>
        <v>0</v>
      </c>
      <c r="Y944">
        <v>264</v>
      </c>
    </row>
    <row r="945" spans="2:25" ht="20.100000000000001" hidden="1" customHeight="1">
      <c r="B945" s="77">
        <v>9</v>
      </c>
      <c r="C945" s="78" t="s">
        <v>1693</v>
      </c>
      <c r="D945" s="79" t="s">
        <v>1814</v>
      </c>
      <c r="E945" s="80" t="s">
        <v>1815</v>
      </c>
      <c r="F945" s="81">
        <v>120.1</v>
      </c>
      <c r="G945" s="222"/>
      <c r="H945" s="186"/>
      <c r="I945" s="186"/>
      <c r="J945" s="308"/>
      <c r="K945" s="227"/>
      <c r="L945" s="82">
        <f t="shared" si="439"/>
        <v>0</v>
      </c>
      <c r="M945" s="331"/>
      <c r="N945" s="161">
        <f t="shared" si="441"/>
        <v>0</v>
      </c>
      <c r="O945" s="161">
        <f t="shared" si="442"/>
        <v>0</v>
      </c>
      <c r="P945" s="187">
        <f t="shared" si="443"/>
        <v>0</v>
      </c>
      <c r="Q945" s="161">
        <f t="shared" si="444"/>
        <v>0</v>
      </c>
      <c r="R945" s="85"/>
      <c r="S945" s="86">
        <f t="shared" si="445"/>
        <v>0</v>
      </c>
      <c r="T945" s="87">
        <f t="shared" si="440"/>
        <v>0</v>
      </c>
    </row>
    <row r="946" spans="2:25" ht="20.100000000000001" hidden="1" customHeight="1">
      <c r="B946" s="77">
        <v>9</v>
      </c>
      <c r="C946" s="78" t="s">
        <v>1693</v>
      </c>
      <c r="D946" s="79" t="s">
        <v>1816</v>
      </c>
      <c r="E946" s="80" t="s">
        <v>1817</v>
      </c>
      <c r="F946" s="81">
        <v>120.1</v>
      </c>
      <c r="G946" s="222">
        <v>4</v>
      </c>
      <c r="H946" s="186"/>
      <c r="I946" s="186"/>
      <c r="J946" s="308"/>
      <c r="K946" s="227"/>
      <c r="L946" s="82">
        <f t="shared" si="439"/>
        <v>4</v>
      </c>
      <c r="M946" s="331">
        <v>4</v>
      </c>
      <c r="N946" s="161">
        <f t="shared" si="441"/>
        <v>480.4</v>
      </c>
      <c r="O946" s="161">
        <f t="shared" si="442"/>
        <v>480.4</v>
      </c>
      <c r="P946" s="187">
        <f t="shared" si="443"/>
        <v>0</v>
      </c>
      <c r="Q946" s="161">
        <f t="shared" si="444"/>
        <v>0</v>
      </c>
      <c r="R946" s="85"/>
      <c r="S946" s="86">
        <f t="shared" si="445"/>
        <v>4</v>
      </c>
      <c r="T946" s="87">
        <f t="shared" si="440"/>
        <v>0</v>
      </c>
      <c r="U946">
        <v>4</v>
      </c>
    </row>
    <row r="947" spans="2:25" ht="20.100000000000001" hidden="1" customHeight="1">
      <c r="B947" s="77">
        <v>9</v>
      </c>
      <c r="C947" s="78" t="s">
        <v>1693</v>
      </c>
      <c r="D947" s="79" t="s">
        <v>1818</v>
      </c>
      <c r="E947" s="80" t="s">
        <v>1819</v>
      </c>
      <c r="F947" s="81">
        <v>28.97</v>
      </c>
      <c r="G947" s="222"/>
      <c r="H947" s="186"/>
      <c r="I947" s="186"/>
      <c r="J947" s="308"/>
      <c r="K947" s="227"/>
      <c r="L947" s="82">
        <f t="shared" si="439"/>
        <v>0</v>
      </c>
      <c r="M947" s="331"/>
      <c r="N947" s="161">
        <f t="shared" si="441"/>
        <v>0</v>
      </c>
      <c r="O947" s="161">
        <f t="shared" si="442"/>
        <v>0</v>
      </c>
      <c r="P947" s="187">
        <f t="shared" si="443"/>
        <v>0</v>
      </c>
      <c r="Q947" s="161">
        <f t="shared" si="444"/>
        <v>0</v>
      </c>
      <c r="R947" s="85"/>
      <c r="S947" s="86">
        <f t="shared" si="445"/>
        <v>0</v>
      </c>
      <c r="T947" s="87">
        <f t="shared" si="440"/>
        <v>0</v>
      </c>
    </row>
    <row r="948" spans="2:25" ht="20.100000000000001" hidden="1" customHeight="1">
      <c r="B948" s="77">
        <v>9</v>
      </c>
      <c r="C948" s="78" t="s">
        <v>1693</v>
      </c>
      <c r="D948" s="79" t="s">
        <v>1820</v>
      </c>
      <c r="E948" s="80" t="s">
        <v>1821</v>
      </c>
      <c r="F948" s="81">
        <v>120.1</v>
      </c>
      <c r="G948" s="222"/>
      <c r="H948" s="186"/>
      <c r="I948" s="186"/>
      <c r="J948" s="308"/>
      <c r="K948" s="227"/>
      <c r="L948" s="82">
        <f t="shared" si="439"/>
        <v>0</v>
      </c>
      <c r="M948" s="331"/>
      <c r="N948" s="161">
        <f t="shared" si="441"/>
        <v>0</v>
      </c>
      <c r="O948" s="161">
        <f t="shared" si="442"/>
        <v>0</v>
      </c>
      <c r="P948" s="187">
        <f t="shared" si="443"/>
        <v>0</v>
      </c>
      <c r="Q948" s="161">
        <f t="shared" si="444"/>
        <v>0</v>
      </c>
      <c r="R948" s="85"/>
      <c r="S948" s="86">
        <f t="shared" si="445"/>
        <v>0</v>
      </c>
      <c r="T948" s="87">
        <f t="shared" si="440"/>
        <v>0</v>
      </c>
    </row>
    <row r="949" spans="2:25" ht="20.100000000000001" hidden="1" customHeight="1">
      <c r="B949" s="77">
        <v>9</v>
      </c>
      <c r="C949" s="78" t="s">
        <v>1693</v>
      </c>
      <c r="D949" s="79" t="s">
        <v>1822</v>
      </c>
      <c r="E949" s="80" t="s">
        <v>1823</v>
      </c>
      <c r="F949" s="81">
        <v>91.5</v>
      </c>
      <c r="G949" s="222">
        <v>11</v>
      </c>
      <c r="H949" s="186"/>
      <c r="I949" s="186"/>
      <c r="J949" s="308"/>
      <c r="K949" s="227"/>
      <c r="L949" s="82">
        <f t="shared" si="439"/>
        <v>11</v>
      </c>
      <c r="M949" s="331">
        <v>11</v>
      </c>
      <c r="N949" s="161">
        <f t="shared" si="441"/>
        <v>1006.5</v>
      </c>
      <c r="O949" s="161">
        <f t="shared" si="442"/>
        <v>1006.5</v>
      </c>
      <c r="P949" s="187">
        <f t="shared" si="443"/>
        <v>0</v>
      </c>
      <c r="Q949" s="161">
        <f t="shared" si="444"/>
        <v>0</v>
      </c>
      <c r="R949" s="85"/>
      <c r="S949" s="86">
        <f t="shared" si="445"/>
        <v>11</v>
      </c>
      <c r="T949" s="87">
        <f t="shared" si="440"/>
        <v>0</v>
      </c>
      <c r="Y949">
        <v>11</v>
      </c>
    </row>
    <row r="950" spans="2:25" ht="20.100000000000001" hidden="1" customHeight="1">
      <c r="B950" s="77">
        <v>9</v>
      </c>
      <c r="C950" s="78" t="s">
        <v>1693</v>
      </c>
      <c r="D950" s="79" t="s">
        <v>1824</v>
      </c>
      <c r="E950" s="80" t="s">
        <v>1825</v>
      </c>
      <c r="F950" s="81">
        <v>133</v>
      </c>
      <c r="G950" s="222">
        <v>8</v>
      </c>
      <c r="H950" s="186"/>
      <c r="I950" s="186"/>
      <c r="J950" s="308"/>
      <c r="K950" s="227"/>
      <c r="L950" s="82">
        <f t="shared" si="439"/>
        <v>8</v>
      </c>
      <c r="M950" s="331">
        <v>8</v>
      </c>
      <c r="N950" s="161">
        <f t="shared" si="441"/>
        <v>1064</v>
      </c>
      <c r="O950" s="161">
        <f t="shared" si="442"/>
        <v>1064</v>
      </c>
      <c r="P950" s="187">
        <f t="shared" si="443"/>
        <v>0</v>
      </c>
      <c r="Q950" s="161">
        <f t="shared" si="444"/>
        <v>0</v>
      </c>
      <c r="R950" s="85"/>
      <c r="S950" s="86">
        <f t="shared" si="445"/>
        <v>8</v>
      </c>
      <c r="T950" s="87">
        <f t="shared" si="440"/>
        <v>0</v>
      </c>
      <c r="Y950">
        <v>8</v>
      </c>
    </row>
    <row r="951" spans="2:25" ht="20.100000000000001" customHeight="1">
      <c r="B951" s="77">
        <v>9</v>
      </c>
      <c r="C951" s="78" t="s">
        <v>1693</v>
      </c>
      <c r="D951" s="79" t="s">
        <v>1826</v>
      </c>
      <c r="E951" s="80" t="s">
        <v>1827</v>
      </c>
      <c r="F951" s="81">
        <v>8.3000000000000007</v>
      </c>
      <c r="G951" s="222">
        <v>2</v>
      </c>
      <c r="H951" s="186"/>
      <c r="I951" s="186"/>
      <c r="J951" s="308"/>
      <c r="K951" s="227"/>
      <c r="L951" s="82">
        <f t="shared" si="439"/>
        <v>2</v>
      </c>
      <c r="M951" s="331">
        <v>1</v>
      </c>
      <c r="N951" s="161">
        <f t="shared" si="441"/>
        <v>16.600000000000001</v>
      </c>
      <c r="O951" s="161">
        <f t="shared" si="442"/>
        <v>8.3000000000000007</v>
      </c>
      <c r="P951" s="187">
        <f t="shared" si="443"/>
        <v>1</v>
      </c>
      <c r="Q951" s="161">
        <f t="shared" si="444"/>
        <v>8.3000000000000007</v>
      </c>
      <c r="R951" s="85"/>
      <c r="S951" s="86">
        <f t="shared" si="445"/>
        <v>2</v>
      </c>
      <c r="T951" s="87">
        <f t="shared" si="440"/>
        <v>-1</v>
      </c>
      <c r="U951">
        <v>2</v>
      </c>
    </row>
    <row r="952" spans="2:25" ht="20.100000000000001" hidden="1" customHeight="1">
      <c r="B952" s="77">
        <v>9</v>
      </c>
      <c r="C952" s="78" t="s">
        <v>1693</v>
      </c>
      <c r="D952" s="79" t="s">
        <v>1828</v>
      </c>
      <c r="E952" s="80" t="s">
        <v>1829</v>
      </c>
      <c r="F952" s="81">
        <v>45</v>
      </c>
      <c r="G952" s="222">
        <v>3</v>
      </c>
      <c r="H952" s="186"/>
      <c r="I952" s="186"/>
      <c r="J952" s="308"/>
      <c r="K952" s="227"/>
      <c r="L952" s="82">
        <f t="shared" si="439"/>
        <v>3</v>
      </c>
      <c r="M952" s="331">
        <v>3</v>
      </c>
      <c r="N952" s="161">
        <f t="shared" si="441"/>
        <v>135</v>
      </c>
      <c r="O952" s="161">
        <f t="shared" si="442"/>
        <v>135</v>
      </c>
      <c r="P952" s="187">
        <f t="shared" si="443"/>
        <v>0</v>
      </c>
      <c r="Q952" s="161">
        <f t="shared" si="444"/>
        <v>0</v>
      </c>
      <c r="R952" s="85"/>
      <c r="S952" s="86">
        <f t="shared" si="445"/>
        <v>3</v>
      </c>
      <c r="T952" s="87">
        <f t="shared" si="440"/>
        <v>0</v>
      </c>
      <c r="U952">
        <v>3</v>
      </c>
    </row>
    <row r="953" spans="2:25" ht="20.100000000000001" hidden="1" customHeight="1">
      <c r="B953" s="77">
        <v>9</v>
      </c>
      <c r="C953" s="78" t="s">
        <v>1693</v>
      </c>
      <c r="D953" s="79" t="s">
        <v>1830</v>
      </c>
      <c r="E953" s="80" t="s">
        <v>1831</v>
      </c>
      <c r="F953" s="81">
        <v>23.1</v>
      </c>
      <c r="G953" s="222"/>
      <c r="H953" s="186"/>
      <c r="I953" s="186"/>
      <c r="J953" s="308"/>
      <c r="K953" s="227"/>
      <c r="L953" s="82">
        <f t="shared" si="439"/>
        <v>0</v>
      </c>
      <c r="M953" s="331"/>
      <c r="N953" s="161">
        <f t="shared" si="441"/>
        <v>0</v>
      </c>
      <c r="O953" s="161">
        <f t="shared" si="442"/>
        <v>0</v>
      </c>
      <c r="P953" s="187">
        <f t="shared" si="443"/>
        <v>0</v>
      </c>
      <c r="Q953" s="161">
        <f t="shared" si="444"/>
        <v>0</v>
      </c>
      <c r="R953" s="85"/>
      <c r="S953" s="86">
        <f t="shared" si="445"/>
        <v>0</v>
      </c>
      <c r="T953" s="87">
        <f t="shared" si="440"/>
        <v>0</v>
      </c>
    </row>
    <row r="954" spans="2:25" ht="20.100000000000001" hidden="1" customHeight="1">
      <c r="B954" s="77">
        <v>9</v>
      </c>
      <c r="C954" s="78" t="s">
        <v>1693</v>
      </c>
      <c r="D954" s="79" t="s">
        <v>1832</v>
      </c>
      <c r="E954" s="80" t="s">
        <v>1833</v>
      </c>
      <c r="F954" s="81">
        <v>16.100000000000001</v>
      </c>
      <c r="G954" s="222"/>
      <c r="H954" s="186"/>
      <c r="I954" s="186"/>
      <c r="J954" s="308"/>
      <c r="K954" s="227"/>
      <c r="L954" s="82">
        <f t="shared" si="439"/>
        <v>0</v>
      </c>
      <c r="M954" s="331"/>
      <c r="N954" s="161">
        <f t="shared" si="441"/>
        <v>0</v>
      </c>
      <c r="O954" s="161">
        <f t="shared" si="442"/>
        <v>0</v>
      </c>
      <c r="P954" s="187">
        <f t="shared" si="443"/>
        <v>0</v>
      </c>
      <c r="Q954" s="161">
        <f t="shared" si="444"/>
        <v>0</v>
      </c>
      <c r="R954" s="85"/>
      <c r="S954" s="86">
        <f t="shared" si="445"/>
        <v>0</v>
      </c>
      <c r="T954" s="87">
        <f t="shared" si="440"/>
        <v>0</v>
      </c>
    </row>
    <row r="955" spans="2:25" ht="20.100000000000001" hidden="1" customHeight="1">
      <c r="B955" s="77">
        <v>9</v>
      </c>
      <c r="C955" s="78" t="s">
        <v>1693</v>
      </c>
      <c r="D955" s="79" t="s">
        <v>1834</v>
      </c>
      <c r="E955" s="80" t="s">
        <v>1835</v>
      </c>
      <c r="F955" s="81">
        <v>157</v>
      </c>
      <c r="G955" s="222"/>
      <c r="H955" s="186"/>
      <c r="I955" s="186"/>
      <c r="J955" s="308"/>
      <c r="K955" s="227"/>
      <c r="L955" s="82">
        <f t="shared" si="439"/>
        <v>0</v>
      </c>
      <c r="M955" s="331"/>
      <c r="N955" s="161">
        <f t="shared" si="441"/>
        <v>0</v>
      </c>
      <c r="O955" s="161">
        <f t="shared" si="442"/>
        <v>0</v>
      </c>
      <c r="P955" s="187">
        <f t="shared" si="443"/>
        <v>0</v>
      </c>
      <c r="Q955" s="161">
        <f t="shared" si="444"/>
        <v>0</v>
      </c>
      <c r="R955" s="85"/>
      <c r="S955" s="86">
        <f t="shared" si="445"/>
        <v>0</v>
      </c>
      <c r="T955" s="87">
        <f t="shared" si="440"/>
        <v>0</v>
      </c>
    </row>
    <row r="956" spans="2:25" ht="20.100000000000001" hidden="1" customHeight="1">
      <c r="B956" s="77">
        <v>9</v>
      </c>
      <c r="C956" s="78" t="s">
        <v>1693</v>
      </c>
      <c r="D956" s="79" t="s">
        <v>1836</v>
      </c>
      <c r="E956" s="80" t="s">
        <v>1837</v>
      </c>
      <c r="F956" s="81">
        <v>177</v>
      </c>
      <c r="G956" s="222">
        <v>1</v>
      </c>
      <c r="H956" s="186"/>
      <c r="I956" s="186"/>
      <c r="J956" s="308"/>
      <c r="K956" s="227"/>
      <c r="L956" s="82">
        <f t="shared" si="439"/>
        <v>1</v>
      </c>
      <c r="M956" s="331">
        <v>1</v>
      </c>
      <c r="N956" s="161">
        <f t="shared" si="441"/>
        <v>177</v>
      </c>
      <c r="O956" s="161">
        <f t="shared" si="442"/>
        <v>177</v>
      </c>
      <c r="P956" s="187">
        <f t="shared" si="443"/>
        <v>0</v>
      </c>
      <c r="Q956" s="161">
        <f t="shared" si="444"/>
        <v>0</v>
      </c>
      <c r="R956" s="85"/>
      <c r="S956" s="86">
        <f t="shared" si="445"/>
        <v>1</v>
      </c>
      <c r="T956" s="87">
        <f t="shared" si="440"/>
        <v>0</v>
      </c>
      <c r="Y956">
        <v>1</v>
      </c>
    </row>
    <row r="957" spans="2:25" ht="20.100000000000001" hidden="1" customHeight="1">
      <c r="B957" s="77">
        <v>9</v>
      </c>
      <c r="C957" s="78" t="s">
        <v>1693</v>
      </c>
      <c r="D957" s="79" t="s">
        <v>1838</v>
      </c>
      <c r="E957" s="80" t="s">
        <v>1839</v>
      </c>
      <c r="F957" s="81">
        <v>8.77</v>
      </c>
      <c r="G957" s="222"/>
      <c r="H957" s="186"/>
      <c r="I957" s="186"/>
      <c r="J957" s="308"/>
      <c r="K957" s="227"/>
      <c r="L957" s="82">
        <f t="shared" si="439"/>
        <v>0</v>
      </c>
      <c r="M957" s="331"/>
      <c r="N957" s="161">
        <f t="shared" si="441"/>
        <v>0</v>
      </c>
      <c r="O957" s="161">
        <f t="shared" si="442"/>
        <v>0</v>
      </c>
      <c r="P957" s="187">
        <f t="shared" si="443"/>
        <v>0</v>
      </c>
      <c r="Q957" s="161">
        <f t="shared" si="444"/>
        <v>0</v>
      </c>
      <c r="R957" s="232"/>
      <c r="S957" s="86">
        <f t="shared" si="445"/>
        <v>0</v>
      </c>
      <c r="T957" s="87">
        <f t="shared" si="440"/>
        <v>0</v>
      </c>
    </row>
    <row r="958" spans="2:25" ht="20.100000000000001" hidden="1" customHeight="1">
      <c r="B958" s="77">
        <v>9</v>
      </c>
      <c r="C958" s="78" t="s">
        <v>1693</v>
      </c>
      <c r="D958" s="79" t="s">
        <v>1840</v>
      </c>
      <c r="E958" s="80" t="s">
        <v>1841</v>
      </c>
      <c r="F958" s="81">
        <v>6.12</v>
      </c>
      <c r="G958" s="222"/>
      <c r="H958" s="186"/>
      <c r="I958" s="186"/>
      <c r="J958" s="308"/>
      <c r="K958" s="227"/>
      <c r="L958" s="82">
        <f t="shared" si="439"/>
        <v>0</v>
      </c>
      <c r="M958" s="331"/>
      <c r="N958" s="161">
        <f t="shared" si="441"/>
        <v>0</v>
      </c>
      <c r="O958" s="161">
        <f t="shared" si="442"/>
        <v>0</v>
      </c>
      <c r="P958" s="187">
        <f t="shared" si="443"/>
        <v>0</v>
      </c>
      <c r="Q958" s="161">
        <f t="shared" si="444"/>
        <v>0</v>
      </c>
      <c r="R958" s="85"/>
      <c r="S958" s="86">
        <f t="shared" si="445"/>
        <v>0</v>
      </c>
      <c r="T958" s="87">
        <f t="shared" si="440"/>
        <v>0</v>
      </c>
    </row>
    <row r="959" spans="2:25" ht="20.100000000000001" hidden="1" customHeight="1">
      <c r="B959" s="77">
        <v>9</v>
      </c>
      <c r="C959" s="78" t="s">
        <v>1693</v>
      </c>
      <c r="D959" s="79" t="s">
        <v>1842</v>
      </c>
      <c r="E959" s="80" t="s">
        <v>1843</v>
      </c>
      <c r="F959" s="81">
        <v>8.77</v>
      </c>
      <c r="G959" s="222"/>
      <c r="H959" s="186"/>
      <c r="I959" s="186"/>
      <c r="J959" s="308"/>
      <c r="K959" s="227"/>
      <c r="L959" s="82">
        <f t="shared" si="439"/>
        <v>0</v>
      </c>
      <c r="M959" s="331"/>
      <c r="N959" s="161">
        <f t="shared" si="441"/>
        <v>0</v>
      </c>
      <c r="O959" s="161">
        <f t="shared" si="442"/>
        <v>0</v>
      </c>
      <c r="P959" s="187">
        <f t="shared" si="443"/>
        <v>0</v>
      </c>
      <c r="Q959" s="161">
        <f t="shared" si="444"/>
        <v>0</v>
      </c>
      <c r="R959" s="85"/>
      <c r="S959" s="86">
        <f t="shared" si="445"/>
        <v>0</v>
      </c>
      <c r="T959" s="87">
        <f t="shared" si="440"/>
        <v>0</v>
      </c>
    </row>
    <row r="960" spans="2:25" ht="20.100000000000001" hidden="1" customHeight="1">
      <c r="B960" s="77">
        <v>9</v>
      </c>
      <c r="C960" s="78" t="s">
        <v>1693</v>
      </c>
      <c r="D960" s="79" t="s">
        <v>1844</v>
      </c>
      <c r="E960" s="80" t="s">
        <v>1845</v>
      </c>
      <c r="F960" s="81">
        <v>6.05</v>
      </c>
      <c r="G960" s="222">
        <v>440</v>
      </c>
      <c r="H960" s="186"/>
      <c r="I960" s="186"/>
      <c r="J960" s="308"/>
      <c r="K960" s="227"/>
      <c r="L960" s="82">
        <f t="shared" si="439"/>
        <v>440</v>
      </c>
      <c r="M960" s="331">
        <f>8+432</f>
        <v>440</v>
      </c>
      <c r="N960" s="161">
        <f t="shared" si="441"/>
        <v>2662</v>
      </c>
      <c r="O960" s="161">
        <f t="shared" si="442"/>
        <v>2662</v>
      </c>
      <c r="P960" s="187">
        <f t="shared" si="443"/>
        <v>0</v>
      </c>
      <c r="Q960" s="161">
        <f t="shared" si="444"/>
        <v>0</v>
      </c>
      <c r="R960" s="85" t="s">
        <v>387</v>
      </c>
      <c r="S960" s="86">
        <f t="shared" si="445"/>
        <v>436</v>
      </c>
      <c r="T960" s="87">
        <f t="shared" si="440"/>
        <v>4</v>
      </c>
      <c r="U960">
        <v>4</v>
      </c>
      <c r="Y960">
        <v>432</v>
      </c>
    </row>
    <row r="961" spans="2:31" ht="20.100000000000001" hidden="1" customHeight="1">
      <c r="B961" s="77">
        <v>9</v>
      </c>
      <c r="C961" s="78" t="s">
        <v>1693</v>
      </c>
      <c r="D961" s="79" t="s">
        <v>1846</v>
      </c>
      <c r="E961" s="80" t="s">
        <v>1847</v>
      </c>
      <c r="F961" s="81">
        <v>67.88</v>
      </c>
      <c r="G961" s="222">
        <v>3</v>
      </c>
      <c r="H961" s="186"/>
      <c r="I961" s="186"/>
      <c r="J961" s="308"/>
      <c r="K961" s="227">
        <v>1</v>
      </c>
      <c r="L961" s="82">
        <f t="shared" si="439"/>
        <v>2</v>
      </c>
      <c r="M961" s="331">
        <v>2</v>
      </c>
      <c r="N961" s="161">
        <f t="shared" si="441"/>
        <v>135.76</v>
      </c>
      <c r="O961" s="161">
        <f t="shared" si="442"/>
        <v>135.76</v>
      </c>
      <c r="P961" s="187">
        <f t="shared" si="443"/>
        <v>0</v>
      </c>
      <c r="Q961" s="161">
        <f t="shared" si="444"/>
        <v>0</v>
      </c>
      <c r="R961" s="232"/>
      <c r="S961" s="86">
        <f t="shared" si="445"/>
        <v>65</v>
      </c>
      <c r="T961" s="87">
        <f t="shared" si="440"/>
        <v>-63</v>
      </c>
      <c r="U961">
        <v>64</v>
      </c>
      <c r="AA961">
        <v>1</v>
      </c>
      <c r="AB961" t="s">
        <v>1032</v>
      </c>
    </row>
    <row r="962" spans="2:31" ht="20.100000000000001" hidden="1" customHeight="1">
      <c r="B962" s="77">
        <v>9</v>
      </c>
      <c r="C962" s="78" t="s">
        <v>1693</v>
      </c>
      <c r="D962" s="79" t="s">
        <v>1848</v>
      </c>
      <c r="E962" s="80" t="s">
        <v>1849</v>
      </c>
      <c r="F962" s="81">
        <v>6.17</v>
      </c>
      <c r="G962" s="222"/>
      <c r="H962" s="186"/>
      <c r="I962" s="186"/>
      <c r="J962" s="308"/>
      <c r="K962" s="227"/>
      <c r="L962" s="82">
        <f t="shared" si="439"/>
        <v>0</v>
      </c>
      <c r="M962" s="331"/>
      <c r="N962" s="161">
        <f t="shared" si="441"/>
        <v>0</v>
      </c>
      <c r="O962" s="161">
        <f t="shared" si="442"/>
        <v>0</v>
      </c>
      <c r="P962" s="187">
        <f t="shared" si="443"/>
        <v>0</v>
      </c>
      <c r="Q962" s="161">
        <f t="shared" si="444"/>
        <v>0</v>
      </c>
      <c r="R962" s="85"/>
      <c r="S962" s="86">
        <f t="shared" si="445"/>
        <v>0</v>
      </c>
      <c r="T962" s="87">
        <f t="shared" si="440"/>
        <v>0</v>
      </c>
    </row>
    <row r="963" spans="2:31" ht="20.100000000000001" hidden="1" customHeight="1">
      <c r="B963" s="77">
        <v>9</v>
      </c>
      <c r="C963" s="78" t="s">
        <v>1693</v>
      </c>
      <c r="D963" s="79" t="s">
        <v>1850</v>
      </c>
      <c r="E963" s="80" t="s">
        <v>1851</v>
      </c>
      <c r="F963" s="81">
        <v>67.88</v>
      </c>
      <c r="G963" s="222">
        <v>18</v>
      </c>
      <c r="H963" s="186"/>
      <c r="I963" s="186"/>
      <c r="J963" s="308"/>
      <c r="K963" s="227"/>
      <c r="L963" s="82">
        <f t="shared" si="439"/>
        <v>18</v>
      </c>
      <c r="M963" s="331">
        <v>18</v>
      </c>
      <c r="N963" s="161">
        <f t="shared" si="441"/>
        <v>1221.8399999999999</v>
      </c>
      <c r="O963" s="161">
        <f t="shared" si="442"/>
        <v>1221.8399999999999</v>
      </c>
      <c r="P963" s="187">
        <f t="shared" si="443"/>
        <v>0</v>
      </c>
      <c r="Q963" s="161">
        <f t="shared" si="444"/>
        <v>0</v>
      </c>
      <c r="R963" s="232"/>
      <c r="S963" s="86">
        <f t="shared" si="445"/>
        <v>132</v>
      </c>
      <c r="T963" s="87">
        <f t="shared" si="440"/>
        <v>-114</v>
      </c>
      <c r="U963">
        <f>54+36+24</f>
        <v>114</v>
      </c>
      <c r="Y963">
        <v>18</v>
      </c>
      <c r="Z963" s="88" t="s">
        <v>1852</v>
      </c>
      <c r="AD963">
        <f>Y963</f>
        <v>18</v>
      </c>
      <c r="AE963">
        <f>AD963*F963</f>
        <v>1221.8399999999999</v>
      </c>
    </row>
    <row r="964" spans="2:31" ht="20.100000000000001" hidden="1" customHeight="1">
      <c r="B964" s="77">
        <v>9</v>
      </c>
      <c r="C964" s="78" t="s">
        <v>1693</v>
      </c>
      <c r="D964" s="79" t="s">
        <v>1853</v>
      </c>
      <c r="E964" s="80" t="s">
        <v>1854</v>
      </c>
      <c r="F964" s="81">
        <v>96.49</v>
      </c>
      <c r="G964" s="222">
        <v>5</v>
      </c>
      <c r="H964" s="186"/>
      <c r="I964" s="186"/>
      <c r="J964" s="308"/>
      <c r="K964" s="227"/>
      <c r="L964" s="82">
        <f t="shared" si="439"/>
        <v>5</v>
      </c>
      <c r="M964" s="331">
        <v>5</v>
      </c>
      <c r="N964" s="161">
        <f t="shared" si="441"/>
        <v>482.45</v>
      </c>
      <c r="O964" s="161">
        <f t="shared" si="442"/>
        <v>482.45</v>
      </c>
      <c r="P964" s="187">
        <f t="shared" si="443"/>
        <v>0</v>
      </c>
      <c r="Q964" s="161">
        <f t="shared" si="444"/>
        <v>0</v>
      </c>
      <c r="R964" s="85"/>
      <c r="S964" s="86">
        <f t="shared" si="445"/>
        <v>5</v>
      </c>
      <c r="T964" s="87">
        <f t="shared" si="440"/>
        <v>0</v>
      </c>
      <c r="U964">
        <v>5</v>
      </c>
    </row>
    <row r="965" spans="2:31" ht="20.100000000000001" hidden="1" customHeight="1">
      <c r="B965" s="77">
        <v>9</v>
      </c>
      <c r="C965" s="78" t="s">
        <v>1693</v>
      </c>
      <c r="D965" s="79" t="s">
        <v>1855</v>
      </c>
      <c r="E965" s="80" t="s">
        <v>1856</v>
      </c>
      <c r="F965" s="81">
        <v>62.15</v>
      </c>
      <c r="G965" s="222">
        <v>40</v>
      </c>
      <c r="H965" s="186"/>
      <c r="I965" s="186"/>
      <c r="J965" s="308"/>
      <c r="K965" s="227"/>
      <c r="L965" s="82">
        <f t="shared" si="439"/>
        <v>40</v>
      </c>
      <c r="M965" s="331">
        <v>40</v>
      </c>
      <c r="N965" s="161">
        <f t="shared" si="441"/>
        <v>2486</v>
      </c>
      <c r="O965" s="161">
        <f t="shared" si="442"/>
        <v>2486</v>
      </c>
      <c r="P965" s="187">
        <f t="shared" si="443"/>
        <v>0</v>
      </c>
      <c r="Q965" s="161">
        <f t="shared" si="444"/>
        <v>0</v>
      </c>
      <c r="R965" s="85" t="s">
        <v>387</v>
      </c>
      <c r="S965" s="86">
        <f t="shared" si="445"/>
        <v>40</v>
      </c>
      <c r="T965" s="87">
        <f t="shared" si="440"/>
        <v>0</v>
      </c>
      <c r="Y965">
        <v>40</v>
      </c>
      <c r="Z965" s="88" t="s">
        <v>1852</v>
      </c>
      <c r="AD965">
        <f>Y965</f>
        <v>40</v>
      </c>
      <c r="AE965">
        <f>AD965*F965</f>
        <v>2486</v>
      </c>
    </row>
    <row r="966" spans="2:31" ht="20.100000000000001" hidden="1" customHeight="1">
      <c r="B966" s="77">
        <v>9</v>
      </c>
      <c r="C966" s="78" t="s">
        <v>1693</v>
      </c>
      <c r="D966" s="79" t="s">
        <v>1857</v>
      </c>
      <c r="E966" s="80" t="s">
        <v>1858</v>
      </c>
      <c r="F966" s="81">
        <v>6.17</v>
      </c>
      <c r="G966" s="222">
        <v>2</v>
      </c>
      <c r="H966" s="186"/>
      <c r="I966" s="186"/>
      <c r="J966" s="308"/>
      <c r="K966" s="227"/>
      <c r="L966" s="82">
        <f t="shared" si="439"/>
        <v>2</v>
      </c>
      <c r="M966" s="331">
        <v>2</v>
      </c>
      <c r="N966" s="161">
        <f t="shared" si="441"/>
        <v>12.34</v>
      </c>
      <c r="O966" s="161">
        <f t="shared" si="442"/>
        <v>12.34</v>
      </c>
      <c r="P966" s="187">
        <f t="shared" si="443"/>
        <v>0</v>
      </c>
      <c r="Q966" s="161">
        <f t="shared" si="444"/>
        <v>0</v>
      </c>
      <c r="R966" s="85"/>
      <c r="S966" s="86">
        <f t="shared" si="445"/>
        <v>1</v>
      </c>
      <c r="T966" s="87">
        <f t="shared" si="440"/>
        <v>1</v>
      </c>
      <c r="U966">
        <v>1</v>
      </c>
    </row>
    <row r="967" spans="2:31" ht="20.100000000000001" hidden="1" customHeight="1">
      <c r="B967" s="77">
        <v>9</v>
      </c>
      <c r="C967" s="78" t="s">
        <v>1693</v>
      </c>
      <c r="D967" s="79" t="s">
        <v>1857</v>
      </c>
      <c r="E967" s="80" t="s">
        <v>1858</v>
      </c>
      <c r="F967" s="81">
        <v>6.17</v>
      </c>
      <c r="G967" s="222"/>
      <c r="H967" s="186"/>
      <c r="I967" s="186"/>
      <c r="J967" s="308"/>
      <c r="K967" s="227"/>
      <c r="L967" s="82">
        <f t="shared" si="439"/>
        <v>0</v>
      </c>
      <c r="M967" s="331"/>
      <c r="N967" s="161">
        <f t="shared" si="441"/>
        <v>0</v>
      </c>
      <c r="O967" s="161">
        <f t="shared" si="442"/>
        <v>0</v>
      </c>
      <c r="P967" s="187">
        <f t="shared" si="443"/>
        <v>0</v>
      </c>
      <c r="Q967" s="161">
        <f t="shared" si="444"/>
        <v>0</v>
      </c>
      <c r="R967" s="85"/>
      <c r="S967" s="86">
        <f t="shared" si="445"/>
        <v>0</v>
      </c>
      <c r="T967" s="87">
        <f t="shared" si="440"/>
        <v>0</v>
      </c>
    </row>
    <row r="968" spans="2:31" ht="20.100000000000001" hidden="1" customHeight="1">
      <c r="B968" s="77">
        <v>9</v>
      </c>
      <c r="C968" s="78" t="s">
        <v>1693</v>
      </c>
      <c r="D968" s="79" t="s">
        <v>1859</v>
      </c>
      <c r="E968" s="80" t="s">
        <v>1860</v>
      </c>
      <c r="F968" s="81">
        <v>6.15</v>
      </c>
      <c r="G968" s="222">
        <v>108</v>
      </c>
      <c r="H968" s="186"/>
      <c r="I968" s="186"/>
      <c r="J968" s="308"/>
      <c r="K968" s="227"/>
      <c r="L968" s="82">
        <f t="shared" si="439"/>
        <v>108</v>
      </c>
      <c r="M968" s="331">
        <v>108</v>
      </c>
      <c r="N968" s="161">
        <f t="shared" si="441"/>
        <v>664.2</v>
      </c>
      <c r="O968" s="161">
        <f t="shared" si="442"/>
        <v>664.2</v>
      </c>
      <c r="P968" s="187">
        <f t="shared" si="443"/>
        <v>0</v>
      </c>
      <c r="Q968" s="161">
        <f t="shared" si="444"/>
        <v>0</v>
      </c>
      <c r="R968" s="85"/>
      <c r="S968" s="86">
        <f t="shared" si="445"/>
        <v>108</v>
      </c>
      <c r="T968" s="87">
        <f t="shared" si="440"/>
        <v>0</v>
      </c>
      <c r="Y968">
        <v>108</v>
      </c>
    </row>
    <row r="969" spans="2:31" ht="20.100000000000001" hidden="1" customHeight="1">
      <c r="B969" s="77">
        <v>9</v>
      </c>
      <c r="C969" s="78" t="s">
        <v>1693</v>
      </c>
      <c r="D969" s="79" t="s">
        <v>1861</v>
      </c>
      <c r="E969" s="80" t="s">
        <v>1862</v>
      </c>
      <c r="F969" s="81">
        <v>54</v>
      </c>
      <c r="G969" s="222">
        <v>2</v>
      </c>
      <c r="H969" s="186"/>
      <c r="I969" s="186"/>
      <c r="J969" s="308"/>
      <c r="K969" s="227"/>
      <c r="L969" s="82">
        <f t="shared" si="439"/>
        <v>2</v>
      </c>
      <c r="M969" s="331">
        <v>2</v>
      </c>
      <c r="N969" s="161">
        <f t="shared" si="441"/>
        <v>108</v>
      </c>
      <c r="O969" s="161">
        <f t="shared" si="442"/>
        <v>108</v>
      </c>
      <c r="P969" s="187">
        <f t="shared" si="443"/>
        <v>0</v>
      </c>
      <c r="Q969" s="161">
        <f t="shared" si="444"/>
        <v>0</v>
      </c>
      <c r="R969" s="85"/>
      <c r="S969" s="86">
        <f t="shared" si="445"/>
        <v>6</v>
      </c>
      <c r="T969" s="87">
        <f t="shared" si="440"/>
        <v>-4</v>
      </c>
      <c r="U969">
        <v>6</v>
      </c>
    </row>
    <row r="970" spans="2:31" ht="20.100000000000001" hidden="1" customHeight="1">
      <c r="B970" s="77">
        <v>9</v>
      </c>
      <c r="C970" s="78" t="s">
        <v>1693</v>
      </c>
      <c r="D970" s="79" t="s">
        <v>1863</v>
      </c>
      <c r="E970" s="80" t="s">
        <v>1864</v>
      </c>
      <c r="F970" s="81">
        <v>13.55</v>
      </c>
      <c r="G970" s="222">
        <v>3</v>
      </c>
      <c r="H970" s="186"/>
      <c r="I970" s="186"/>
      <c r="J970" s="308"/>
      <c r="K970" s="227"/>
      <c r="L970" s="82">
        <f t="shared" si="439"/>
        <v>3</v>
      </c>
      <c r="M970" s="331">
        <v>3</v>
      </c>
      <c r="N970" s="161">
        <f t="shared" si="441"/>
        <v>40.650000000000006</v>
      </c>
      <c r="O970" s="161">
        <f t="shared" si="442"/>
        <v>40.650000000000006</v>
      </c>
      <c r="P970" s="187">
        <f t="shared" si="443"/>
        <v>0</v>
      </c>
      <c r="Q970" s="161">
        <f t="shared" si="444"/>
        <v>0</v>
      </c>
      <c r="R970" s="85"/>
      <c r="S970" s="86">
        <f t="shared" si="445"/>
        <v>3</v>
      </c>
      <c r="T970" s="87">
        <f t="shared" si="440"/>
        <v>0</v>
      </c>
      <c r="U970">
        <v>3</v>
      </c>
    </row>
    <row r="971" spans="2:31" ht="20.100000000000001" hidden="1" customHeight="1">
      <c r="B971" s="77">
        <v>9</v>
      </c>
      <c r="C971" s="78" t="s">
        <v>1693</v>
      </c>
      <c r="D971" s="79" t="s">
        <v>1865</v>
      </c>
      <c r="E971" s="80" t="s">
        <v>1866</v>
      </c>
      <c r="F971" s="81">
        <v>184.98</v>
      </c>
      <c r="G971" s="222"/>
      <c r="H971" s="186"/>
      <c r="I971" s="186"/>
      <c r="J971" s="308"/>
      <c r="K971" s="227"/>
      <c r="L971" s="82">
        <f t="shared" si="439"/>
        <v>0</v>
      </c>
      <c r="M971" s="331"/>
      <c r="N971" s="161">
        <f t="shared" si="441"/>
        <v>0</v>
      </c>
      <c r="O971" s="161">
        <f t="shared" si="442"/>
        <v>0</v>
      </c>
      <c r="P971" s="187">
        <f t="shared" si="443"/>
        <v>0</v>
      </c>
      <c r="Q971" s="161">
        <f t="shared" si="444"/>
        <v>0</v>
      </c>
      <c r="R971" s="85"/>
      <c r="S971" s="86">
        <f t="shared" si="445"/>
        <v>0</v>
      </c>
      <c r="T971" s="87">
        <f t="shared" si="440"/>
        <v>0</v>
      </c>
    </row>
    <row r="972" spans="2:31" ht="20.100000000000001" hidden="1" customHeight="1">
      <c r="B972" s="77">
        <v>9</v>
      </c>
      <c r="C972" s="78" t="s">
        <v>1693</v>
      </c>
      <c r="D972" s="79" t="s">
        <v>1867</v>
      </c>
      <c r="E972" s="80" t="s">
        <v>1868</v>
      </c>
      <c r="F972" s="81">
        <v>6.35</v>
      </c>
      <c r="G972" s="222">
        <v>5</v>
      </c>
      <c r="H972" s="186"/>
      <c r="I972" s="186"/>
      <c r="J972" s="308"/>
      <c r="K972" s="227"/>
      <c r="L972" s="82">
        <f t="shared" si="439"/>
        <v>5</v>
      </c>
      <c r="M972" s="331">
        <v>5</v>
      </c>
      <c r="N972" s="161">
        <f t="shared" si="441"/>
        <v>31.75</v>
      </c>
      <c r="O972" s="161">
        <f t="shared" si="442"/>
        <v>31.75</v>
      </c>
      <c r="P972" s="187">
        <f t="shared" si="443"/>
        <v>0</v>
      </c>
      <c r="Q972" s="161">
        <f t="shared" si="444"/>
        <v>0</v>
      </c>
      <c r="R972" s="85"/>
      <c r="S972" s="86">
        <f t="shared" si="445"/>
        <v>5</v>
      </c>
      <c r="T972" s="87">
        <f t="shared" si="440"/>
        <v>0</v>
      </c>
      <c r="U972">
        <v>5</v>
      </c>
    </row>
    <row r="973" spans="2:31" ht="20.100000000000001" customHeight="1">
      <c r="B973" s="77">
        <v>9</v>
      </c>
      <c r="C973" s="78" t="s">
        <v>1693</v>
      </c>
      <c r="D973" s="79" t="s">
        <v>1869</v>
      </c>
      <c r="E973" s="80" t="s">
        <v>1870</v>
      </c>
      <c r="F973" s="81">
        <v>4.8</v>
      </c>
      <c r="G973" s="222">
        <v>5</v>
      </c>
      <c r="H973" s="186"/>
      <c r="I973" s="186"/>
      <c r="J973" s="308"/>
      <c r="K973" s="227"/>
      <c r="L973" s="82">
        <f t="shared" si="439"/>
        <v>5</v>
      </c>
      <c r="M973" s="331">
        <v>1</v>
      </c>
      <c r="N973" s="161">
        <f t="shared" si="441"/>
        <v>24</v>
      </c>
      <c r="O973" s="161">
        <f t="shared" si="442"/>
        <v>4.8</v>
      </c>
      <c r="P973" s="187">
        <f t="shared" si="443"/>
        <v>4</v>
      </c>
      <c r="Q973" s="161">
        <f t="shared" si="444"/>
        <v>19.2</v>
      </c>
      <c r="R973" s="85"/>
      <c r="S973" s="86">
        <f t="shared" si="445"/>
        <v>5</v>
      </c>
      <c r="T973" s="87">
        <f t="shared" si="440"/>
        <v>-4</v>
      </c>
      <c r="U973">
        <v>5</v>
      </c>
    </row>
    <row r="974" spans="2:31" ht="20.100000000000001" customHeight="1">
      <c r="B974" s="77">
        <v>9</v>
      </c>
      <c r="C974" s="78" t="s">
        <v>1693</v>
      </c>
      <c r="D974" s="79" t="s">
        <v>1871</v>
      </c>
      <c r="E974" s="80" t="s">
        <v>1872</v>
      </c>
      <c r="F974" s="81">
        <v>5.3</v>
      </c>
      <c r="G974" s="222">
        <v>20</v>
      </c>
      <c r="H974" s="186"/>
      <c r="I974" s="186"/>
      <c r="J974" s="308"/>
      <c r="K974" s="227"/>
      <c r="L974" s="82">
        <f t="shared" si="439"/>
        <v>20</v>
      </c>
      <c r="M974" s="331">
        <v>19</v>
      </c>
      <c r="N974" s="161">
        <f t="shared" si="441"/>
        <v>106</v>
      </c>
      <c r="O974" s="161">
        <f t="shared" si="442"/>
        <v>100.7</v>
      </c>
      <c r="P974" s="187">
        <f t="shared" si="443"/>
        <v>1</v>
      </c>
      <c r="Q974" s="161">
        <f t="shared" si="444"/>
        <v>5.2999999999999972</v>
      </c>
      <c r="R974" s="85"/>
      <c r="S974" s="86">
        <f t="shared" si="445"/>
        <v>20</v>
      </c>
      <c r="T974" s="87">
        <f t="shared" ref="T974:T1038" si="446">M974-S974</f>
        <v>-1</v>
      </c>
      <c r="AA974">
        <v>20</v>
      </c>
      <c r="AB974" t="s">
        <v>1032</v>
      </c>
      <c r="AD974">
        <f>AA974</f>
        <v>20</v>
      </c>
      <c r="AE974">
        <f>AD974*F974</f>
        <v>106</v>
      </c>
    </row>
    <row r="975" spans="2:31" ht="20.100000000000001" hidden="1" customHeight="1">
      <c r="B975" s="77">
        <v>9</v>
      </c>
      <c r="C975" s="78" t="s">
        <v>1693</v>
      </c>
      <c r="D975" s="79" t="s">
        <v>1873</v>
      </c>
      <c r="E975" s="80" t="s">
        <v>1874</v>
      </c>
      <c r="F975" s="81">
        <v>184.98</v>
      </c>
      <c r="G975" s="222">
        <v>2</v>
      </c>
      <c r="H975" s="186"/>
      <c r="I975" s="186"/>
      <c r="J975" s="308"/>
      <c r="K975" s="227"/>
      <c r="L975" s="82">
        <f t="shared" si="439"/>
        <v>2</v>
      </c>
      <c r="M975" s="331">
        <v>2</v>
      </c>
      <c r="N975" s="161">
        <f t="shared" ref="N975:N1039" si="447">F975*L975</f>
        <v>369.96</v>
      </c>
      <c r="O975" s="161">
        <f t="shared" ref="O975:O1039" si="448">M975*F975</f>
        <v>369.96</v>
      </c>
      <c r="P975" s="187">
        <f t="shared" ref="P975:P1039" si="449">L975-M975</f>
        <v>0</v>
      </c>
      <c r="Q975" s="161">
        <f t="shared" ref="Q975:Q1039" si="450">N975-O975</f>
        <v>0</v>
      </c>
      <c r="R975" s="85"/>
      <c r="S975" s="86">
        <f t="shared" ref="S975:S1039" si="451">U975+Y975+W975+AA975</f>
        <v>2</v>
      </c>
      <c r="T975" s="87">
        <f t="shared" si="446"/>
        <v>0</v>
      </c>
      <c r="U975">
        <v>2</v>
      </c>
    </row>
    <row r="976" spans="2:31" ht="20.100000000000001" hidden="1" customHeight="1">
      <c r="B976" s="77">
        <v>9</v>
      </c>
      <c r="C976" s="78" t="s">
        <v>1693</v>
      </c>
      <c r="D976" s="79" t="s">
        <v>1875</v>
      </c>
      <c r="E976" s="80" t="s">
        <v>1876</v>
      </c>
      <c r="F976" s="81">
        <v>6.48</v>
      </c>
      <c r="G976" s="222">
        <v>311</v>
      </c>
      <c r="H976" s="186"/>
      <c r="I976" s="186"/>
      <c r="J976" s="308"/>
      <c r="K976" s="227"/>
      <c r="L976" s="82">
        <f t="shared" ref="L976:L1041" si="452">G976+I976-J976-K976+H976</f>
        <v>311</v>
      </c>
      <c r="M976" s="331">
        <v>311</v>
      </c>
      <c r="N976" s="161">
        <f t="shared" si="447"/>
        <v>2015.2800000000002</v>
      </c>
      <c r="O976" s="161">
        <f t="shared" si="448"/>
        <v>2015.2800000000002</v>
      </c>
      <c r="P976" s="187">
        <f t="shared" si="449"/>
        <v>0</v>
      </c>
      <c r="Q976" s="161">
        <f t="shared" si="450"/>
        <v>0</v>
      </c>
      <c r="R976" s="85"/>
      <c r="S976" s="86">
        <f t="shared" si="451"/>
        <v>306</v>
      </c>
      <c r="T976" s="87">
        <f t="shared" si="446"/>
        <v>5</v>
      </c>
      <c r="U976">
        <v>66</v>
      </c>
      <c r="Y976">
        <v>240</v>
      </c>
    </row>
    <row r="977" spans="2:31" ht="20.100000000000001" customHeight="1">
      <c r="B977" s="77">
        <v>9</v>
      </c>
      <c r="C977" s="78" t="s">
        <v>1693</v>
      </c>
      <c r="D977" s="79" t="s">
        <v>1877</v>
      </c>
      <c r="E977" s="80" t="s">
        <v>1878</v>
      </c>
      <c r="F977" s="81">
        <v>6.35</v>
      </c>
      <c r="G977" s="222">
        <v>220</v>
      </c>
      <c r="H977" s="186"/>
      <c r="I977" s="186"/>
      <c r="J977" s="308"/>
      <c r="K977" s="227"/>
      <c r="L977" s="82">
        <f t="shared" si="452"/>
        <v>220</v>
      </c>
      <c r="M977" s="331">
        <v>216</v>
      </c>
      <c r="N977" s="161">
        <f t="shared" si="447"/>
        <v>1397</v>
      </c>
      <c r="O977" s="161">
        <f t="shared" si="448"/>
        <v>1371.6</v>
      </c>
      <c r="P977" s="187">
        <f t="shared" si="449"/>
        <v>4</v>
      </c>
      <c r="Q977" s="161">
        <f t="shared" si="450"/>
        <v>25.400000000000091</v>
      </c>
      <c r="R977" s="85"/>
      <c r="S977" s="86">
        <f t="shared" si="451"/>
        <v>420</v>
      </c>
      <c r="T977" s="87">
        <f t="shared" si="446"/>
        <v>-204</v>
      </c>
      <c r="U977">
        <v>204</v>
      </c>
      <c r="Y977">
        <v>216</v>
      </c>
    </row>
    <row r="978" spans="2:31" ht="20.100000000000001" hidden="1" customHeight="1">
      <c r="B978" s="77">
        <v>9</v>
      </c>
      <c r="C978" s="78" t="s">
        <v>1693</v>
      </c>
      <c r="D978" s="79" t="s">
        <v>1879</v>
      </c>
      <c r="E978" s="80" t="s">
        <v>1880</v>
      </c>
      <c r="F978" s="81">
        <v>4.3</v>
      </c>
      <c r="G978" s="222">
        <v>2</v>
      </c>
      <c r="H978" s="186"/>
      <c r="I978" s="186"/>
      <c r="J978" s="308"/>
      <c r="K978" s="227"/>
      <c r="L978" s="82">
        <f t="shared" si="452"/>
        <v>2</v>
      </c>
      <c r="M978" s="331">
        <v>2</v>
      </c>
      <c r="N978" s="161">
        <f t="shared" si="447"/>
        <v>8.6</v>
      </c>
      <c r="O978" s="161">
        <f t="shared" si="448"/>
        <v>8.6</v>
      </c>
      <c r="P978" s="187">
        <f t="shared" si="449"/>
        <v>0</v>
      </c>
      <c r="Q978" s="161">
        <f t="shared" si="450"/>
        <v>0</v>
      </c>
      <c r="R978" s="85"/>
      <c r="S978" s="86">
        <f t="shared" si="451"/>
        <v>2</v>
      </c>
      <c r="T978" s="87">
        <f t="shared" si="446"/>
        <v>0</v>
      </c>
      <c r="AA978">
        <v>2</v>
      </c>
      <c r="AB978" t="s">
        <v>1032</v>
      </c>
      <c r="AD978">
        <f>AA978</f>
        <v>2</v>
      </c>
      <c r="AE978">
        <f>AD978*F978</f>
        <v>8.6</v>
      </c>
    </row>
    <row r="979" spans="2:31" ht="20.100000000000001" hidden="1" customHeight="1">
      <c r="B979" s="77">
        <v>9</v>
      </c>
      <c r="C979" s="78" t="s">
        <v>1693</v>
      </c>
      <c r="D979" s="79" t="s">
        <v>1881</v>
      </c>
      <c r="E979" s="80" t="s">
        <v>1882</v>
      </c>
      <c r="F979" s="81">
        <v>5.0999999999999996</v>
      </c>
      <c r="G979" s="222">
        <v>6</v>
      </c>
      <c r="H979" s="186"/>
      <c r="I979" s="186"/>
      <c r="J979" s="308"/>
      <c r="K979" s="227"/>
      <c r="L979" s="82">
        <f t="shared" si="452"/>
        <v>6</v>
      </c>
      <c r="M979" s="331">
        <v>6</v>
      </c>
      <c r="N979" s="161">
        <f t="shared" si="447"/>
        <v>30.599999999999998</v>
      </c>
      <c r="O979" s="161">
        <f t="shared" si="448"/>
        <v>30.599999999999998</v>
      </c>
      <c r="P979" s="187">
        <f t="shared" si="449"/>
        <v>0</v>
      </c>
      <c r="Q979" s="161">
        <f t="shared" si="450"/>
        <v>0</v>
      </c>
      <c r="R979" s="85"/>
      <c r="S979" s="86">
        <f t="shared" si="451"/>
        <v>0</v>
      </c>
      <c r="T979" s="87">
        <f t="shared" si="446"/>
        <v>6</v>
      </c>
    </row>
    <row r="980" spans="2:31" ht="20.100000000000001" hidden="1" customHeight="1">
      <c r="B980" s="77">
        <v>9</v>
      </c>
      <c r="C980" s="78" t="s">
        <v>1693</v>
      </c>
      <c r="D980" s="79" t="s">
        <v>1883</v>
      </c>
      <c r="E980" s="80" t="s">
        <v>1884</v>
      </c>
      <c r="F980" s="81">
        <v>57.22</v>
      </c>
      <c r="G980" s="222">
        <v>18</v>
      </c>
      <c r="H980" s="186"/>
      <c r="I980" s="186"/>
      <c r="J980" s="308"/>
      <c r="K980" s="227">
        <v>1</v>
      </c>
      <c r="L980" s="82">
        <f t="shared" si="452"/>
        <v>17</v>
      </c>
      <c r="M980" s="331">
        <v>17</v>
      </c>
      <c r="N980" s="161">
        <f t="shared" si="447"/>
        <v>972.74</v>
      </c>
      <c r="O980" s="161">
        <f t="shared" si="448"/>
        <v>972.74</v>
      </c>
      <c r="P980" s="187">
        <f t="shared" si="449"/>
        <v>0</v>
      </c>
      <c r="Q980" s="161">
        <f t="shared" si="450"/>
        <v>0</v>
      </c>
      <c r="R980" s="85"/>
      <c r="S980" s="86">
        <f t="shared" si="451"/>
        <v>18</v>
      </c>
      <c r="T980" s="87">
        <f t="shared" si="446"/>
        <v>-1</v>
      </c>
      <c r="U980">
        <v>18</v>
      </c>
    </row>
    <row r="981" spans="2:31" ht="20.100000000000001" hidden="1" customHeight="1">
      <c r="B981" s="77">
        <v>9</v>
      </c>
      <c r="C981" s="78" t="s">
        <v>1693</v>
      </c>
      <c r="D981" s="79" t="s">
        <v>1885</v>
      </c>
      <c r="E981" s="80" t="s">
        <v>1886</v>
      </c>
      <c r="F981" s="81">
        <v>5.2</v>
      </c>
      <c r="G981" s="222"/>
      <c r="H981" s="186"/>
      <c r="I981" s="186"/>
      <c r="J981" s="308"/>
      <c r="K981" s="227"/>
      <c r="L981" s="82">
        <f t="shared" si="452"/>
        <v>0</v>
      </c>
      <c r="M981" s="331"/>
      <c r="N981" s="161">
        <f t="shared" si="447"/>
        <v>0</v>
      </c>
      <c r="O981" s="161">
        <f t="shared" si="448"/>
        <v>0</v>
      </c>
      <c r="P981" s="187">
        <f t="shared" si="449"/>
        <v>0</v>
      </c>
      <c r="Q981" s="161">
        <f t="shared" si="450"/>
        <v>0</v>
      </c>
      <c r="R981" s="85"/>
      <c r="S981" s="86">
        <f t="shared" si="451"/>
        <v>0</v>
      </c>
      <c r="T981" s="87">
        <f t="shared" si="446"/>
        <v>0</v>
      </c>
    </row>
    <row r="982" spans="2:31" ht="20.100000000000001" customHeight="1">
      <c r="B982" s="77">
        <v>9</v>
      </c>
      <c r="C982" s="78" t="s">
        <v>1693</v>
      </c>
      <c r="D982" s="79" t="s">
        <v>1887</v>
      </c>
      <c r="E982" s="80" t="s">
        <v>1888</v>
      </c>
      <c r="F982" s="81">
        <v>4.3</v>
      </c>
      <c r="G982" s="222">
        <v>2</v>
      </c>
      <c r="H982" s="186"/>
      <c r="I982" s="186"/>
      <c r="J982" s="308"/>
      <c r="K982" s="227"/>
      <c r="L982" s="82">
        <f t="shared" si="452"/>
        <v>2</v>
      </c>
      <c r="M982" s="331">
        <v>1</v>
      </c>
      <c r="N982" s="161">
        <f t="shared" si="447"/>
        <v>8.6</v>
      </c>
      <c r="O982" s="161">
        <f t="shared" si="448"/>
        <v>4.3</v>
      </c>
      <c r="P982" s="187">
        <f t="shared" si="449"/>
        <v>1</v>
      </c>
      <c r="Q982" s="161">
        <f t="shared" si="450"/>
        <v>4.3</v>
      </c>
      <c r="R982" s="85"/>
      <c r="S982" s="86">
        <f t="shared" si="451"/>
        <v>2</v>
      </c>
      <c r="T982" s="87">
        <f t="shared" si="446"/>
        <v>-1</v>
      </c>
      <c r="U982">
        <v>2</v>
      </c>
    </row>
    <row r="983" spans="2:31" ht="20.100000000000001" hidden="1" customHeight="1">
      <c r="B983" s="77">
        <v>9</v>
      </c>
      <c r="C983" s="78" t="s">
        <v>1693</v>
      </c>
      <c r="D983" s="79" t="s">
        <v>1889</v>
      </c>
      <c r="E983" s="80" t="s">
        <v>1890</v>
      </c>
      <c r="F983" s="81">
        <v>5.92</v>
      </c>
      <c r="G983" s="222">
        <v>5</v>
      </c>
      <c r="H983" s="186"/>
      <c r="I983" s="186"/>
      <c r="J983" s="308"/>
      <c r="K983" s="227"/>
      <c r="L983" s="82">
        <f t="shared" si="452"/>
        <v>5</v>
      </c>
      <c r="M983" s="331">
        <v>5</v>
      </c>
      <c r="N983" s="161">
        <f t="shared" si="447"/>
        <v>29.6</v>
      </c>
      <c r="O983" s="161">
        <f t="shared" si="448"/>
        <v>29.6</v>
      </c>
      <c r="P983" s="187">
        <f t="shared" si="449"/>
        <v>0</v>
      </c>
      <c r="Q983" s="161">
        <f t="shared" si="450"/>
        <v>0</v>
      </c>
      <c r="R983" s="85"/>
      <c r="S983" s="86">
        <f t="shared" si="451"/>
        <v>0</v>
      </c>
      <c r="T983" s="87">
        <f t="shared" si="446"/>
        <v>5</v>
      </c>
    </row>
    <row r="984" spans="2:31" ht="20.100000000000001" hidden="1" customHeight="1">
      <c r="B984" s="77">
        <v>9</v>
      </c>
      <c r="C984" s="78" t="s">
        <v>1693</v>
      </c>
      <c r="D984" s="79" t="s">
        <v>1891</v>
      </c>
      <c r="E984" s="80" t="s">
        <v>1892</v>
      </c>
      <c r="F984" s="81">
        <v>63.95</v>
      </c>
      <c r="G984" s="222">
        <v>37</v>
      </c>
      <c r="H984" s="186"/>
      <c r="I984" s="186"/>
      <c r="J984" s="308"/>
      <c r="K984" s="227"/>
      <c r="L984" s="82">
        <f t="shared" si="452"/>
        <v>37</v>
      </c>
      <c r="M984" s="331">
        <v>37</v>
      </c>
      <c r="N984" s="161">
        <f t="shared" si="447"/>
        <v>2366.15</v>
      </c>
      <c r="O984" s="161">
        <f t="shared" si="448"/>
        <v>2366.15</v>
      </c>
      <c r="P984" s="187">
        <f t="shared" si="449"/>
        <v>0</v>
      </c>
      <c r="Q984" s="161">
        <f t="shared" si="450"/>
        <v>0</v>
      </c>
      <c r="R984" s="85"/>
      <c r="S984" s="86">
        <f t="shared" si="451"/>
        <v>97</v>
      </c>
      <c r="T984" s="87">
        <f t="shared" si="446"/>
        <v>-60</v>
      </c>
      <c r="U984">
        <v>60</v>
      </c>
      <c r="Y984">
        <v>37</v>
      </c>
    </row>
    <row r="985" spans="2:31" ht="20.100000000000001" hidden="1" customHeight="1">
      <c r="B985" s="77">
        <v>9</v>
      </c>
      <c r="C985" s="78" t="s">
        <v>1693</v>
      </c>
      <c r="D985" s="79" t="s">
        <v>1893</v>
      </c>
      <c r="E985" s="80" t="s">
        <v>1894</v>
      </c>
      <c r="F985" s="81">
        <v>186.43</v>
      </c>
      <c r="G985" s="222">
        <v>1</v>
      </c>
      <c r="H985" s="186"/>
      <c r="I985" s="186"/>
      <c r="J985" s="308">
        <v>1</v>
      </c>
      <c r="K985" s="227"/>
      <c r="L985" s="82">
        <f t="shared" si="452"/>
        <v>0</v>
      </c>
      <c r="M985" s="331"/>
      <c r="N985" s="161">
        <f t="shared" si="447"/>
        <v>0</v>
      </c>
      <c r="O985" s="161">
        <f t="shared" si="448"/>
        <v>0</v>
      </c>
      <c r="P985" s="187">
        <f t="shared" si="449"/>
        <v>0</v>
      </c>
      <c r="Q985" s="161">
        <f t="shared" si="450"/>
        <v>0</v>
      </c>
      <c r="R985" s="85"/>
      <c r="S985" s="86">
        <f t="shared" si="451"/>
        <v>1</v>
      </c>
      <c r="T985" s="87">
        <f t="shared" si="446"/>
        <v>-1</v>
      </c>
      <c r="U985">
        <v>1</v>
      </c>
    </row>
    <row r="986" spans="2:31" ht="20.100000000000001" hidden="1" customHeight="1">
      <c r="B986" s="77">
        <v>9</v>
      </c>
      <c r="C986" s="78" t="s">
        <v>1693</v>
      </c>
      <c r="D986" s="79" t="s">
        <v>1895</v>
      </c>
      <c r="E986" s="80" t="s">
        <v>1896</v>
      </c>
      <c r="F986" s="81">
        <v>42.74</v>
      </c>
      <c r="G986" s="222">
        <v>2</v>
      </c>
      <c r="H986" s="186"/>
      <c r="I986" s="186"/>
      <c r="J986" s="308"/>
      <c r="K986" s="227"/>
      <c r="L986" s="82">
        <f t="shared" si="452"/>
        <v>2</v>
      </c>
      <c r="M986" s="331">
        <v>2</v>
      </c>
      <c r="N986" s="161">
        <f t="shared" si="447"/>
        <v>85.48</v>
      </c>
      <c r="O986" s="161">
        <f t="shared" si="448"/>
        <v>85.48</v>
      </c>
      <c r="P986" s="187">
        <f t="shared" si="449"/>
        <v>0</v>
      </c>
      <c r="Q986" s="161">
        <f t="shared" si="450"/>
        <v>0</v>
      </c>
      <c r="R986" s="85"/>
      <c r="S986" s="86">
        <f t="shared" si="451"/>
        <v>2</v>
      </c>
      <c r="T986" s="87">
        <f t="shared" si="446"/>
        <v>0</v>
      </c>
      <c r="U986">
        <v>2</v>
      </c>
    </row>
    <row r="987" spans="2:31" ht="20.100000000000001" hidden="1" customHeight="1">
      <c r="B987" s="77">
        <v>9</v>
      </c>
      <c r="C987" s="78" t="s">
        <v>1693</v>
      </c>
      <c r="D987" s="79" t="s">
        <v>1897</v>
      </c>
      <c r="E987" s="80" t="s">
        <v>1898</v>
      </c>
      <c r="F987" s="81">
        <v>26.25</v>
      </c>
      <c r="G987" s="222">
        <v>62</v>
      </c>
      <c r="H987" s="186"/>
      <c r="I987" s="186"/>
      <c r="J987" s="308"/>
      <c r="K987" s="227"/>
      <c r="L987" s="82">
        <f t="shared" si="452"/>
        <v>62</v>
      </c>
      <c r="M987" s="331">
        <f>54+8</f>
        <v>62</v>
      </c>
      <c r="N987" s="161">
        <f t="shared" si="447"/>
        <v>1627.5</v>
      </c>
      <c r="O987" s="161">
        <f t="shared" si="448"/>
        <v>1627.5</v>
      </c>
      <c r="P987" s="187">
        <f t="shared" si="449"/>
        <v>0</v>
      </c>
      <c r="Q987" s="161">
        <f t="shared" si="450"/>
        <v>0</v>
      </c>
      <c r="R987" s="85"/>
      <c r="S987" s="86">
        <f t="shared" si="451"/>
        <v>64</v>
      </c>
      <c r="T987" s="87">
        <f t="shared" si="446"/>
        <v>-2</v>
      </c>
      <c r="U987">
        <v>56</v>
      </c>
      <c r="Y987">
        <v>8</v>
      </c>
    </row>
    <row r="988" spans="2:31" ht="20.100000000000001" hidden="1" customHeight="1">
      <c r="B988" s="77">
        <v>9</v>
      </c>
      <c r="C988" s="78" t="s">
        <v>1693</v>
      </c>
      <c r="D988" s="79" t="s">
        <v>1899</v>
      </c>
      <c r="E988" s="80" t="s">
        <v>1900</v>
      </c>
      <c r="F988" s="81">
        <v>3.75</v>
      </c>
      <c r="G988" s="222">
        <v>251</v>
      </c>
      <c r="H988" s="186"/>
      <c r="I988" s="186"/>
      <c r="J988" s="308"/>
      <c r="K988" s="227">
        <v>1</v>
      </c>
      <c r="L988" s="82">
        <f t="shared" si="452"/>
        <v>250</v>
      </c>
      <c r="M988" s="331">
        <v>250</v>
      </c>
      <c r="N988" s="161">
        <f t="shared" si="447"/>
        <v>937.5</v>
      </c>
      <c r="O988" s="161">
        <f t="shared" si="448"/>
        <v>937.5</v>
      </c>
      <c r="P988" s="187">
        <f t="shared" si="449"/>
        <v>0</v>
      </c>
      <c r="Q988" s="161">
        <f t="shared" si="450"/>
        <v>0</v>
      </c>
      <c r="R988" s="85"/>
      <c r="S988" s="86">
        <f t="shared" si="451"/>
        <v>251</v>
      </c>
      <c r="T988" s="87">
        <f t="shared" si="446"/>
        <v>-1</v>
      </c>
      <c r="U988">
        <f>38+213</f>
        <v>251</v>
      </c>
    </row>
    <row r="989" spans="2:31" ht="20.100000000000001" hidden="1" customHeight="1">
      <c r="B989" s="77">
        <v>9</v>
      </c>
      <c r="C989" s="78" t="s">
        <v>1693</v>
      </c>
      <c r="D989" s="79" t="s">
        <v>1901</v>
      </c>
      <c r="E989" s="80" t="s">
        <v>1902</v>
      </c>
      <c r="F989" s="81">
        <v>19.670000000000002</v>
      </c>
      <c r="G989" s="222"/>
      <c r="H989" s="186"/>
      <c r="I989" s="186"/>
      <c r="J989" s="308"/>
      <c r="K989" s="227"/>
      <c r="L989" s="82">
        <f t="shared" si="452"/>
        <v>0</v>
      </c>
      <c r="M989" s="331"/>
      <c r="N989" s="161">
        <f t="shared" si="447"/>
        <v>0</v>
      </c>
      <c r="O989" s="161">
        <f t="shared" si="448"/>
        <v>0</v>
      </c>
      <c r="P989" s="187">
        <f t="shared" si="449"/>
        <v>0</v>
      </c>
      <c r="Q989" s="161">
        <f t="shared" si="450"/>
        <v>0</v>
      </c>
      <c r="R989" s="85"/>
      <c r="S989" s="86">
        <f t="shared" si="451"/>
        <v>0</v>
      </c>
      <c r="T989" s="87">
        <f t="shared" si="446"/>
        <v>0</v>
      </c>
    </row>
    <row r="990" spans="2:31" ht="20.100000000000001" hidden="1" customHeight="1">
      <c r="B990" s="77">
        <v>9</v>
      </c>
      <c r="C990" s="78" t="s">
        <v>1693</v>
      </c>
      <c r="D990" s="79" t="s">
        <v>1903</v>
      </c>
      <c r="E990" s="80" t="s">
        <v>1904</v>
      </c>
      <c r="F990" s="81">
        <v>30.96</v>
      </c>
      <c r="G990" s="222">
        <v>1</v>
      </c>
      <c r="H990" s="186"/>
      <c r="I990" s="186"/>
      <c r="J990" s="308"/>
      <c r="K990" s="227"/>
      <c r="L990" s="82">
        <f t="shared" si="452"/>
        <v>1</v>
      </c>
      <c r="M990" s="331">
        <v>1</v>
      </c>
      <c r="N990" s="161">
        <f t="shared" si="447"/>
        <v>30.96</v>
      </c>
      <c r="O990" s="161">
        <f t="shared" si="448"/>
        <v>30.96</v>
      </c>
      <c r="P990" s="187">
        <f t="shared" si="449"/>
        <v>0</v>
      </c>
      <c r="Q990" s="161">
        <f t="shared" si="450"/>
        <v>0</v>
      </c>
      <c r="R990" s="85"/>
      <c r="S990" s="86">
        <f t="shared" si="451"/>
        <v>1</v>
      </c>
      <c r="T990" s="87">
        <f t="shared" si="446"/>
        <v>0</v>
      </c>
      <c r="U990">
        <v>1</v>
      </c>
    </row>
    <row r="991" spans="2:31" ht="20.100000000000001" hidden="1" customHeight="1">
      <c r="B991" s="77">
        <v>9</v>
      </c>
      <c r="C991" s="78" t="s">
        <v>1693</v>
      </c>
      <c r="D991" s="79" t="s">
        <v>1905</v>
      </c>
      <c r="E991" s="80" t="s">
        <v>1906</v>
      </c>
      <c r="F991" s="81">
        <v>551.66</v>
      </c>
      <c r="G991" s="222"/>
      <c r="H991" s="186"/>
      <c r="I991" s="186"/>
      <c r="J991" s="308"/>
      <c r="K991" s="227"/>
      <c r="L991" s="82">
        <f t="shared" si="452"/>
        <v>0</v>
      </c>
      <c r="M991" s="331"/>
      <c r="N991" s="161">
        <f t="shared" si="447"/>
        <v>0</v>
      </c>
      <c r="O991" s="161">
        <f t="shared" si="448"/>
        <v>0</v>
      </c>
      <c r="P991" s="187">
        <f t="shared" si="449"/>
        <v>0</v>
      </c>
      <c r="Q991" s="161">
        <f t="shared" si="450"/>
        <v>0</v>
      </c>
      <c r="R991" s="85"/>
      <c r="S991" s="86">
        <f t="shared" si="451"/>
        <v>0</v>
      </c>
      <c r="T991" s="87">
        <f t="shared" si="446"/>
        <v>0</v>
      </c>
    </row>
    <row r="992" spans="2:31" ht="20.100000000000001" hidden="1" customHeight="1">
      <c r="B992" s="77">
        <v>9</v>
      </c>
      <c r="C992" s="78" t="s">
        <v>1693</v>
      </c>
      <c r="D992" s="79" t="s">
        <v>1907</v>
      </c>
      <c r="E992" s="80" t="s">
        <v>1908</v>
      </c>
      <c r="F992" s="81">
        <v>171.82</v>
      </c>
      <c r="G992" s="222"/>
      <c r="H992" s="186"/>
      <c r="I992" s="186"/>
      <c r="J992" s="308"/>
      <c r="K992" s="227"/>
      <c r="L992" s="82">
        <f t="shared" si="452"/>
        <v>0</v>
      </c>
      <c r="M992" s="331"/>
      <c r="N992" s="161">
        <f t="shared" si="447"/>
        <v>0</v>
      </c>
      <c r="O992" s="161">
        <f t="shared" si="448"/>
        <v>0</v>
      </c>
      <c r="P992" s="187">
        <f t="shared" si="449"/>
        <v>0</v>
      </c>
      <c r="Q992" s="161">
        <f t="shared" si="450"/>
        <v>0</v>
      </c>
      <c r="R992" s="85"/>
      <c r="S992" s="86">
        <f t="shared" si="451"/>
        <v>0</v>
      </c>
      <c r="T992" s="87">
        <f t="shared" si="446"/>
        <v>0</v>
      </c>
    </row>
    <row r="993" spans="2:25" ht="20.100000000000001" hidden="1" customHeight="1">
      <c r="B993" s="77">
        <v>9</v>
      </c>
      <c r="C993" s="78" t="s">
        <v>1693</v>
      </c>
      <c r="D993" s="79" t="s">
        <v>1909</v>
      </c>
      <c r="E993" s="80" t="s">
        <v>1910</v>
      </c>
      <c r="F993" s="81">
        <v>83.55</v>
      </c>
      <c r="G993" s="222">
        <v>12</v>
      </c>
      <c r="H993" s="186"/>
      <c r="I993" s="186"/>
      <c r="J993" s="308"/>
      <c r="K993" s="227">
        <v>6</v>
      </c>
      <c r="L993" s="82">
        <f t="shared" si="452"/>
        <v>6</v>
      </c>
      <c r="M993" s="331">
        <v>6</v>
      </c>
      <c r="N993" s="161">
        <f t="shared" si="447"/>
        <v>501.29999999999995</v>
      </c>
      <c r="O993" s="161">
        <f t="shared" si="448"/>
        <v>501.29999999999995</v>
      </c>
      <c r="P993" s="187">
        <f t="shared" si="449"/>
        <v>0</v>
      </c>
      <c r="Q993" s="161">
        <f t="shared" si="450"/>
        <v>0</v>
      </c>
      <c r="R993" s="85"/>
      <c r="S993" s="86">
        <f t="shared" si="451"/>
        <v>0</v>
      </c>
      <c r="T993" s="87">
        <f t="shared" si="446"/>
        <v>6</v>
      </c>
    </row>
    <row r="994" spans="2:25" ht="20.100000000000001" hidden="1" customHeight="1">
      <c r="B994" s="77">
        <v>9</v>
      </c>
      <c r="C994" s="78" t="s">
        <v>1693</v>
      </c>
      <c r="D994" s="79" t="s">
        <v>3806</v>
      </c>
      <c r="E994" s="80" t="s">
        <v>3793</v>
      </c>
      <c r="F994" s="81">
        <v>90.69</v>
      </c>
      <c r="G994" s="222">
        <v>12</v>
      </c>
      <c r="H994" s="186"/>
      <c r="I994" s="186"/>
      <c r="J994" s="308"/>
      <c r="K994" s="227">
        <v>1</v>
      </c>
      <c r="L994" s="82">
        <f t="shared" si="452"/>
        <v>11</v>
      </c>
      <c r="M994" s="331">
        <v>11</v>
      </c>
      <c r="N994" s="161">
        <f t="shared" ref="N994" si="453">F994*L994</f>
        <v>997.58999999999992</v>
      </c>
      <c r="O994" s="161">
        <f t="shared" ref="O994" si="454">M994*F994</f>
        <v>997.58999999999992</v>
      </c>
      <c r="P994" s="187">
        <f t="shared" ref="P994" si="455">L994-M994</f>
        <v>0</v>
      </c>
      <c r="Q994" s="161">
        <f t="shared" ref="Q994" si="456">N994-O994</f>
        <v>0</v>
      </c>
      <c r="R994" s="85"/>
      <c r="S994" s="86">
        <f t="shared" ref="S994" si="457">U994+Y994+W994+AA994</f>
        <v>0</v>
      </c>
      <c r="T994" s="87">
        <f t="shared" ref="T994" si="458">M994-S994</f>
        <v>11</v>
      </c>
    </row>
    <row r="995" spans="2:25" ht="20.100000000000001" hidden="1" customHeight="1">
      <c r="B995" s="77">
        <v>9</v>
      </c>
      <c r="C995" s="78" t="s">
        <v>1693</v>
      </c>
      <c r="D995" s="79" t="s">
        <v>1911</v>
      </c>
      <c r="E995" s="80" t="s">
        <v>1912</v>
      </c>
      <c r="F995" s="81">
        <v>529.58000000000004</v>
      </c>
      <c r="G995" s="222">
        <v>23</v>
      </c>
      <c r="H995" s="186"/>
      <c r="I995" s="186"/>
      <c r="J995" s="308"/>
      <c r="K995" s="227">
        <v>1</v>
      </c>
      <c r="L995" s="82">
        <f t="shared" si="452"/>
        <v>22</v>
      </c>
      <c r="M995" s="331">
        <f>7+3+6+6</f>
        <v>22</v>
      </c>
      <c r="N995" s="161">
        <f t="shared" si="447"/>
        <v>11650.76</v>
      </c>
      <c r="O995" s="161">
        <f t="shared" si="448"/>
        <v>11650.76</v>
      </c>
      <c r="P995" s="187">
        <f t="shared" si="449"/>
        <v>0</v>
      </c>
      <c r="Q995" s="161">
        <f t="shared" si="450"/>
        <v>0</v>
      </c>
      <c r="R995" s="85"/>
      <c r="S995" s="86">
        <f t="shared" si="451"/>
        <v>27</v>
      </c>
      <c r="T995" s="87">
        <f t="shared" si="446"/>
        <v>-5</v>
      </c>
      <c r="U995">
        <v>6</v>
      </c>
      <c r="Y995">
        <v>21</v>
      </c>
    </row>
    <row r="996" spans="2:25" ht="20.100000000000001" hidden="1" customHeight="1">
      <c r="B996" s="77">
        <v>9</v>
      </c>
      <c r="C996" s="78" t="s">
        <v>1693</v>
      </c>
      <c r="D996" s="79" t="s">
        <v>1913</v>
      </c>
      <c r="E996" s="80" t="s">
        <v>1914</v>
      </c>
      <c r="F996" s="81">
        <v>54.38</v>
      </c>
      <c r="G996" s="222">
        <v>8</v>
      </c>
      <c r="H996" s="186"/>
      <c r="I996" s="186"/>
      <c r="J996" s="308"/>
      <c r="K996" s="227">
        <v>4</v>
      </c>
      <c r="L996" s="82">
        <f t="shared" si="452"/>
        <v>4</v>
      </c>
      <c r="M996" s="331">
        <v>4</v>
      </c>
      <c r="N996" s="161">
        <f t="shared" si="447"/>
        <v>217.52</v>
      </c>
      <c r="O996" s="161">
        <f t="shared" si="448"/>
        <v>217.52</v>
      </c>
      <c r="P996" s="187">
        <f t="shared" si="449"/>
        <v>0</v>
      </c>
      <c r="Q996" s="161">
        <f t="shared" si="450"/>
        <v>0</v>
      </c>
      <c r="R996" s="85"/>
      <c r="S996" s="86">
        <f t="shared" si="451"/>
        <v>11</v>
      </c>
      <c r="T996" s="87">
        <f t="shared" si="446"/>
        <v>-7</v>
      </c>
      <c r="U996">
        <v>11</v>
      </c>
    </row>
    <row r="997" spans="2:25" ht="20.100000000000001" hidden="1" customHeight="1">
      <c r="B997" s="77">
        <v>9</v>
      </c>
      <c r="C997" s="78" t="s">
        <v>1693</v>
      </c>
      <c r="D997" s="219" t="s">
        <v>4776</v>
      </c>
      <c r="E997" s="276" t="s">
        <v>4721</v>
      </c>
      <c r="F997" s="81">
        <v>33</v>
      </c>
      <c r="G997" s="222"/>
      <c r="H997" s="186"/>
      <c r="I997" s="186">
        <v>12</v>
      </c>
      <c r="J997" s="308"/>
      <c r="K997" s="227"/>
      <c r="L997" s="82">
        <f t="shared" ref="L997" si="459">G997+I997-J997-K997+H997</f>
        <v>12</v>
      </c>
      <c r="M997" s="331">
        <v>12</v>
      </c>
      <c r="N997" s="161">
        <f t="shared" ref="N997" si="460">F997*L997</f>
        <v>396</v>
      </c>
      <c r="O997" s="161">
        <f t="shared" ref="O997" si="461">M997*F997</f>
        <v>396</v>
      </c>
      <c r="P997" s="187">
        <f t="shared" ref="P997" si="462">L997-M997</f>
        <v>0</v>
      </c>
      <c r="Q997" s="161">
        <f t="shared" ref="Q997" si="463">N997-O997</f>
        <v>0</v>
      </c>
      <c r="R997" s="85"/>
      <c r="S997" s="86">
        <f t="shared" ref="S997" si="464">U997+Y997+W997+AA997</f>
        <v>0</v>
      </c>
      <c r="T997" s="87">
        <f t="shared" ref="T997" si="465">M997-S997</f>
        <v>12</v>
      </c>
    </row>
    <row r="998" spans="2:25" ht="20.100000000000001" hidden="1" customHeight="1">
      <c r="B998" s="77">
        <v>9</v>
      </c>
      <c r="C998" s="78" t="s">
        <v>1693</v>
      </c>
      <c r="D998" s="79" t="s">
        <v>1915</v>
      </c>
      <c r="E998" s="80" t="s">
        <v>1916</v>
      </c>
      <c r="F998" s="81">
        <v>30.11</v>
      </c>
      <c r="G998" s="222"/>
      <c r="H998" s="186"/>
      <c r="I998" s="186"/>
      <c r="J998" s="308"/>
      <c r="K998" s="227"/>
      <c r="L998" s="82">
        <f t="shared" si="452"/>
        <v>0</v>
      </c>
      <c r="M998" s="331"/>
      <c r="N998" s="161">
        <f t="shared" si="447"/>
        <v>0</v>
      </c>
      <c r="O998" s="161">
        <f t="shared" si="448"/>
        <v>0</v>
      </c>
      <c r="P998" s="187">
        <f t="shared" si="449"/>
        <v>0</v>
      </c>
      <c r="Q998" s="161">
        <f t="shared" si="450"/>
        <v>0</v>
      </c>
      <c r="R998" s="85"/>
      <c r="S998" s="86">
        <f t="shared" si="451"/>
        <v>0</v>
      </c>
      <c r="T998" s="87">
        <f t="shared" si="446"/>
        <v>0</v>
      </c>
    </row>
    <row r="999" spans="2:25" ht="20.100000000000001" hidden="1" customHeight="1">
      <c r="B999" s="77">
        <v>9</v>
      </c>
      <c r="C999" s="78" t="s">
        <v>1693</v>
      </c>
      <c r="D999" s="79" t="s">
        <v>1915</v>
      </c>
      <c r="E999" s="80" t="s">
        <v>1916</v>
      </c>
      <c r="F999" s="81">
        <v>31.05</v>
      </c>
      <c r="G999" s="222">
        <v>25</v>
      </c>
      <c r="H999" s="186"/>
      <c r="I999" s="186"/>
      <c r="J999" s="308"/>
      <c r="K999" s="227">
        <v>1</v>
      </c>
      <c r="L999" s="82">
        <f t="shared" si="452"/>
        <v>24</v>
      </c>
      <c r="M999" s="331">
        <v>24</v>
      </c>
      <c r="N999" s="161">
        <f t="shared" si="447"/>
        <v>745.2</v>
      </c>
      <c r="O999" s="161">
        <f t="shared" si="448"/>
        <v>745.2</v>
      </c>
      <c r="P999" s="187">
        <f t="shared" si="449"/>
        <v>0</v>
      </c>
      <c r="Q999" s="161">
        <f t="shared" si="450"/>
        <v>0</v>
      </c>
      <c r="R999" s="85"/>
      <c r="S999" s="86">
        <f t="shared" si="451"/>
        <v>27</v>
      </c>
      <c r="T999" s="87">
        <f t="shared" si="446"/>
        <v>-3</v>
      </c>
      <c r="U999">
        <v>27</v>
      </c>
    </row>
    <row r="1000" spans="2:25" ht="20.100000000000001" hidden="1" customHeight="1">
      <c r="B1000" s="77">
        <v>9</v>
      </c>
      <c r="C1000" s="78" t="s">
        <v>1693</v>
      </c>
      <c r="D1000" s="79" t="s">
        <v>1917</v>
      </c>
      <c r="E1000" s="80" t="s">
        <v>1918</v>
      </c>
      <c r="F1000" s="81">
        <v>27.9</v>
      </c>
      <c r="G1000" s="222">
        <v>19</v>
      </c>
      <c r="H1000" s="186"/>
      <c r="I1000" s="186"/>
      <c r="J1000" s="308"/>
      <c r="K1000" s="227">
        <v>2</v>
      </c>
      <c r="L1000" s="82">
        <f t="shared" si="452"/>
        <v>17</v>
      </c>
      <c r="M1000" s="332">
        <v>17</v>
      </c>
      <c r="N1000" s="161">
        <f t="shared" si="447"/>
        <v>474.29999999999995</v>
      </c>
      <c r="O1000" s="161">
        <f t="shared" si="448"/>
        <v>474.29999999999995</v>
      </c>
      <c r="P1000" s="187">
        <f t="shared" si="449"/>
        <v>0</v>
      </c>
      <c r="Q1000" s="161">
        <f t="shared" si="450"/>
        <v>0</v>
      </c>
      <c r="R1000" s="85"/>
      <c r="S1000" s="86">
        <f t="shared" si="451"/>
        <v>23</v>
      </c>
      <c r="T1000" s="87">
        <f t="shared" si="446"/>
        <v>-6</v>
      </c>
      <c r="U1000">
        <v>23</v>
      </c>
    </row>
    <row r="1001" spans="2:25" ht="20.100000000000001" hidden="1" customHeight="1">
      <c r="B1001" s="77">
        <v>9</v>
      </c>
      <c r="C1001" s="78" t="s">
        <v>1693</v>
      </c>
      <c r="D1001" s="79" t="s">
        <v>1919</v>
      </c>
      <c r="E1001" s="80" t="s">
        <v>1920</v>
      </c>
      <c r="F1001" s="81">
        <v>21.5</v>
      </c>
      <c r="G1001" s="222">
        <v>3</v>
      </c>
      <c r="H1001" s="186"/>
      <c r="I1001" s="186"/>
      <c r="J1001" s="308"/>
      <c r="K1001" s="227"/>
      <c r="L1001" s="82">
        <f t="shared" si="452"/>
        <v>3</v>
      </c>
      <c r="M1001" s="331">
        <v>3</v>
      </c>
      <c r="N1001" s="161">
        <f t="shared" si="447"/>
        <v>64.5</v>
      </c>
      <c r="O1001" s="161">
        <f t="shared" si="448"/>
        <v>64.5</v>
      </c>
      <c r="P1001" s="187">
        <f t="shared" si="449"/>
        <v>0</v>
      </c>
      <c r="Q1001" s="161">
        <f t="shared" si="450"/>
        <v>0</v>
      </c>
      <c r="R1001" s="85"/>
      <c r="S1001" s="86">
        <f t="shared" si="451"/>
        <v>3</v>
      </c>
      <c r="T1001" s="87">
        <f t="shared" si="446"/>
        <v>0</v>
      </c>
      <c r="U1001">
        <v>3</v>
      </c>
    </row>
    <row r="1002" spans="2:25" ht="20.100000000000001" hidden="1" customHeight="1">
      <c r="B1002" s="77">
        <v>9</v>
      </c>
      <c r="C1002" s="78" t="s">
        <v>1693</v>
      </c>
      <c r="D1002" s="79" t="s">
        <v>1921</v>
      </c>
      <c r="E1002" s="80" t="s">
        <v>1922</v>
      </c>
      <c r="F1002" s="81">
        <v>25.5</v>
      </c>
      <c r="G1002" s="222"/>
      <c r="H1002" s="186"/>
      <c r="I1002" s="186"/>
      <c r="J1002" s="308"/>
      <c r="K1002" s="227"/>
      <c r="L1002" s="82">
        <f t="shared" si="452"/>
        <v>0</v>
      </c>
      <c r="M1002" s="331"/>
      <c r="N1002" s="161">
        <f t="shared" si="447"/>
        <v>0</v>
      </c>
      <c r="O1002" s="161">
        <f t="shared" si="448"/>
        <v>0</v>
      </c>
      <c r="P1002" s="187">
        <f t="shared" si="449"/>
        <v>0</v>
      </c>
      <c r="Q1002" s="161">
        <f t="shared" si="450"/>
        <v>0</v>
      </c>
      <c r="R1002" s="85"/>
      <c r="S1002" s="86">
        <f t="shared" si="451"/>
        <v>0</v>
      </c>
      <c r="T1002" s="87">
        <f t="shared" si="446"/>
        <v>0</v>
      </c>
    </row>
    <row r="1003" spans="2:25" ht="20.100000000000001" hidden="1" customHeight="1">
      <c r="B1003" s="77">
        <v>9</v>
      </c>
      <c r="C1003" s="78" t="s">
        <v>1693</v>
      </c>
      <c r="D1003" s="79" t="s">
        <v>1923</v>
      </c>
      <c r="E1003" s="80" t="s">
        <v>1924</v>
      </c>
      <c r="F1003" s="81">
        <v>267</v>
      </c>
      <c r="G1003" s="222">
        <v>6</v>
      </c>
      <c r="H1003" s="186"/>
      <c r="I1003" s="186"/>
      <c r="J1003" s="308"/>
      <c r="K1003" s="227"/>
      <c r="L1003" s="82">
        <f t="shared" si="452"/>
        <v>6</v>
      </c>
      <c r="M1003" s="331">
        <v>6</v>
      </c>
      <c r="N1003" s="161">
        <f t="shared" si="447"/>
        <v>1602</v>
      </c>
      <c r="O1003" s="161">
        <f t="shared" si="448"/>
        <v>1602</v>
      </c>
      <c r="P1003" s="187">
        <f t="shared" si="449"/>
        <v>0</v>
      </c>
      <c r="Q1003" s="161">
        <f t="shared" si="450"/>
        <v>0</v>
      </c>
      <c r="R1003" s="85"/>
      <c r="S1003" s="86">
        <f t="shared" si="451"/>
        <v>12</v>
      </c>
      <c r="T1003" s="87">
        <f t="shared" si="446"/>
        <v>-6</v>
      </c>
      <c r="U1003">
        <v>12</v>
      </c>
    </row>
    <row r="1004" spans="2:25" ht="20.100000000000001" hidden="1" customHeight="1">
      <c r="B1004" s="77">
        <v>9</v>
      </c>
      <c r="C1004" s="78" t="s">
        <v>1693</v>
      </c>
      <c r="D1004" s="79" t="s">
        <v>1925</v>
      </c>
      <c r="E1004" s="80" t="s">
        <v>1926</v>
      </c>
      <c r="F1004" s="81">
        <v>51.3</v>
      </c>
      <c r="G1004" s="222">
        <v>4</v>
      </c>
      <c r="H1004" s="186"/>
      <c r="I1004" s="186"/>
      <c r="J1004" s="308"/>
      <c r="K1004" s="227"/>
      <c r="L1004" s="82">
        <f t="shared" si="452"/>
        <v>4</v>
      </c>
      <c r="M1004" s="331">
        <v>4</v>
      </c>
      <c r="N1004" s="161">
        <f t="shared" si="447"/>
        <v>205.2</v>
      </c>
      <c r="O1004" s="161">
        <f t="shared" si="448"/>
        <v>205.2</v>
      </c>
      <c r="P1004" s="187">
        <f t="shared" si="449"/>
        <v>0</v>
      </c>
      <c r="Q1004" s="161">
        <f t="shared" si="450"/>
        <v>0</v>
      </c>
      <c r="R1004" s="85"/>
      <c r="S1004" s="86">
        <f t="shared" si="451"/>
        <v>4</v>
      </c>
      <c r="T1004" s="87">
        <f t="shared" si="446"/>
        <v>0</v>
      </c>
      <c r="U1004">
        <v>4</v>
      </c>
    </row>
    <row r="1005" spans="2:25" ht="20.100000000000001" hidden="1" customHeight="1">
      <c r="B1005" s="77">
        <v>9</v>
      </c>
      <c r="C1005" s="78" t="s">
        <v>1693</v>
      </c>
      <c r="D1005" s="79" t="s">
        <v>1925</v>
      </c>
      <c r="E1005" s="80" t="s">
        <v>1926</v>
      </c>
      <c r="F1005" s="81">
        <v>51.55</v>
      </c>
      <c r="G1005" s="222">
        <v>5</v>
      </c>
      <c r="H1005" s="186"/>
      <c r="I1005" s="186"/>
      <c r="J1005" s="308"/>
      <c r="K1005" s="227">
        <v>1</v>
      </c>
      <c r="L1005" s="82">
        <f t="shared" si="452"/>
        <v>4</v>
      </c>
      <c r="M1005" s="331">
        <v>4</v>
      </c>
      <c r="N1005" s="161">
        <f t="shared" si="447"/>
        <v>206.2</v>
      </c>
      <c r="O1005" s="161">
        <f t="shared" si="448"/>
        <v>206.2</v>
      </c>
      <c r="P1005" s="187">
        <f t="shared" si="449"/>
        <v>0</v>
      </c>
      <c r="Q1005" s="161">
        <f t="shared" si="450"/>
        <v>0</v>
      </c>
      <c r="R1005" s="85"/>
      <c r="S1005" s="86">
        <f t="shared" si="451"/>
        <v>5</v>
      </c>
      <c r="T1005" s="87">
        <f t="shared" si="446"/>
        <v>-1</v>
      </c>
      <c r="U1005">
        <v>5</v>
      </c>
    </row>
    <row r="1006" spans="2:25" ht="20.100000000000001" hidden="1" customHeight="1">
      <c r="B1006" s="77">
        <v>9</v>
      </c>
      <c r="C1006" s="78" t="s">
        <v>1693</v>
      </c>
      <c r="D1006" s="79" t="s">
        <v>1927</v>
      </c>
      <c r="E1006" s="80" t="s">
        <v>1928</v>
      </c>
      <c r="F1006" s="81">
        <v>51.3</v>
      </c>
      <c r="G1006" s="222">
        <v>4</v>
      </c>
      <c r="H1006" s="186"/>
      <c r="I1006" s="186"/>
      <c r="J1006" s="308"/>
      <c r="K1006" s="227">
        <v>1</v>
      </c>
      <c r="L1006" s="82">
        <f t="shared" ref="L1006:L1007" si="466">G1006+I1006-J1006-K1006+H1006</f>
        <v>3</v>
      </c>
      <c r="M1006" s="331">
        <v>3</v>
      </c>
      <c r="N1006" s="161">
        <f t="shared" ref="N1006:N1007" si="467">F1006*L1006</f>
        <v>153.89999999999998</v>
      </c>
      <c r="O1006" s="161">
        <f t="shared" ref="O1006:O1007" si="468">M1006*F1006</f>
        <v>153.89999999999998</v>
      </c>
      <c r="P1006" s="187">
        <f t="shared" ref="P1006:P1007" si="469">L1006-M1006</f>
        <v>0</v>
      </c>
      <c r="Q1006" s="161">
        <f t="shared" ref="Q1006:Q1007" si="470">N1006-O1006</f>
        <v>0</v>
      </c>
      <c r="R1006" s="85"/>
      <c r="S1006" s="86">
        <f t="shared" ref="S1006:S1007" si="471">U1006+Y1006+W1006+AA1006</f>
        <v>0</v>
      </c>
      <c r="T1006" s="87">
        <f t="shared" ref="T1006:T1007" si="472">M1006-S1006</f>
        <v>3</v>
      </c>
    </row>
    <row r="1007" spans="2:25" ht="20.100000000000001" hidden="1" customHeight="1">
      <c r="B1007" s="77">
        <v>9</v>
      </c>
      <c r="C1007" s="78" t="s">
        <v>1693</v>
      </c>
      <c r="D1007" s="79" t="s">
        <v>1927</v>
      </c>
      <c r="E1007" s="80" t="s">
        <v>1928</v>
      </c>
      <c r="F1007" s="81">
        <v>52.35</v>
      </c>
      <c r="G1007" s="222"/>
      <c r="H1007" s="186"/>
      <c r="I1007" s="186">
        <v>6</v>
      </c>
      <c r="J1007" s="308"/>
      <c r="K1007" s="227">
        <v>1</v>
      </c>
      <c r="L1007" s="82">
        <f t="shared" si="466"/>
        <v>5</v>
      </c>
      <c r="M1007" s="331">
        <v>5</v>
      </c>
      <c r="N1007" s="161">
        <f t="shared" si="467"/>
        <v>261.75</v>
      </c>
      <c r="O1007" s="161">
        <f t="shared" si="468"/>
        <v>261.75</v>
      </c>
      <c r="P1007" s="187">
        <f t="shared" si="469"/>
        <v>0</v>
      </c>
      <c r="Q1007" s="161">
        <f t="shared" si="470"/>
        <v>0</v>
      </c>
      <c r="R1007" s="85"/>
      <c r="S1007" s="86">
        <f t="shared" si="471"/>
        <v>0</v>
      </c>
      <c r="T1007" s="87">
        <f t="shared" si="472"/>
        <v>5</v>
      </c>
    </row>
    <row r="1008" spans="2:25" ht="20.100000000000001" hidden="1" customHeight="1">
      <c r="B1008" s="77">
        <v>9</v>
      </c>
      <c r="C1008" s="78" t="s">
        <v>1693</v>
      </c>
      <c r="D1008" s="79" t="s">
        <v>4804</v>
      </c>
      <c r="E1008" s="80" t="s">
        <v>4749</v>
      </c>
      <c r="F1008" s="81">
        <v>52.35</v>
      </c>
      <c r="G1008" s="222"/>
      <c r="H1008" s="186"/>
      <c r="I1008" s="186">
        <v>6</v>
      </c>
      <c r="J1008" s="308"/>
      <c r="K1008" s="227"/>
      <c r="L1008" s="82">
        <f t="shared" si="452"/>
        <v>6</v>
      </c>
      <c r="M1008" s="331">
        <v>6</v>
      </c>
      <c r="N1008" s="161">
        <f t="shared" si="447"/>
        <v>314.10000000000002</v>
      </c>
      <c r="O1008" s="161">
        <f t="shared" si="448"/>
        <v>314.10000000000002</v>
      </c>
      <c r="P1008" s="187">
        <f t="shared" si="449"/>
        <v>0</v>
      </c>
      <c r="Q1008" s="161">
        <f t="shared" si="450"/>
        <v>0</v>
      </c>
      <c r="R1008" s="85"/>
      <c r="S1008" s="86">
        <f t="shared" si="451"/>
        <v>0</v>
      </c>
      <c r="T1008" s="87">
        <f t="shared" si="446"/>
        <v>6</v>
      </c>
    </row>
    <row r="1009" spans="2:31" ht="20.100000000000001" hidden="1" customHeight="1">
      <c r="B1009" s="77">
        <v>9</v>
      </c>
      <c r="C1009" s="78" t="s">
        <v>1693</v>
      </c>
      <c r="D1009" s="79" t="s">
        <v>1929</v>
      </c>
      <c r="E1009" s="80" t="s">
        <v>1930</v>
      </c>
      <c r="F1009" s="81">
        <v>61.75</v>
      </c>
      <c r="G1009" s="222">
        <v>11</v>
      </c>
      <c r="H1009" s="186"/>
      <c r="I1009" s="186"/>
      <c r="J1009" s="308"/>
      <c r="K1009" s="227"/>
      <c r="L1009" s="82">
        <f t="shared" si="452"/>
        <v>11</v>
      </c>
      <c r="M1009" s="331">
        <v>11</v>
      </c>
      <c r="N1009" s="161">
        <f t="shared" si="447"/>
        <v>679.25</v>
      </c>
      <c r="O1009" s="161">
        <f t="shared" si="448"/>
        <v>679.25</v>
      </c>
      <c r="P1009" s="187">
        <f t="shared" si="449"/>
        <v>0</v>
      </c>
      <c r="Q1009" s="161">
        <f t="shared" si="450"/>
        <v>0</v>
      </c>
      <c r="R1009" s="85"/>
      <c r="S1009" s="86">
        <f t="shared" si="451"/>
        <v>11</v>
      </c>
      <c r="T1009" s="87">
        <f t="shared" si="446"/>
        <v>0</v>
      </c>
      <c r="Y1009">
        <v>11</v>
      </c>
    </row>
    <row r="1010" spans="2:31" ht="20.100000000000001" hidden="1" customHeight="1">
      <c r="B1010" s="77">
        <v>9</v>
      </c>
      <c r="C1010" s="78" t="s">
        <v>1693</v>
      </c>
      <c r="D1010" s="160" t="s">
        <v>1931</v>
      </c>
      <c r="E1010" s="80" t="s">
        <v>1932</v>
      </c>
      <c r="F1010" s="81">
        <v>10.95</v>
      </c>
      <c r="G1010" s="222">
        <v>52</v>
      </c>
      <c r="H1010" s="186"/>
      <c r="I1010" s="186"/>
      <c r="J1010" s="308"/>
      <c r="K1010" s="227">
        <v>5</v>
      </c>
      <c r="L1010" s="82">
        <f t="shared" si="452"/>
        <v>47</v>
      </c>
      <c r="M1010" s="331">
        <v>47</v>
      </c>
      <c r="N1010" s="161">
        <f t="shared" si="447"/>
        <v>514.65</v>
      </c>
      <c r="O1010" s="161">
        <f t="shared" si="448"/>
        <v>514.65</v>
      </c>
      <c r="P1010" s="187">
        <f t="shared" si="449"/>
        <v>0</v>
      </c>
      <c r="Q1010" s="161">
        <f t="shared" si="450"/>
        <v>0</v>
      </c>
      <c r="R1010" s="85"/>
      <c r="S1010" s="86">
        <f t="shared" si="451"/>
        <v>28</v>
      </c>
      <c r="T1010" s="87">
        <f t="shared" si="446"/>
        <v>19</v>
      </c>
      <c r="U1010">
        <v>28</v>
      </c>
    </row>
    <row r="1011" spans="2:31" ht="20.100000000000001" hidden="1" customHeight="1">
      <c r="B1011" s="77">
        <v>9</v>
      </c>
      <c r="C1011" s="78" t="s">
        <v>1693</v>
      </c>
      <c r="D1011" s="79" t="s">
        <v>1933</v>
      </c>
      <c r="E1011" s="80" t="s">
        <v>1934</v>
      </c>
      <c r="F1011" s="81">
        <v>125</v>
      </c>
      <c r="G1011" s="222">
        <v>2</v>
      </c>
      <c r="H1011" s="186"/>
      <c r="I1011" s="186"/>
      <c r="J1011" s="308">
        <v>2</v>
      </c>
      <c r="K1011" s="227"/>
      <c r="L1011" s="82">
        <f t="shared" si="452"/>
        <v>0</v>
      </c>
      <c r="M1011" s="331"/>
      <c r="N1011" s="161">
        <f t="shared" si="447"/>
        <v>0</v>
      </c>
      <c r="O1011" s="161">
        <f t="shared" si="448"/>
        <v>0</v>
      </c>
      <c r="P1011" s="187">
        <f t="shared" si="449"/>
        <v>0</v>
      </c>
      <c r="Q1011" s="161">
        <f t="shared" si="450"/>
        <v>0</v>
      </c>
      <c r="R1011" s="85"/>
      <c r="S1011" s="86">
        <f t="shared" si="451"/>
        <v>2</v>
      </c>
      <c r="T1011" s="87">
        <f t="shared" si="446"/>
        <v>-2</v>
      </c>
      <c r="U1011">
        <v>2</v>
      </c>
    </row>
    <row r="1012" spans="2:31" ht="20.100000000000001" hidden="1" customHeight="1">
      <c r="B1012" s="77">
        <v>9</v>
      </c>
      <c r="C1012" s="78" t="s">
        <v>1693</v>
      </c>
      <c r="D1012" s="79" t="s">
        <v>1935</v>
      </c>
      <c r="E1012" s="80" t="s">
        <v>1936</v>
      </c>
      <c r="F1012" s="81">
        <v>46.45</v>
      </c>
      <c r="G1012" s="222">
        <v>5</v>
      </c>
      <c r="H1012" s="186"/>
      <c r="I1012" s="186"/>
      <c r="J1012" s="308"/>
      <c r="K1012" s="227"/>
      <c r="L1012" s="82">
        <f t="shared" si="452"/>
        <v>5</v>
      </c>
      <c r="M1012" s="331">
        <v>5</v>
      </c>
      <c r="N1012" s="161">
        <f t="shared" si="447"/>
        <v>232.25</v>
      </c>
      <c r="O1012" s="161">
        <f t="shared" si="448"/>
        <v>232.25</v>
      </c>
      <c r="P1012" s="187">
        <f t="shared" si="449"/>
        <v>0</v>
      </c>
      <c r="Q1012" s="161">
        <f t="shared" si="450"/>
        <v>0</v>
      </c>
      <c r="R1012" s="85"/>
      <c r="S1012" s="86">
        <f t="shared" si="451"/>
        <v>5</v>
      </c>
      <c r="T1012" s="87">
        <f t="shared" si="446"/>
        <v>0</v>
      </c>
      <c r="U1012">
        <v>5</v>
      </c>
    </row>
    <row r="1013" spans="2:31" ht="20.100000000000001" hidden="1" customHeight="1">
      <c r="B1013" s="77">
        <v>9</v>
      </c>
      <c r="C1013" s="78" t="s">
        <v>1693</v>
      </c>
      <c r="D1013" s="79" t="s">
        <v>1937</v>
      </c>
      <c r="E1013" s="80" t="s">
        <v>1938</v>
      </c>
      <c r="F1013" s="81">
        <v>46.45</v>
      </c>
      <c r="G1013" s="222">
        <v>5</v>
      </c>
      <c r="H1013" s="186"/>
      <c r="I1013" s="186"/>
      <c r="J1013" s="308"/>
      <c r="K1013" s="227"/>
      <c r="L1013" s="82">
        <f t="shared" si="452"/>
        <v>5</v>
      </c>
      <c r="M1013" s="331">
        <v>5</v>
      </c>
      <c r="N1013" s="161">
        <f t="shared" si="447"/>
        <v>232.25</v>
      </c>
      <c r="O1013" s="161">
        <f t="shared" si="448"/>
        <v>232.25</v>
      </c>
      <c r="P1013" s="187">
        <f t="shared" si="449"/>
        <v>0</v>
      </c>
      <c r="Q1013" s="161">
        <f t="shared" si="450"/>
        <v>0</v>
      </c>
      <c r="R1013" s="85"/>
      <c r="S1013" s="86">
        <f t="shared" si="451"/>
        <v>5</v>
      </c>
      <c r="T1013" s="87">
        <f t="shared" si="446"/>
        <v>0</v>
      </c>
      <c r="U1013">
        <v>5</v>
      </c>
    </row>
    <row r="1014" spans="2:31" ht="20.100000000000001" hidden="1" customHeight="1">
      <c r="B1014" s="77">
        <v>9</v>
      </c>
      <c r="C1014" s="78" t="s">
        <v>1693</v>
      </c>
      <c r="D1014" s="79" t="s">
        <v>1939</v>
      </c>
      <c r="E1014" s="80" t="s">
        <v>1940</v>
      </c>
      <c r="F1014" s="81">
        <v>46.45</v>
      </c>
      <c r="G1014" s="222">
        <v>3</v>
      </c>
      <c r="H1014" s="186"/>
      <c r="I1014" s="186"/>
      <c r="J1014" s="308"/>
      <c r="K1014" s="227"/>
      <c r="L1014" s="82">
        <f t="shared" si="452"/>
        <v>3</v>
      </c>
      <c r="M1014" s="331">
        <v>3</v>
      </c>
      <c r="N1014" s="161">
        <f t="shared" si="447"/>
        <v>139.35000000000002</v>
      </c>
      <c r="O1014" s="161">
        <f t="shared" si="448"/>
        <v>139.35000000000002</v>
      </c>
      <c r="P1014" s="187">
        <f t="shared" si="449"/>
        <v>0</v>
      </c>
      <c r="Q1014" s="161">
        <f t="shared" si="450"/>
        <v>0</v>
      </c>
      <c r="R1014" s="85"/>
      <c r="S1014" s="86">
        <f t="shared" si="451"/>
        <v>3</v>
      </c>
      <c r="T1014" s="87">
        <f t="shared" si="446"/>
        <v>0</v>
      </c>
      <c r="U1014">
        <v>3</v>
      </c>
    </row>
    <row r="1015" spans="2:31" ht="20.100000000000001" hidden="1" customHeight="1">
      <c r="B1015" s="77">
        <v>9</v>
      </c>
      <c r="C1015" s="78" t="s">
        <v>1693</v>
      </c>
      <c r="D1015" s="79" t="s">
        <v>1941</v>
      </c>
      <c r="E1015" s="80" t="s">
        <v>1942</v>
      </c>
      <c r="F1015" s="81">
        <v>46.45</v>
      </c>
      <c r="G1015" s="222">
        <v>3</v>
      </c>
      <c r="H1015" s="186"/>
      <c r="I1015" s="186"/>
      <c r="J1015" s="308"/>
      <c r="K1015" s="227"/>
      <c r="L1015" s="82">
        <f t="shared" si="452"/>
        <v>3</v>
      </c>
      <c r="M1015" s="331">
        <v>3</v>
      </c>
      <c r="N1015" s="161">
        <f t="shared" si="447"/>
        <v>139.35000000000002</v>
      </c>
      <c r="O1015" s="161">
        <f t="shared" si="448"/>
        <v>139.35000000000002</v>
      </c>
      <c r="P1015" s="187">
        <f t="shared" si="449"/>
        <v>0</v>
      </c>
      <c r="Q1015" s="161">
        <f t="shared" si="450"/>
        <v>0</v>
      </c>
      <c r="R1015" s="85"/>
      <c r="S1015" s="86">
        <f t="shared" si="451"/>
        <v>3</v>
      </c>
      <c r="T1015" s="87">
        <f t="shared" si="446"/>
        <v>0</v>
      </c>
      <c r="U1015">
        <v>3</v>
      </c>
    </row>
    <row r="1016" spans="2:31" ht="20.100000000000001" hidden="1" customHeight="1">
      <c r="B1016" s="77">
        <v>9</v>
      </c>
      <c r="C1016" s="78" t="s">
        <v>1693</v>
      </c>
      <c r="D1016" s="79" t="s">
        <v>1943</v>
      </c>
      <c r="E1016" s="80" t="s">
        <v>1944</v>
      </c>
      <c r="F1016" s="81">
        <v>46.45</v>
      </c>
      <c r="G1016" s="222">
        <v>1</v>
      </c>
      <c r="H1016" s="186"/>
      <c r="I1016" s="186"/>
      <c r="J1016" s="308"/>
      <c r="K1016" s="227"/>
      <c r="L1016" s="82">
        <f t="shared" si="452"/>
        <v>1</v>
      </c>
      <c r="M1016" s="331">
        <v>1</v>
      </c>
      <c r="N1016" s="161">
        <f t="shared" si="447"/>
        <v>46.45</v>
      </c>
      <c r="O1016" s="161">
        <f t="shared" si="448"/>
        <v>46.45</v>
      </c>
      <c r="P1016" s="187">
        <f t="shared" si="449"/>
        <v>0</v>
      </c>
      <c r="Q1016" s="161">
        <f t="shared" si="450"/>
        <v>0</v>
      </c>
      <c r="R1016" s="85"/>
      <c r="S1016" s="86">
        <f t="shared" si="451"/>
        <v>1</v>
      </c>
      <c r="T1016" s="87">
        <f t="shared" si="446"/>
        <v>0</v>
      </c>
      <c r="U1016">
        <v>1</v>
      </c>
    </row>
    <row r="1017" spans="2:31" ht="20.100000000000001" hidden="1" customHeight="1">
      <c r="B1017" s="77">
        <v>9</v>
      </c>
      <c r="C1017" s="78" t="s">
        <v>1693</v>
      </c>
      <c r="D1017" s="79" t="s">
        <v>1945</v>
      </c>
      <c r="E1017" s="80" t="s">
        <v>1946</v>
      </c>
      <c r="F1017" s="81">
        <v>232.89</v>
      </c>
      <c r="G1017" s="222">
        <v>1</v>
      </c>
      <c r="H1017" s="186"/>
      <c r="I1017" s="186"/>
      <c r="J1017" s="308"/>
      <c r="K1017" s="227"/>
      <c r="L1017" s="82">
        <f t="shared" si="452"/>
        <v>1</v>
      </c>
      <c r="M1017" s="331">
        <v>1</v>
      </c>
      <c r="N1017" s="161">
        <f t="shared" si="447"/>
        <v>232.89</v>
      </c>
      <c r="O1017" s="161">
        <f t="shared" si="448"/>
        <v>232.89</v>
      </c>
      <c r="P1017" s="187">
        <f t="shared" si="449"/>
        <v>0</v>
      </c>
      <c r="Q1017" s="161">
        <f t="shared" si="450"/>
        <v>0</v>
      </c>
      <c r="R1017" s="85"/>
      <c r="S1017" s="86">
        <f t="shared" si="451"/>
        <v>1</v>
      </c>
      <c r="T1017" s="87">
        <f t="shared" si="446"/>
        <v>0</v>
      </c>
      <c r="Y1017">
        <v>1</v>
      </c>
      <c r="Z1017" s="88" t="s">
        <v>1947</v>
      </c>
      <c r="AD1017">
        <f>Y1017</f>
        <v>1</v>
      </c>
      <c r="AE1017">
        <f>AD1017*F1017</f>
        <v>232.89</v>
      </c>
    </row>
    <row r="1018" spans="2:31" ht="20.100000000000001" hidden="1" customHeight="1">
      <c r="B1018" s="77">
        <v>9</v>
      </c>
      <c r="C1018" s="78" t="s">
        <v>1693</v>
      </c>
      <c r="D1018" s="79" t="s">
        <v>1948</v>
      </c>
      <c r="E1018" s="80" t="s">
        <v>1949</v>
      </c>
      <c r="F1018" s="81">
        <v>6.82</v>
      </c>
      <c r="G1018" s="222">
        <v>5</v>
      </c>
      <c r="H1018" s="186"/>
      <c r="I1018" s="186"/>
      <c r="J1018" s="308"/>
      <c r="K1018" s="227">
        <v>12</v>
      </c>
      <c r="L1018" s="82">
        <f t="shared" si="452"/>
        <v>-7</v>
      </c>
      <c r="M1018" s="331">
        <v>5</v>
      </c>
      <c r="N1018" s="161">
        <f t="shared" si="447"/>
        <v>-47.74</v>
      </c>
      <c r="O1018" s="161">
        <f t="shared" si="448"/>
        <v>34.1</v>
      </c>
      <c r="P1018" s="187">
        <f t="shared" si="449"/>
        <v>-12</v>
      </c>
      <c r="Q1018" s="161">
        <f t="shared" si="450"/>
        <v>-81.84</v>
      </c>
      <c r="R1018" s="85"/>
      <c r="S1018" s="86">
        <f t="shared" si="451"/>
        <v>0</v>
      </c>
      <c r="T1018" s="87">
        <f t="shared" si="446"/>
        <v>5</v>
      </c>
    </row>
    <row r="1019" spans="2:31" ht="20.100000000000001" customHeight="1">
      <c r="B1019" s="77">
        <v>9</v>
      </c>
      <c r="C1019" s="78" t="s">
        <v>1693</v>
      </c>
      <c r="D1019" s="79" t="s">
        <v>1950</v>
      </c>
      <c r="E1019" s="80" t="s">
        <v>1951</v>
      </c>
      <c r="F1019" s="81">
        <v>5.43</v>
      </c>
      <c r="G1019" s="222">
        <v>3</v>
      </c>
      <c r="H1019" s="186"/>
      <c r="I1019" s="186"/>
      <c r="J1019" s="308"/>
      <c r="K1019" s="227"/>
      <c r="L1019" s="82">
        <f t="shared" si="452"/>
        <v>3</v>
      </c>
      <c r="M1019" s="331"/>
      <c r="N1019" s="161">
        <f t="shared" si="447"/>
        <v>16.29</v>
      </c>
      <c r="O1019" s="161">
        <f t="shared" si="448"/>
        <v>0</v>
      </c>
      <c r="P1019" s="187">
        <f t="shared" si="449"/>
        <v>3</v>
      </c>
      <c r="Q1019" s="161">
        <f t="shared" si="450"/>
        <v>16.29</v>
      </c>
      <c r="R1019" s="85"/>
      <c r="S1019" s="86">
        <f t="shared" si="451"/>
        <v>9</v>
      </c>
      <c r="T1019" s="87">
        <f t="shared" si="446"/>
        <v>-9</v>
      </c>
      <c r="U1019">
        <v>9</v>
      </c>
    </row>
    <row r="1020" spans="2:31" ht="20.100000000000001" hidden="1" customHeight="1">
      <c r="B1020" s="77">
        <v>9</v>
      </c>
      <c r="C1020" s="78" t="s">
        <v>1693</v>
      </c>
      <c r="D1020" s="79" t="s">
        <v>1952</v>
      </c>
      <c r="E1020" s="80" t="s">
        <v>1953</v>
      </c>
      <c r="F1020" s="81">
        <v>5.03</v>
      </c>
      <c r="G1020" s="222">
        <v>146</v>
      </c>
      <c r="H1020" s="186"/>
      <c r="I1020" s="186"/>
      <c r="J1020" s="308"/>
      <c r="K1020" s="227"/>
      <c r="L1020" s="82">
        <f t="shared" si="452"/>
        <v>146</v>
      </c>
      <c r="M1020" s="331">
        <v>146</v>
      </c>
      <c r="N1020" s="161">
        <f t="shared" si="447"/>
        <v>734.38</v>
      </c>
      <c r="O1020" s="161">
        <f t="shared" si="448"/>
        <v>734.38</v>
      </c>
      <c r="P1020" s="187">
        <f t="shared" si="449"/>
        <v>0</v>
      </c>
      <c r="Q1020" s="161">
        <f t="shared" si="450"/>
        <v>0</v>
      </c>
      <c r="R1020" s="85"/>
      <c r="S1020" s="86">
        <f t="shared" si="451"/>
        <v>146</v>
      </c>
      <c r="T1020" s="87">
        <f t="shared" si="446"/>
        <v>0</v>
      </c>
      <c r="U1020">
        <v>2</v>
      </c>
      <c r="Y1020">
        <v>144</v>
      </c>
    </row>
    <row r="1021" spans="2:31" ht="20.100000000000001" hidden="1" customHeight="1">
      <c r="B1021" s="77">
        <v>9</v>
      </c>
      <c r="C1021" s="78" t="s">
        <v>1693</v>
      </c>
      <c r="D1021" s="79" t="s">
        <v>1954</v>
      </c>
      <c r="E1021" s="80" t="s">
        <v>1955</v>
      </c>
      <c r="F1021" s="81">
        <v>6.92</v>
      </c>
      <c r="G1021" s="222">
        <v>1529</v>
      </c>
      <c r="H1021" s="186"/>
      <c r="I1021" s="186"/>
      <c r="J1021" s="308"/>
      <c r="K1021" s="227">
        <v>10</v>
      </c>
      <c r="L1021" s="82">
        <f t="shared" si="452"/>
        <v>1519</v>
      </c>
      <c r="M1021" s="331">
        <v>1519</v>
      </c>
      <c r="N1021" s="161">
        <f t="shared" si="447"/>
        <v>10511.48</v>
      </c>
      <c r="O1021" s="161">
        <f t="shared" si="448"/>
        <v>10511.48</v>
      </c>
      <c r="P1021" s="187">
        <f t="shared" si="449"/>
        <v>0</v>
      </c>
      <c r="Q1021" s="161">
        <f t="shared" si="450"/>
        <v>0</v>
      </c>
      <c r="R1021" s="232"/>
      <c r="S1021" s="86">
        <f t="shared" si="451"/>
        <v>1562</v>
      </c>
      <c r="T1021" s="87">
        <f t="shared" si="446"/>
        <v>-43</v>
      </c>
      <c r="U1021">
        <v>698</v>
      </c>
      <c r="Y1021">
        <v>864</v>
      </c>
    </row>
    <row r="1022" spans="2:31" ht="20.100000000000001" hidden="1" customHeight="1">
      <c r="B1022" s="77">
        <v>9</v>
      </c>
      <c r="C1022" s="78" t="s">
        <v>1693</v>
      </c>
      <c r="D1022" s="79" t="s">
        <v>1956</v>
      </c>
      <c r="E1022" s="80" t="s">
        <v>1957</v>
      </c>
      <c r="F1022" s="81">
        <v>6.59</v>
      </c>
      <c r="G1022" s="222">
        <v>975</v>
      </c>
      <c r="H1022" s="186"/>
      <c r="I1022" s="186"/>
      <c r="J1022" s="308"/>
      <c r="K1022" s="227"/>
      <c r="L1022" s="82">
        <f t="shared" si="452"/>
        <v>975</v>
      </c>
      <c r="M1022" s="331">
        <v>975</v>
      </c>
      <c r="N1022" s="161">
        <f t="shared" si="447"/>
        <v>6425.25</v>
      </c>
      <c r="O1022" s="161">
        <f t="shared" si="448"/>
        <v>6425.25</v>
      </c>
      <c r="P1022" s="187">
        <f t="shared" si="449"/>
        <v>0</v>
      </c>
      <c r="Q1022" s="161">
        <f t="shared" si="450"/>
        <v>0</v>
      </c>
      <c r="R1022" s="85"/>
      <c r="S1022" s="86">
        <f t="shared" si="451"/>
        <v>853</v>
      </c>
      <c r="T1022" s="87">
        <f t="shared" si="446"/>
        <v>122</v>
      </c>
      <c r="U1022">
        <v>7</v>
      </c>
      <c r="Y1022">
        <v>846</v>
      </c>
    </row>
    <row r="1023" spans="2:31" ht="20.100000000000001" hidden="1" customHeight="1">
      <c r="B1023" s="77">
        <v>9</v>
      </c>
      <c r="C1023" s="78" t="s">
        <v>1693</v>
      </c>
      <c r="D1023" s="79" t="s">
        <v>1958</v>
      </c>
      <c r="E1023" s="80" t="s">
        <v>1959</v>
      </c>
      <c r="F1023" s="81">
        <v>47.5</v>
      </c>
      <c r="G1023" s="222">
        <v>1</v>
      </c>
      <c r="H1023" s="186"/>
      <c r="I1023" s="186"/>
      <c r="J1023" s="308"/>
      <c r="K1023" s="227"/>
      <c r="L1023" s="82">
        <f t="shared" si="452"/>
        <v>1</v>
      </c>
      <c r="M1023" s="331">
        <v>1</v>
      </c>
      <c r="N1023" s="161">
        <f t="shared" si="447"/>
        <v>47.5</v>
      </c>
      <c r="O1023" s="161">
        <f t="shared" si="448"/>
        <v>47.5</v>
      </c>
      <c r="P1023" s="187">
        <f t="shared" si="449"/>
        <v>0</v>
      </c>
      <c r="Q1023" s="161">
        <f t="shared" si="450"/>
        <v>0</v>
      </c>
      <c r="R1023" s="85"/>
      <c r="S1023" s="86">
        <f t="shared" si="451"/>
        <v>1</v>
      </c>
      <c r="T1023" s="87">
        <f t="shared" si="446"/>
        <v>0</v>
      </c>
      <c r="U1023">
        <v>1</v>
      </c>
    </row>
    <row r="1024" spans="2:31" ht="20.100000000000001" hidden="1" customHeight="1">
      <c r="B1024" s="77">
        <v>9</v>
      </c>
      <c r="C1024" s="78" t="s">
        <v>1693</v>
      </c>
      <c r="D1024" s="79" t="s">
        <v>1960</v>
      </c>
      <c r="E1024" s="80" t="s">
        <v>1961</v>
      </c>
      <c r="F1024" s="81">
        <v>39.200000000000003</v>
      </c>
      <c r="G1024" s="222"/>
      <c r="H1024" s="186"/>
      <c r="I1024" s="186"/>
      <c r="J1024" s="308"/>
      <c r="K1024" s="227"/>
      <c r="L1024" s="82">
        <f t="shared" si="452"/>
        <v>0</v>
      </c>
      <c r="M1024" s="331"/>
      <c r="N1024" s="161">
        <f t="shared" si="447"/>
        <v>0</v>
      </c>
      <c r="O1024" s="161">
        <f t="shared" si="448"/>
        <v>0</v>
      </c>
      <c r="P1024" s="187">
        <f t="shared" si="449"/>
        <v>0</v>
      </c>
      <c r="Q1024" s="161">
        <f t="shared" si="450"/>
        <v>0</v>
      </c>
      <c r="R1024" s="85"/>
      <c r="S1024" s="86">
        <f t="shared" si="451"/>
        <v>0</v>
      </c>
      <c r="T1024" s="87">
        <f t="shared" si="446"/>
        <v>0</v>
      </c>
    </row>
    <row r="1025" spans="2:21" ht="20.100000000000001" hidden="1" customHeight="1">
      <c r="B1025" s="77">
        <v>9</v>
      </c>
      <c r="C1025" s="78" t="s">
        <v>1693</v>
      </c>
      <c r="D1025" s="79" t="s">
        <v>1962</v>
      </c>
      <c r="E1025" s="80" t="s">
        <v>1963</v>
      </c>
      <c r="F1025" s="81">
        <v>57.1</v>
      </c>
      <c r="G1025" s="222">
        <v>3</v>
      </c>
      <c r="H1025" s="186"/>
      <c r="I1025" s="186"/>
      <c r="J1025" s="308"/>
      <c r="K1025" s="227"/>
      <c r="L1025" s="82">
        <f t="shared" si="452"/>
        <v>3</v>
      </c>
      <c r="M1025" s="331">
        <v>3</v>
      </c>
      <c r="N1025" s="161">
        <f t="shared" si="447"/>
        <v>171.3</v>
      </c>
      <c r="O1025" s="161">
        <f t="shared" si="448"/>
        <v>171.3</v>
      </c>
      <c r="P1025" s="187">
        <f t="shared" si="449"/>
        <v>0</v>
      </c>
      <c r="Q1025" s="161">
        <f t="shared" si="450"/>
        <v>0</v>
      </c>
      <c r="R1025" s="85"/>
      <c r="S1025" s="86">
        <f t="shared" si="451"/>
        <v>4</v>
      </c>
      <c r="T1025" s="87">
        <f t="shared" si="446"/>
        <v>-1</v>
      </c>
      <c r="U1025">
        <v>4</v>
      </c>
    </row>
    <row r="1026" spans="2:21" ht="20.100000000000001" hidden="1" customHeight="1">
      <c r="B1026" s="77">
        <v>9</v>
      </c>
      <c r="C1026" s="78" t="s">
        <v>1693</v>
      </c>
      <c r="D1026" s="79" t="s">
        <v>1964</v>
      </c>
      <c r="E1026" s="80" t="s">
        <v>1965</v>
      </c>
      <c r="F1026" s="81">
        <v>108.55</v>
      </c>
      <c r="G1026" s="222">
        <v>3</v>
      </c>
      <c r="H1026" s="186"/>
      <c r="I1026" s="186"/>
      <c r="J1026" s="308"/>
      <c r="K1026" s="227"/>
      <c r="L1026" s="82">
        <f t="shared" si="452"/>
        <v>3</v>
      </c>
      <c r="M1026" s="331">
        <v>3</v>
      </c>
      <c r="N1026" s="161">
        <f t="shared" si="447"/>
        <v>325.64999999999998</v>
      </c>
      <c r="O1026" s="161">
        <f t="shared" si="448"/>
        <v>325.64999999999998</v>
      </c>
      <c r="P1026" s="187">
        <f t="shared" si="449"/>
        <v>0</v>
      </c>
      <c r="Q1026" s="161">
        <f t="shared" si="450"/>
        <v>0</v>
      </c>
      <c r="R1026" s="85"/>
      <c r="S1026" s="86">
        <f t="shared" si="451"/>
        <v>3</v>
      </c>
      <c r="T1026" s="87">
        <f t="shared" si="446"/>
        <v>0</v>
      </c>
      <c r="U1026">
        <v>3</v>
      </c>
    </row>
    <row r="1027" spans="2:21" ht="20.100000000000001" hidden="1" customHeight="1">
      <c r="B1027" s="77">
        <v>9</v>
      </c>
      <c r="C1027" s="78" t="s">
        <v>1693</v>
      </c>
      <c r="D1027" s="79" t="s">
        <v>1966</v>
      </c>
      <c r="E1027" s="80" t="s">
        <v>1967</v>
      </c>
      <c r="F1027" s="81">
        <v>31.15</v>
      </c>
      <c r="G1027" s="222">
        <v>3</v>
      </c>
      <c r="H1027" s="186"/>
      <c r="I1027" s="186"/>
      <c r="J1027" s="308"/>
      <c r="K1027" s="227"/>
      <c r="L1027" s="82">
        <f t="shared" si="452"/>
        <v>3</v>
      </c>
      <c r="M1027" s="331">
        <v>3</v>
      </c>
      <c r="N1027" s="161">
        <f t="shared" si="447"/>
        <v>93.449999999999989</v>
      </c>
      <c r="O1027" s="161">
        <f t="shared" si="448"/>
        <v>93.449999999999989</v>
      </c>
      <c r="P1027" s="187">
        <f t="shared" si="449"/>
        <v>0</v>
      </c>
      <c r="Q1027" s="161">
        <f t="shared" si="450"/>
        <v>0</v>
      </c>
      <c r="R1027" s="85"/>
      <c r="S1027" s="86">
        <f t="shared" si="451"/>
        <v>3</v>
      </c>
      <c r="T1027" s="87">
        <f t="shared" si="446"/>
        <v>0</v>
      </c>
      <c r="U1027">
        <v>3</v>
      </c>
    </row>
    <row r="1028" spans="2:21" ht="20.100000000000001" hidden="1" customHeight="1">
      <c r="B1028" s="77">
        <v>9</v>
      </c>
      <c r="C1028" s="78" t="s">
        <v>1693</v>
      </c>
      <c r="D1028" s="79" t="s">
        <v>1968</v>
      </c>
      <c r="E1028" s="80" t="s">
        <v>1969</v>
      </c>
      <c r="F1028" s="81">
        <v>93.75</v>
      </c>
      <c r="G1028" s="222"/>
      <c r="H1028" s="186"/>
      <c r="I1028" s="186"/>
      <c r="J1028" s="308"/>
      <c r="K1028" s="227"/>
      <c r="L1028" s="82">
        <f t="shared" si="452"/>
        <v>0</v>
      </c>
      <c r="M1028" s="331"/>
      <c r="N1028" s="161">
        <f t="shared" si="447"/>
        <v>0</v>
      </c>
      <c r="O1028" s="161">
        <f t="shared" si="448"/>
        <v>0</v>
      </c>
      <c r="P1028" s="187">
        <f t="shared" si="449"/>
        <v>0</v>
      </c>
      <c r="Q1028" s="161">
        <f t="shared" si="450"/>
        <v>0</v>
      </c>
      <c r="R1028" s="85"/>
      <c r="S1028" s="86">
        <f t="shared" si="451"/>
        <v>0</v>
      </c>
      <c r="T1028" s="87">
        <f t="shared" si="446"/>
        <v>0</v>
      </c>
    </row>
    <row r="1029" spans="2:21" ht="20.100000000000001" hidden="1" customHeight="1">
      <c r="B1029" s="77">
        <v>9</v>
      </c>
      <c r="C1029" s="78" t="s">
        <v>1693</v>
      </c>
      <c r="D1029" s="79" t="s">
        <v>1970</v>
      </c>
      <c r="E1029" s="80" t="s">
        <v>1971</v>
      </c>
      <c r="F1029" s="81">
        <v>47.1</v>
      </c>
      <c r="G1029" s="222">
        <v>5</v>
      </c>
      <c r="H1029" s="186"/>
      <c r="I1029" s="186"/>
      <c r="J1029" s="308"/>
      <c r="K1029" s="227"/>
      <c r="L1029" s="82">
        <f t="shared" si="452"/>
        <v>5</v>
      </c>
      <c r="M1029" s="331">
        <v>5</v>
      </c>
      <c r="N1029" s="161">
        <f t="shared" si="447"/>
        <v>235.5</v>
      </c>
      <c r="O1029" s="161">
        <f t="shared" si="448"/>
        <v>235.5</v>
      </c>
      <c r="P1029" s="187">
        <f t="shared" si="449"/>
        <v>0</v>
      </c>
      <c r="Q1029" s="161">
        <f t="shared" si="450"/>
        <v>0</v>
      </c>
      <c r="R1029" s="85"/>
      <c r="S1029" s="86">
        <f t="shared" si="451"/>
        <v>5</v>
      </c>
      <c r="T1029" s="87">
        <f t="shared" si="446"/>
        <v>0</v>
      </c>
      <c r="U1029">
        <v>5</v>
      </c>
    </row>
    <row r="1030" spans="2:21" ht="20.100000000000001" hidden="1" customHeight="1">
      <c r="B1030" s="77">
        <v>9</v>
      </c>
      <c r="C1030" s="78" t="s">
        <v>1693</v>
      </c>
      <c r="D1030" s="79" t="s">
        <v>1972</v>
      </c>
      <c r="E1030" s="80" t="s">
        <v>1973</v>
      </c>
      <c r="F1030" s="81">
        <v>81.349999999999994</v>
      </c>
      <c r="G1030" s="222"/>
      <c r="H1030" s="186"/>
      <c r="I1030" s="186"/>
      <c r="J1030" s="308"/>
      <c r="K1030" s="227"/>
      <c r="L1030" s="82">
        <f t="shared" si="452"/>
        <v>0</v>
      </c>
      <c r="M1030" s="331"/>
      <c r="N1030" s="161">
        <f t="shared" si="447"/>
        <v>0</v>
      </c>
      <c r="O1030" s="161">
        <f t="shared" si="448"/>
        <v>0</v>
      </c>
      <c r="P1030" s="187">
        <f t="shared" si="449"/>
        <v>0</v>
      </c>
      <c r="Q1030" s="161">
        <f t="shared" si="450"/>
        <v>0</v>
      </c>
      <c r="R1030" s="85"/>
      <c r="S1030" s="86">
        <f t="shared" si="451"/>
        <v>0</v>
      </c>
      <c r="T1030" s="87">
        <f t="shared" si="446"/>
        <v>0</v>
      </c>
    </row>
    <row r="1031" spans="2:21" ht="20.100000000000001" hidden="1" customHeight="1">
      <c r="B1031" s="77">
        <v>9</v>
      </c>
      <c r="C1031" s="78" t="s">
        <v>1693</v>
      </c>
      <c r="D1031" s="79" t="s">
        <v>1974</v>
      </c>
      <c r="E1031" s="80" t="s">
        <v>1975</v>
      </c>
      <c r="F1031" s="315">
        <v>23.62</v>
      </c>
      <c r="G1031" s="222">
        <v>8</v>
      </c>
      <c r="H1031" s="186"/>
      <c r="I1031" s="186"/>
      <c r="J1031" s="308"/>
      <c r="K1031" s="227">
        <v>2</v>
      </c>
      <c r="L1031" s="82">
        <f t="shared" si="452"/>
        <v>6</v>
      </c>
      <c r="M1031" s="331">
        <v>6</v>
      </c>
      <c r="N1031" s="161">
        <f t="shared" si="447"/>
        <v>141.72</v>
      </c>
      <c r="O1031" s="161">
        <f t="shared" si="448"/>
        <v>141.72</v>
      </c>
      <c r="P1031" s="187">
        <f t="shared" si="449"/>
        <v>0</v>
      </c>
      <c r="Q1031" s="161">
        <f t="shared" si="450"/>
        <v>0</v>
      </c>
      <c r="R1031" s="85"/>
      <c r="S1031" s="86">
        <f t="shared" si="451"/>
        <v>10</v>
      </c>
      <c r="T1031" s="87">
        <f t="shared" si="446"/>
        <v>-4</v>
      </c>
      <c r="U1031">
        <v>10</v>
      </c>
    </row>
    <row r="1032" spans="2:21" ht="20.100000000000001" hidden="1" customHeight="1">
      <c r="B1032" s="77">
        <v>9</v>
      </c>
      <c r="C1032" s="78" t="s">
        <v>1693</v>
      </c>
      <c r="D1032" s="79" t="s">
        <v>1976</v>
      </c>
      <c r="E1032" s="80" t="s">
        <v>1977</v>
      </c>
      <c r="F1032" s="81">
        <v>46.23</v>
      </c>
      <c r="G1032" s="222">
        <v>8</v>
      </c>
      <c r="H1032" s="186"/>
      <c r="I1032" s="186"/>
      <c r="J1032" s="308"/>
      <c r="K1032" s="227"/>
      <c r="L1032" s="82">
        <f t="shared" si="452"/>
        <v>8</v>
      </c>
      <c r="M1032" s="331">
        <v>8</v>
      </c>
      <c r="N1032" s="161">
        <f t="shared" si="447"/>
        <v>369.84</v>
      </c>
      <c r="O1032" s="161">
        <f t="shared" si="448"/>
        <v>369.84</v>
      </c>
      <c r="P1032" s="187">
        <f t="shared" si="449"/>
        <v>0</v>
      </c>
      <c r="Q1032" s="161">
        <f t="shared" si="450"/>
        <v>0</v>
      </c>
      <c r="R1032" s="85"/>
      <c r="S1032" s="86">
        <f t="shared" si="451"/>
        <v>8</v>
      </c>
      <c r="T1032" s="87">
        <f t="shared" si="446"/>
        <v>0</v>
      </c>
      <c r="U1032">
        <v>8</v>
      </c>
    </row>
    <row r="1033" spans="2:21" ht="20.100000000000001" hidden="1" customHeight="1">
      <c r="B1033" s="77">
        <v>9</v>
      </c>
      <c r="C1033" s="78" t="s">
        <v>1693</v>
      </c>
      <c r="D1033" s="79" t="s">
        <v>1978</v>
      </c>
      <c r="E1033" s="80" t="s">
        <v>1979</v>
      </c>
      <c r="F1033" s="81">
        <v>49.95</v>
      </c>
      <c r="G1033" s="222"/>
      <c r="H1033" s="186"/>
      <c r="I1033" s="186"/>
      <c r="J1033" s="308"/>
      <c r="K1033" s="227"/>
      <c r="L1033" s="82">
        <f t="shared" si="452"/>
        <v>0</v>
      </c>
      <c r="M1033" s="331"/>
      <c r="N1033" s="161">
        <f t="shared" si="447"/>
        <v>0</v>
      </c>
      <c r="O1033" s="161">
        <f t="shared" si="448"/>
        <v>0</v>
      </c>
      <c r="P1033" s="187">
        <f t="shared" si="449"/>
        <v>0</v>
      </c>
      <c r="Q1033" s="161">
        <f t="shared" si="450"/>
        <v>0</v>
      </c>
      <c r="R1033" s="85"/>
      <c r="S1033" s="86">
        <f t="shared" si="451"/>
        <v>0</v>
      </c>
      <c r="T1033" s="87">
        <f t="shared" si="446"/>
        <v>0</v>
      </c>
    </row>
    <row r="1034" spans="2:21" ht="20.100000000000001" hidden="1" customHeight="1">
      <c r="B1034" s="77">
        <v>9</v>
      </c>
      <c r="C1034" s="78" t="s">
        <v>1693</v>
      </c>
      <c r="D1034" s="79" t="s">
        <v>1980</v>
      </c>
      <c r="E1034" s="80" t="s">
        <v>1981</v>
      </c>
      <c r="F1034" s="81">
        <v>27.95</v>
      </c>
      <c r="G1034" s="222">
        <v>10</v>
      </c>
      <c r="H1034" s="186"/>
      <c r="I1034" s="186"/>
      <c r="J1034" s="308"/>
      <c r="K1034" s="227"/>
      <c r="L1034" s="82">
        <f t="shared" si="452"/>
        <v>10</v>
      </c>
      <c r="M1034" s="331">
        <v>10</v>
      </c>
      <c r="N1034" s="161">
        <f t="shared" si="447"/>
        <v>279.5</v>
      </c>
      <c r="O1034" s="161">
        <f t="shared" si="448"/>
        <v>279.5</v>
      </c>
      <c r="P1034" s="187">
        <f t="shared" si="449"/>
        <v>0</v>
      </c>
      <c r="Q1034" s="161">
        <f t="shared" si="450"/>
        <v>0</v>
      </c>
      <c r="R1034" s="85"/>
      <c r="S1034" s="86">
        <f t="shared" si="451"/>
        <v>10</v>
      </c>
      <c r="T1034" s="87">
        <f t="shared" si="446"/>
        <v>0</v>
      </c>
      <c r="U1034">
        <v>10</v>
      </c>
    </row>
    <row r="1035" spans="2:21" ht="20.100000000000001" hidden="1" customHeight="1">
      <c r="B1035" s="77">
        <v>9</v>
      </c>
      <c r="C1035" s="78" t="s">
        <v>1693</v>
      </c>
      <c r="D1035" s="79" t="s">
        <v>1982</v>
      </c>
      <c r="E1035" s="80" t="s">
        <v>1983</v>
      </c>
      <c r="F1035" s="81">
        <v>57.85</v>
      </c>
      <c r="G1035" s="222"/>
      <c r="H1035" s="186"/>
      <c r="I1035" s="186"/>
      <c r="J1035" s="308"/>
      <c r="K1035" s="227"/>
      <c r="L1035" s="82">
        <f t="shared" si="452"/>
        <v>0</v>
      </c>
      <c r="M1035" s="331"/>
      <c r="N1035" s="161">
        <f t="shared" si="447"/>
        <v>0</v>
      </c>
      <c r="O1035" s="161">
        <f t="shared" si="448"/>
        <v>0</v>
      </c>
      <c r="P1035" s="187">
        <f t="shared" si="449"/>
        <v>0</v>
      </c>
      <c r="Q1035" s="161">
        <f t="shared" si="450"/>
        <v>0</v>
      </c>
      <c r="R1035" s="85"/>
      <c r="S1035" s="86">
        <f t="shared" si="451"/>
        <v>0</v>
      </c>
      <c r="T1035" s="87">
        <f t="shared" si="446"/>
        <v>0</v>
      </c>
    </row>
    <row r="1036" spans="2:21" ht="20.100000000000001" hidden="1" customHeight="1">
      <c r="B1036" s="77">
        <v>9</v>
      </c>
      <c r="C1036" s="78" t="s">
        <v>1693</v>
      </c>
      <c r="D1036" s="79" t="s">
        <v>1984</v>
      </c>
      <c r="E1036" s="80" t="s">
        <v>1985</v>
      </c>
      <c r="F1036" s="81">
        <v>94.7</v>
      </c>
      <c r="G1036" s="222"/>
      <c r="H1036" s="186"/>
      <c r="I1036" s="186"/>
      <c r="J1036" s="308"/>
      <c r="K1036" s="227"/>
      <c r="L1036" s="82">
        <f t="shared" si="452"/>
        <v>0</v>
      </c>
      <c r="M1036" s="331"/>
      <c r="N1036" s="161">
        <f t="shared" si="447"/>
        <v>0</v>
      </c>
      <c r="O1036" s="161">
        <f t="shared" si="448"/>
        <v>0</v>
      </c>
      <c r="P1036" s="187">
        <f t="shared" si="449"/>
        <v>0</v>
      </c>
      <c r="Q1036" s="161">
        <f t="shared" si="450"/>
        <v>0</v>
      </c>
      <c r="R1036" s="85"/>
      <c r="S1036" s="86">
        <f t="shared" si="451"/>
        <v>0</v>
      </c>
      <c r="T1036" s="87">
        <f t="shared" si="446"/>
        <v>0</v>
      </c>
    </row>
    <row r="1037" spans="2:21" ht="20.100000000000001" hidden="1" customHeight="1">
      <c r="B1037" s="77">
        <v>9</v>
      </c>
      <c r="C1037" s="78" t="s">
        <v>1693</v>
      </c>
      <c r="D1037" s="79" t="s">
        <v>1986</v>
      </c>
      <c r="E1037" s="80" t="s">
        <v>1987</v>
      </c>
      <c r="F1037" s="81">
        <v>13.95</v>
      </c>
      <c r="G1037" s="222">
        <v>2</v>
      </c>
      <c r="H1037" s="186"/>
      <c r="I1037" s="186"/>
      <c r="J1037" s="308"/>
      <c r="K1037" s="227"/>
      <c r="L1037" s="82">
        <f t="shared" si="452"/>
        <v>2</v>
      </c>
      <c r="M1037" s="331">
        <v>2</v>
      </c>
      <c r="N1037" s="161">
        <f t="shared" si="447"/>
        <v>27.9</v>
      </c>
      <c r="O1037" s="161">
        <f t="shared" si="448"/>
        <v>27.9</v>
      </c>
      <c r="P1037" s="187">
        <f t="shared" si="449"/>
        <v>0</v>
      </c>
      <c r="Q1037" s="161">
        <f t="shared" si="450"/>
        <v>0</v>
      </c>
      <c r="R1037" s="85"/>
      <c r="S1037" s="86">
        <f t="shared" si="451"/>
        <v>2</v>
      </c>
      <c r="T1037" s="87">
        <f t="shared" si="446"/>
        <v>0</v>
      </c>
      <c r="U1037">
        <v>2</v>
      </c>
    </row>
    <row r="1038" spans="2:21" ht="20.100000000000001" hidden="1" customHeight="1">
      <c r="B1038" s="77">
        <v>9</v>
      </c>
      <c r="C1038" s="78" t="s">
        <v>1693</v>
      </c>
      <c r="D1038" s="79" t="s">
        <v>1988</v>
      </c>
      <c r="E1038" s="80" t="s">
        <v>1989</v>
      </c>
      <c r="F1038" s="81">
        <v>24</v>
      </c>
      <c r="G1038" s="222">
        <v>7</v>
      </c>
      <c r="H1038" s="186"/>
      <c r="I1038" s="186"/>
      <c r="J1038" s="308"/>
      <c r="K1038" s="227"/>
      <c r="L1038" s="82">
        <f t="shared" si="452"/>
        <v>7</v>
      </c>
      <c r="M1038" s="331">
        <v>7</v>
      </c>
      <c r="N1038" s="161">
        <f t="shared" si="447"/>
        <v>168</v>
      </c>
      <c r="O1038" s="161">
        <f t="shared" si="448"/>
        <v>168</v>
      </c>
      <c r="P1038" s="187">
        <f t="shared" si="449"/>
        <v>0</v>
      </c>
      <c r="Q1038" s="161">
        <f t="shared" si="450"/>
        <v>0</v>
      </c>
      <c r="R1038" s="85"/>
      <c r="S1038" s="86">
        <f t="shared" si="451"/>
        <v>7</v>
      </c>
      <c r="T1038" s="87">
        <f t="shared" si="446"/>
        <v>0</v>
      </c>
      <c r="U1038">
        <v>7</v>
      </c>
    </row>
    <row r="1039" spans="2:21" ht="20.100000000000001" hidden="1" customHeight="1">
      <c r="B1039" s="77">
        <v>9</v>
      </c>
      <c r="C1039" s="78" t="s">
        <v>1693</v>
      </c>
      <c r="D1039" s="79" t="s">
        <v>1990</v>
      </c>
      <c r="E1039" s="80" t="s">
        <v>1991</v>
      </c>
      <c r="F1039" s="81">
        <v>39.200000000000003</v>
      </c>
      <c r="G1039" s="222"/>
      <c r="H1039" s="186"/>
      <c r="I1039" s="186"/>
      <c r="J1039" s="308"/>
      <c r="K1039" s="227"/>
      <c r="L1039" s="82">
        <f t="shared" si="452"/>
        <v>0</v>
      </c>
      <c r="M1039" s="331"/>
      <c r="N1039" s="161">
        <f t="shared" si="447"/>
        <v>0</v>
      </c>
      <c r="O1039" s="161">
        <f t="shared" si="448"/>
        <v>0</v>
      </c>
      <c r="P1039" s="187">
        <f t="shared" si="449"/>
        <v>0</v>
      </c>
      <c r="Q1039" s="161">
        <f t="shared" si="450"/>
        <v>0</v>
      </c>
      <c r="R1039" s="85"/>
      <c r="S1039" s="86">
        <f t="shared" si="451"/>
        <v>0</v>
      </c>
      <c r="T1039" s="87">
        <f t="shared" ref="T1039:T1132" si="473">M1039-S1039</f>
        <v>0</v>
      </c>
    </row>
    <row r="1040" spans="2:21" ht="20.100000000000001" hidden="1" customHeight="1">
      <c r="B1040" s="77">
        <v>9</v>
      </c>
      <c r="C1040" s="78" t="s">
        <v>1693</v>
      </c>
      <c r="D1040" s="79" t="s">
        <v>1992</v>
      </c>
      <c r="E1040" s="80" t="s">
        <v>1993</v>
      </c>
      <c r="F1040" s="81">
        <v>39.200000000000003</v>
      </c>
      <c r="G1040" s="222">
        <v>3</v>
      </c>
      <c r="H1040" s="186"/>
      <c r="I1040" s="186"/>
      <c r="J1040" s="308"/>
      <c r="K1040" s="227"/>
      <c r="L1040" s="82">
        <f t="shared" si="452"/>
        <v>3</v>
      </c>
      <c r="M1040" s="331">
        <v>3</v>
      </c>
      <c r="N1040" s="161">
        <f t="shared" ref="N1040:N1133" si="474">F1040*L1040</f>
        <v>117.60000000000001</v>
      </c>
      <c r="O1040" s="161">
        <f t="shared" ref="O1040:O1133" si="475">M1040*F1040</f>
        <v>117.60000000000001</v>
      </c>
      <c r="P1040" s="187">
        <f t="shared" ref="P1040:P1133" si="476">L1040-M1040</f>
        <v>0</v>
      </c>
      <c r="Q1040" s="161">
        <f t="shared" ref="Q1040:Q1133" si="477">N1040-O1040</f>
        <v>0</v>
      </c>
      <c r="R1040" s="85"/>
      <c r="S1040" s="86">
        <f t="shared" ref="S1040:S1133" si="478">U1040+Y1040+W1040+AA1040</f>
        <v>4</v>
      </c>
      <c r="T1040" s="87">
        <f t="shared" si="473"/>
        <v>-1</v>
      </c>
      <c r="U1040">
        <v>4</v>
      </c>
    </row>
    <row r="1041" spans="2:25" ht="20.100000000000001" hidden="1" customHeight="1">
      <c r="B1041" s="77">
        <v>9</v>
      </c>
      <c r="C1041" s="78" t="s">
        <v>1693</v>
      </c>
      <c r="D1041" s="79" t="s">
        <v>1994</v>
      </c>
      <c r="E1041" s="80" t="s">
        <v>1995</v>
      </c>
      <c r="F1041" s="81">
        <v>15.46</v>
      </c>
      <c r="G1041" s="222"/>
      <c r="H1041" s="186"/>
      <c r="I1041" s="186"/>
      <c r="J1041" s="308"/>
      <c r="K1041" s="227"/>
      <c r="L1041" s="82">
        <f t="shared" si="452"/>
        <v>0</v>
      </c>
      <c r="M1041" s="331"/>
      <c r="N1041" s="161">
        <f t="shared" si="474"/>
        <v>0</v>
      </c>
      <c r="O1041" s="161">
        <f t="shared" si="475"/>
        <v>0</v>
      </c>
      <c r="P1041" s="187">
        <f t="shared" si="476"/>
        <v>0</v>
      </c>
      <c r="Q1041" s="161">
        <f t="shared" si="477"/>
        <v>0</v>
      </c>
      <c r="R1041" s="85"/>
      <c r="S1041" s="86">
        <f t="shared" si="478"/>
        <v>0</v>
      </c>
      <c r="T1041" s="87">
        <f t="shared" si="473"/>
        <v>0</v>
      </c>
    </row>
    <row r="1042" spans="2:25" ht="20.100000000000001" hidden="1" customHeight="1">
      <c r="B1042" s="77">
        <v>9</v>
      </c>
      <c r="C1042" s="78" t="s">
        <v>1693</v>
      </c>
      <c r="D1042" s="79" t="s">
        <v>1996</v>
      </c>
      <c r="E1042" s="80" t="s">
        <v>1997</v>
      </c>
      <c r="F1042" s="81">
        <v>177</v>
      </c>
      <c r="G1042" s="222">
        <v>2</v>
      </c>
      <c r="H1042" s="186"/>
      <c r="I1042" s="186"/>
      <c r="J1042" s="308"/>
      <c r="K1042" s="227"/>
      <c r="L1042" s="82">
        <f t="shared" ref="L1042:L1127" si="479">G1042+I1042-J1042-K1042+H1042</f>
        <v>2</v>
      </c>
      <c r="M1042" s="331">
        <v>2</v>
      </c>
      <c r="N1042" s="161">
        <f t="shared" si="474"/>
        <v>354</v>
      </c>
      <c r="O1042" s="161">
        <f t="shared" si="475"/>
        <v>354</v>
      </c>
      <c r="P1042" s="187">
        <f t="shared" si="476"/>
        <v>0</v>
      </c>
      <c r="Q1042" s="161">
        <f t="shared" si="477"/>
        <v>0</v>
      </c>
      <c r="R1042" s="85"/>
      <c r="S1042" s="86">
        <f t="shared" si="478"/>
        <v>2</v>
      </c>
      <c r="T1042" s="87">
        <f t="shared" si="473"/>
        <v>0</v>
      </c>
      <c r="U1042">
        <v>2</v>
      </c>
    </row>
    <row r="1043" spans="2:25" ht="20.100000000000001" hidden="1" customHeight="1">
      <c r="B1043" s="77">
        <v>9</v>
      </c>
      <c r="C1043" s="78" t="s">
        <v>1693</v>
      </c>
      <c r="D1043" s="79" t="s">
        <v>1998</v>
      </c>
      <c r="E1043" s="80" t="s">
        <v>1999</v>
      </c>
      <c r="F1043" s="81">
        <v>117.91</v>
      </c>
      <c r="G1043" s="222">
        <v>14</v>
      </c>
      <c r="H1043" s="186"/>
      <c r="I1043" s="186"/>
      <c r="J1043" s="308"/>
      <c r="K1043" s="227"/>
      <c r="L1043" s="82">
        <f t="shared" si="479"/>
        <v>14</v>
      </c>
      <c r="M1043" s="331">
        <v>14</v>
      </c>
      <c r="N1043" s="161">
        <f t="shared" si="474"/>
        <v>1650.74</v>
      </c>
      <c r="O1043" s="161">
        <f t="shared" si="475"/>
        <v>1650.74</v>
      </c>
      <c r="P1043" s="187">
        <f t="shared" si="476"/>
        <v>0</v>
      </c>
      <c r="Q1043" s="161">
        <f t="shared" si="477"/>
        <v>0</v>
      </c>
      <c r="R1043" s="85"/>
      <c r="S1043" s="86">
        <f t="shared" si="478"/>
        <v>14</v>
      </c>
      <c r="T1043" s="87">
        <f t="shared" si="473"/>
        <v>0</v>
      </c>
      <c r="U1043">
        <v>4</v>
      </c>
      <c r="Y1043">
        <v>10</v>
      </c>
    </row>
    <row r="1044" spans="2:25" ht="20.100000000000001" hidden="1" customHeight="1">
      <c r="B1044" s="77">
        <v>9</v>
      </c>
      <c r="C1044" s="78" t="s">
        <v>1693</v>
      </c>
      <c r="D1044" s="79" t="s">
        <v>2000</v>
      </c>
      <c r="E1044" s="80" t="s">
        <v>2001</v>
      </c>
      <c r="F1044" s="81">
        <v>69.650000000000006</v>
      </c>
      <c r="G1044" s="222"/>
      <c r="H1044" s="186"/>
      <c r="I1044" s="186"/>
      <c r="J1044" s="308"/>
      <c r="K1044" s="227"/>
      <c r="L1044" s="82">
        <f t="shared" si="479"/>
        <v>0</v>
      </c>
      <c r="M1044" s="331"/>
      <c r="N1044" s="161">
        <f t="shared" si="474"/>
        <v>0</v>
      </c>
      <c r="O1044" s="161">
        <f t="shared" si="475"/>
        <v>0</v>
      </c>
      <c r="P1044" s="187">
        <f t="shared" si="476"/>
        <v>0</v>
      </c>
      <c r="Q1044" s="161">
        <f t="shared" si="477"/>
        <v>0</v>
      </c>
      <c r="R1044" s="85"/>
      <c r="S1044" s="86">
        <f t="shared" si="478"/>
        <v>0</v>
      </c>
      <c r="T1044" s="87">
        <f t="shared" si="473"/>
        <v>0</v>
      </c>
    </row>
    <row r="1045" spans="2:25" ht="20.100000000000001" hidden="1" customHeight="1">
      <c r="B1045" s="77">
        <v>9</v>
      </c>
      <c r="C1045" s="78" t="s">
        <v>1693</v>
      </c>
      <c r="D1045" s="79" t="s">
        <v>2000</v>
      </c>
      <c r="E1045" s="80" t="s">
        <v>2001</v>
      </c>
      <c r="F1045" s="81">
        <v>69.650000000000006</v>
      </c>
      <c r="G1045" s="222">
        <v>13</v>
      </c>
      <c r="H1045" s="186"/>
      <c r="I1045" s="186"/>
      <c r="J1045" s="308"/>
      <c r="K1045" s="227"/>
      <c r="L1045" s="82">
        <f t="shared" si="479"/>
        <v>13</v>
      </c>
      <c r="M1045" s="331">
        <v>13</v>
      </c>
      <c r="N1045" s="161">
        <f t="shared" si="474"/>
        <v>905.45</v>
      </c>
      <c r="O1045" s="161">
        <f t="shared" si="475"/>
        <v>905.45</v>
      </c>
      <c r="P1045" s="187">
        <f t="shared" si="476"/>
        <v>0</v>
      </c>
      <c r="Q1045" s="161">
        <f t="shared" si="477"/>
        <v>0</v>
      </c>
      <c r="R1045" s="85"/>
      <c r="S1045" s="86">
        <f t="shared" si="478"/>
        <v>13</v>
      </c>
      <c r="T1045" s="87">
        <f t="shared" si="473"/>
        <v>0</v>
      </c>
      <c r="U1045">
        <v>13</v>
      </c>
    </row>
    <row r="1046" spans="2:25" ht="20.100000000000001" hidden="1" customHeight="1">
      <c r="B1046" s="77">
        <v>9</v>
      </c>
      <c r="C1046" s="78" t="s">
        <v>1693</v>
      </c>
      <c r="D1046" s="79" t="s">
        <v>2002</v>
      </c>
      <c r="E1046" s="80" t="s">
        <v>2003</v>
      </c>
      <c r="F1046" s="81">
        <v>292.89</v>
      </c>
      <c r="G1046" s="222"/>
      <c r="H1046" s="186"/>
      <c r="I1046" s="186"/>
      <c r="J1046" s="308"/>
      <c r="K1046" s="227"/>
      <c r="L1046" s="82">
        <f t="shared" si="479"/>
        <v>0</v>
      </c>
      <c r="M1046" s="331"/>
      <c r="N1046" s="161">
        <f t="shared" si="474"/>
        <v>0</v>
      </c>
      <c r="O1046" s="161">
        <f t="shared" si="475"/>
        <v>0</v>
      </c>
      <c r="P1046" s="187">
        <f t="shared" si="476"/>
        <v>0</v>
      </c>
      <c r="Q1046" s="161">
        <f t="shared" si="477"/>
        <v>0</v>
      </c>
      <c r="R1046" s="85"/>
      <c r="S1046" s="86">
        <f t="shared" si="478"/>
        <v>0</v>
      </c>
      <c r="T1046" s="87">
        <f t="shared" si="473"/>
        <v>0</v>
      </c>
    </row>
    <row r="1047" spans="2:25" ht="20.100000000000001" hidden="1" customHeight="1">
      <c r="B1047" s="77">
        <v>9</v>
      </c>
      <c r="C1047" s="78" t="s">
        <v>1693</v>
      </c>
      <c r="D1047" s="79" t="s">
        <v>2004</v>
      </c>
      <c r="E1047" s="80" t="s">
        <v>2005</v>
      </c>
      <c r="F1047" s="81">
        <v>63.14</v>
      </c>
      <c r="G1047" s="222">
        <v>2</v>
      </c>
      <c r="H1047" s="186"/>
      <c r="I1047" s="186"/>
      <c r="J1047" s="308"/>
      <c r="K1047" s="227"/>
      <c r="L1047" s="82">
        <f t="shared" si="479"/>
        <v>2</v>
      </c>
      <c r="M1047" s="331">
        <v>2</v>
      </c>
      <c r="N1047" s="161">
        <f t="shared" si="474"/>
        <v>126.28</v>
      </c>
      <c r="O1047" s="161">
        <f t="shared" si="475"/>
        <v>126.28</v>
      </c>
      <c r="P1047" s="187">
        <f t="shared" si="476"/>
        <v>0</v>
      </c>
      <c r="Q1047" s="161">
        <f t="shared" si="477"/>
        <v>0</v>
      </c>
      <c r="R1047" s="85"/>
      <c r="S1047" s="86">
        <f t="shared" si="478"/>
        <v>2</v>
      </c>
      <c r="T1047" s="87">
        <f t="shared" si="473"/>
        <v>0</v>
      </c>
      <c r="U1047">
        <v>2</v>
      </c>
    </row>
    <row r="1048" spans="2:25" ht="20.100000000000001" hidden="1" customHeight="1">
      <c r="B1048" s="77">
        <v>9</v>
      </c>
      <c r="C1048" s="78" t="s">
        <v>1693</v>
      </c>
      <c r="D1048" s="79" t="s">
        <v>2006</v>
      </c>
      <c r="E1048" s="80" t="s">
        <v>2007</v>
      </c>
      <c r="F1048" s="81">
        <v>27.9</v>
      </c>
      <c r="G1048" s="222"/>
      <c r="H1048" s="186"/>
      <c r="I1048" s="186"/>
      <c r="J1048" s="308"/>
      <c r="K1048" s="227"/>
      <c r="L1048" s="82">
        <f t="shared" si="479"/>
        <v>0</v>
      </c>
      <c r="M1048" s="331"/>
      <c r="N1048" s="161">
        <f t="shared" si="474"/>
        <v>0</v>
      </c>
      <c r="O1048" s="161">
        <f t="shared" si="475"/>
        <v>0</v>
      </c>
      <c r="P1048" s="187">
        <f t="shared" si="476"/>
        <v>0</v>
      </c>
      <c r="Q1048" s="161">
        <f t="shared" si="477"/>
        <v>0</v>
      </c>
      <c r="R1048" s="232"/>
      <c r="S1048" s="86">
        <f t="shared" si="478"/>
        <v>0</v>
      </c>
      <c r="T1048" s="87">
        <f t="shared" si="473"/>
        <v>0</v>
      </c>
    </row>
    <row r="1049" spans="2:25" ht="20.100000000000001" hidden="1" customHeight="1">
      <c r="B1049" s="77">
        <v>9</v>
      </c>
      <c r="C1049" s="78" t="s">
        <v>1693</v>
      </c>
      <c r="D1049" s="79" t="s">
        <v>2008</v>
      </c>
      <c r="E1049" s="80" t="s">
        <v>2009</v>
      </c>
      <c r="F1049" s="81">
        <v>71.650000000000006</v>
      </c>
      <c r="G1049" s="222"/>
      <c r="H1049" s="186"/>
      <c r="I1049" s="186"/>
      <c r="J1049" s="308"/>
      <c r="K1049" s="227"/>
      <c r="L1049" s="82">
        <f t="shared" si="479"/>
        <v>0</v>
      </c>
      <c r="M1049" s="331"/>
      <c r="N1049" s="161">
        <f t="shared" si="474"/>
        <v>0</v>
      </c>
      <c r="O1049" s="161">
        <f t="shared" si="475"/>
        <v>0</v>
      </c>
      <c r="P1049" s="187">
        <f t="shared" si="476"/>
        <v>0</v>
      </c>
      <c r="Q1049" s="161">
        <f t="shared" si="477"/>
        <v>0</v>
      </c>
      <c r="R1049" s="85"/>
      <c r="S1049" s="86">
        <f t="shared" si="478"/>
        <v>0</v>
      </c>
      <c r="T1049" s="87">
        <f t="shared" si="473"/>
        <v>0</v>
      </c>
    </row>
    <row r="1050" spans="2:25" ht="20.100000000000001" hidden="1" customHeight="1">
      <c r="B1050" s="77">
        <v>9</v>
      </c>
      <c r="C1050" s="78" t="s">
        <v>1693</v>
      </c>
      <c r="D1050" s="79" t="s">
        <v>2010</v>
      </c>
      <c r="E1050" s="80" t="s">
        <v>2011</v>
      </c>
      <c r="F1050" s="81">
        <v>70.7</v>
      </c>
      <c r="G1050" s="222"/>
      <c r="H1050" s="186"/>
      <c r="I1050" s="186"/>
      <c r="J1050" s="308"/>
      <c r="K1050" s="227"/>
      <c r="L1050" s="82">
        <f t="shared" si="479"/>
        <v>0</v>
      </c>
      <c r="M1050" s="331"/>
      <c r="N1050" s="161">
        <f t="shared" si="474"/>
        <v>0</v>
      </c>
      <c r="O1050" s="161">
        <f t="shared" si="475"/>
        <v>0</v>
      </c>
      <c r="P1050" s="187">
        <f t="shared" si="476"/>
        <v>0</v>
      </c>
      <c r="Q1050" s="161">
        <f t="shared" si="477"/>
        <v>0</v>
      </c>
      <c r="R1050" s="232"/>
      <c r="S1050" s="86">
        <f t="shared" si="478"/>
        <v>0</v>
      </c>
      <c r="T1050" s="87">
        <f t="shared" si="473"/>
        <v>0</v>
      </c>
    </row>
    <row r="1051" spans="2:25" ht="20.100000000000001" hidden="1" customHeight="1">
      <c r="B1051" s="77">
        <v>9</v>
      </c>
      <c r="C1051" s="78" t="s">
        <v>1693</v>
      </c>
      <c r="D1051" s="79" t="s">
        <v>2012</v>
      </c>
      <c r="E1051" s="80" t="s">
        <v>2013</v>
      </c>
      <c r="F1051" s="81">
        <v>62.45</v>
      </c>
      <c r="G1051" s="222">
        <v>14</v>
      </c>
      <c r="H1051" s="186"/>
      <c r="I1051" s="186"/>
      <c r="J1051" s="308"/>
      <c r="K1051" s="227">
        <v>1</v>
      </c>
      <c r="L1051" s="82">
        <f t="shared" si="479"/>
        <v>13</v>
      </c>
      <c r="M1051" s="331">
        <v>13</v>
      </c>
      <c r="N1051" s="161">
        <f t="shared" si="474"/>
        <v>811.85</v>
      </c>
      <c r="O1051" s="161">
        <f t="shared" si="475"/>
        <v>811.85</v>
      </c>
      <c r="P1051" s="187">
        <f t="shared" si="476"/>
        <v>0</v>
      </c>
      <c r="Q1051" s="161">
        <f t="shared" si="477"/>
        <v>0</v>
      </c>
      <c r="R1051" s="85"/>
      <c r="S1051" s="86">
        <f t="shared" si="478"/>
        <v>19</v>
      </c>
      <c r="T1051" s="87">
        <f t="shared" si="473"/>
        <v>-6</v>
      </c>
      <c r="U1051">
        <v>19</v>
      </c>
    </row>
    <row r="1052" spans="2:25" ht="20.100000000000001" hidden="1" customHeight="1">
      <c r="B1052" s="77">
        <v>9</v>
      </c>
      <c r="C1052" s="78" t="s">
        <v>1693</v>
      </c>
      <c r="D1052" s="219" t="s">
        <v>4786</v>
      </c>
      <c r="E1052" s="276" t="s">
        <v>4731</v>
      </c>
      <c r="F1052" s="273">
        <v>56.784999999999997</v>
      </c>
      <c r="G1052" s="222"/>
      <c r="H1052" s="186"/>
      <c r="I1052" s="186">
        <v>2</v>
      </c>
      <c r="J1052" s="308"/>
      <c r="K1052" s="227"/>
      <c r="L1052" s="82">
        <f t="shared" si="479"/>
        <v>2</v>
      </c>
      <c r="M1052" s="331">
        <v>2</v>
      </c>
      <c r="N1052" s="161">
        <f t="shared" ref="N1052:N1101" si="480">F1052*L1052</f>
        <v>113.57</v>
      </c>
      <c r="O1052" s="161">
        <f t="shared" ref="O1052:O1101" si="481">M1052*F1052</f>
        <v>113.57</v>
      </c>
      <c r="P1052" s="187">
        <f t="shared" ref="P1052:P1101" si="482">L1052-M1052</f>
        <v>0</v>
      </c>
      <c r="Q1052" s="161">
        <f t="shared" ref="Q1052:Q1101" si="483">N1052-O1052</f>
        <v>0</v>
      </c>
      <c r="R1052" s="85"/>
      <c r="S1052" s="86"/>
      <c r="T1052" s="87"/>
    </row>
    <row r="1053" spans="2:25" ht="20.100000000000001" hidden="1" customHeight="1">
      <c r="B1053" s="77">
        <v>9</v>
      </c>
      <c r="C1053" s="78" t="s">
        <v>1693</v>
      </c>
      <c r="D1053" s="219" t="s">
        <v>4787</v>
      </c>
      <c r="E1053" s="276" t="s">
        <v>4732</v>
      </c>
      <c r="F1053" s="273">
        <v>39.844999999999999</v>
      </c>
      <c r="G1053" s="222"/>
      <c r="H1053" s="186"/>
      <c r="I1053" s="186">
        <v>2</v>
      </c>
      <c r="J1053" s="308"/>
      <c r="K1053" s="227"/>
      <c r="L1053" s="82">
        <f t="shared" si="479"/>
        <v>2</v>
      </c>
      <c r="M1053" s="331">
        <v>2</v>
      </c>
      <c r="N1053" s="161">
        <f t="shared" si="480"/>
        <v>79.69</v>
      </c>
      <c r="O1053" s="161">
        <f t="shared" si="481"/>
        <v>79.69</v>
      </c>
      <c r="P1053" s="187">
        <f t="shared" si="482"/>
        <v>0</v>
      </c>
      <c r="Q1053" s="161">
        <f t="shared" si="483"/>
        <v>0</v>
      </c>
      <c r="R1053" s="85"/>
      <c r="S1053" s="86"/>
      <c r="T1053" s="87"/>
    </row>
    <row r="1054" spans="2:25" ht="20.100000000000001" hidden="1" customHeight="1">
      <c r="B1054" s="77">
        <v>9</v>
      </c>
      <c r="C1054" s="78" t="s">
        <v>1693</v>
      </c>
      <c r="D1054" s="219" t="s">
        <v>4788</v>
      </c>
      <c r="E1054" s="276" t="s">
        <v>4733</v>
      </c>
      <c r="F1054" s="273">
        <v>56.784999999999997</v>
      </c>
      <c r="G1054" s="222"/>
      <c r="H1054" s="186"/>
      <c r="I1054" s="186">
        <v>2</v>
      </c>
      <c r="J1054" s="308"/>
      <c r="K1054" s="227"/>
      <c r="L1054" s="82">
        <f t="shared" si="479"/>
        <v>2</v>
      </c>
      <c r="M1054" s="331">
        <v>2</v>
      </c>
      <c r="N1054" s="161">
        <f t="shared" si="480"/>
        <v>113.57</v>
      </c>
      <c r="O1054" s="161">
        <f t="shared" si="481"/>
        <v>113.57</v>
      </c>
      <c r="P1054" s="187">
        <f t="shared" si="482"/>
        <v>0</v>
      </c>
      <c r="Q1054" s="161">
        <f t="shared" si="483"/>
        <v>0</v>
      </c>
      <c r="R1054" s="85"/>
      <c r="S1054" s="86"/>
      <c r="T1054" s="87"/>
    </row>
    <row r="1055" spans="2:25" ht="20.100000000000001" hidden="1" customHeight="1">
      <c r="B1055" s="77">
        <v>9</v>
      </c>
      <c r="C1055" s="78" t="s">
        <v>1693</v>
      </c>
      <c r="D1055" s="219" t="s">
        <v>3911</v>
      </c>
      <c r="E1055" s="276" t="s">
        <v>4619</v>
      </c>
      <c r="F1055" s="273">
        <v>39.844999999999999</v>
      </c>
      <c r="G1055" s="222"/>
      <c r="H1055" s="186"/>
      <c r="I1055" s="186">
        <v>2</v>
      </c>
      <c r="J1055" s="308"/>
      <c r="K1055" s="227">
        <v>1</v>
      </c>
      <c r="L1055" s="82">
        <f t="shared" si="479"/>
        <v>1</v>
      </c>
      <c r="M1055" s="331">
        <v>1</v>
      </c>
      <c r="N1055" s="161">
        <f t="shared" si="480"/>
        <v>39.844999999999999</v>
      </c>
      <c r="O1055" s="161">
        <f t="shared" si="481"/>
        <v>39.844999999999999</v>
      </c>
      <c r="P1055" s="187">
        <f t="shared" si="482"/>
        <v>0</v>
      </c>
      <c r="Q1055" s="161">
        <f t="shared" si="483"/>
        <v>0</v>
      </c>
      <c r="R1055" s="85"/>
      <c r="S1055" s="86"/>
      <c r="T1055" s="87"/>
    </row>
    <row r="1056" spans="2:25" ht="20.100000000000001" hidden="1" customHeight="1">
      <c r="B1056" s="77">
        <v>9</v>
      </c>
      <c r="C1056" s="78" t="s">
        <v>1693</v>
      </c>
      <c r="D1056" s="219" t="s">
        <v>4789</v>
      </c>
      <c r="E1056" s="276" t="s">
        <v>4734</v>
      </c>
      <c r="F1056" s="273">
        <v>56.784999999999997</v>
      </c>
      <c r="G1056" s="222"/>
      <c r="H1056" s="186"/>
      <c r="I1056" s="186">
        <v>2</v>
      </c>
      <c r="J1056" s="308"/>
      <c r="K1056" s="227"/>
      <c r="L1056" s="82">
        <f t="shared" si="479"/>
        <v>2</v>
      </c>
      <c r="M1056" s="331">
        <v>2</v>
      </c>
      <c r="N1056" s="161">
        <f t="shared" si="480"/>
        <v>113.57</v>
      </c>
      <c r="O1056" s="161">
        <f t="shared" si="481"/>
        <v>113.57</v>
      </c>
      <c r="P1056" s="187">
        <f t="shared" si="482"/>
        <v>0</v>
      </c>
      <c r="Q1056" s="161">
        <f t="shared" si="483"/>
        <v>0</v>
      </c>
      <c r="R1056" s="85"/>
      <c r="S1056" s="86"/>
      <c r="T1056" s="87"/>
    </row>
    <row r="1057" spans="2:21" ht="20.100000000000001" hidden="1" customHeight="1">
      <c r="B1057" s="77">
        <v>9</v>
      </c>
      <c r="C1057" s="78" t="s">
        <v>1693</v>
      </c>
      <c r="D1057" s="219" t="s">
        <v>4790</v>
      </c>
      <c r="E1057" s="276" t="s">
        <v>4735</v>
      </c>
      <c r="F1057" s="273">
        <v>39.844999999999999</v>
      </c>
      <c r="G1057" s="222"/>
      <c r="H1057" s="186"/>
      <c r="I1057" s="186">
        <v>2</v>
      </c>
      <c r="J1057" s="308"/>
      <c r="K1057" s="227"/>
      <c r="L1057" s="82">
        <f t="shared" si="479"/>
        <v>2</v>
      </c>
      <c r="M1057" s="331">
        <v>2</v>
      </c>
      <c r="N1057" s="161">
        <f t="shared" si="480"/>
        <v>79.69</v>
      </c>
      <c r="O1057" s="161">
        <f t="shared" si="481"/>
        <v>79.69</v>
      </c>
      <c r="P1057" s="187">
        <f t="shared" si="482"/>
        <v>0</v>
      </c>
      <c r="Q1057" s="161">
        <f t="shared" si="483"/>
        <v>0</v>
      </c>
      <c r="R1057" s="85"/>
      <c r="S1057" s="86"/>
      <c r="T1057" s="87"/>
    </row>
    <row r="1058" spans="2:21" ht="20.100000000000001" hidden="1" customHeight="1">
      <c r="B1058" s="77">
        <v>9</v>
      </c>
      <c r="C1058" s="78" t="s">
        <v>1693</v>
      </c>
      <c r="D1058" s="219" t="s">
        <v>4791</v>
      </c>
      <c r="E1058" s="276" t="s">
        <v>4736</v>
      </c>
      <c r="F1058" s="273">
        <v>56.784999999999997</v>
      </c>
      <c r="G1058" s="222"/>
      <c r="H1058" s="186"/>
      <c r="I1058" s="186">
        <v>2</v>
      </c>
      <c r="J1058" s="308"/>
      <c r="K1058" s="227"/>
      <c r="L1058" s="82">
        <f t="shared" si="479"/>
        <v>2</v>
      </c>
      <c r="M1058" s="331">
        <v>2</v>
      </c>
      <c r="N1058" s="161">
        <f t="shared" si="480"/>
        <v>113.57</v>
      </c>
      <c r="O1058" s="161">
        <f t="shared" si="481"/>
        <v>113.57</v>
      </c>
      <c r="P1058" s="187">
        <f t="shared" si="482"/>
        <v>0</v>
      </c>
      <c r="Q1058" s="161">
        <f t="shared" si="483"/>
        <v>0</v>
      </c>
      <c r="R1058" s="85"/>
      <c r="S1058" s="86"/>
      <c r="T1058" s="87"/>
    </row>
    <row r="1059" spans="2:21" ht="20.100000000000001" hidden="1" customHeight="1">
      <c r="B1059" s="77">
        <v>9</v>
      </c>
      <c r="C1059" s="78" t="s">
        <v>1693</v>
      </c>
      <c r="D1059" s="219" t="s">
        <v>4792</v>
      </c>
      <c r="E1059" s="276" t="s">
        <v>4737</v>
      </c>
      <c r="F1059" s="273">
        <v>39.844999999999999</v>
      </c>
      <c r="G1059" s="222"/>
      <c r="H1059" s="186"/>
      <c r="I1059" s="186">
        <v>2</v>
      </c>
      <c r="J1059" s="308"/>
      <c r="K1059" s="227"/>
      <c r="L1059" s="82">
        <f t="shared" si="479"/>
        <v>2</v>
      </c>
      <c r="M1059" s="331">
        <v>2</v>
      </c>
      <c r="N1059" s="161">
        <f t="shared" si="480"/>
        <v>79.69</v>
      </c>
      <c r="O1059" s="161">
        <f t="shared" si="481"/>
        <v>79.69</v>
      </c>
      <c r="P1059" s="187">
        <f t="shared" si="482"/>
        <v>0</v>
      </c>
      <c r="Q1059" s="161">
        <f t="shared" si="483"/>
        <v>0</v>
      </c>
      <c r="R1059" s="85"/>
      <c r="S1059" s="86"/>
      <c r="T1059" s="87"/>
    </row>
    <row r="1060" spans="2:21" ht="20.100000000000001" hidden="1" customHeight="1">
      <c r="B1060" s="77">
        <v>9</v>
      </c>
      <c r="C1060" s="78" t="s">
        <v>1693</v>
      </c>
      <c r="D1060" s="219" t="s">
        <v>4793</v>
      </c>
      <c r="E1060" s="276" t="s">
        <v>4738</v>
      </c>
      <c r="F1060" s="273">
        <v>56.784999999999997</v>
      </c>
      <c r="G1060" s="222"/>
      <c r="H1060" s="186"/>
      <c r="I1060" s="186">
        <v>2</v>
      </c>
      <c r="J1060" s="308"/>
      <c r="K1060" s="227"/>
      <c r="L1060" s="82">
        <f t="shared" si="479"/>
        <v>2</v>
      </c>
      <c r="M1060" s="331">
        <v>2</v>
      </c>
      <c r="N1060" s="161">
        <f t="shared" si="480"/>
        <v>113.57</v>
      </c>
      <c r="O1060" s="161">
        <f t="shared" si="481"/>
        <v>113.57</v>
      </c>
      <c r="P1060" s="187">
        <f t="shared" si="482"/>
        <v>0</v>
      </c>
      <c r="Q1060" s="161">
        <f t="shared" si="483"/>
        <v>0</v>
      </c>
      <c r="R1060" s="85"/>
      <c r="S1060" s="86"/>
      <c r="T1060" s="87"/>
    </row>
    <row r="1061" spans="2:21" ht="20.100000000000001" hidden="1" customHeight="1">
      <c r="B1061" s="77">
        <v>9</v>
      </c>
      <c r="C1061" s="78" t="s">
        <v>1693</v>
      </c>
      <c r="D1061" s="219" t="s">
        <v>4794</v>
      </c>
      <c r="E1061" s="276" t="s">
        <v>4739</v>
      </c>
      <c r="F1061" s="273">
        <v>39.844999999999999</v>
      </c>
      <c r="G1061" s="222"/>
      <c r="H1061" s="186"/>
      <c r="I1061" s="186">
        <v>2</v>
      </c>
      <c r="J1061" s="308"/>
      <c r="K1061" s="227"/>
      <c r="L1061" s="82">
        <f t="shared" si="479"/>
        <v>2</v>
      </c>
      <c r="M1061" s="331">
        <v>2</v>
      </c>
      <c r="N1061" s="161">
        <f t="shared" si="480"/>
        <v>79.69</v>
      </c>
      <c r="O1061" s="161">
        <f t="shared" si="481"/>
        <v>79.69</v>
      </c>
      <c r="P1061" s="187">
        <f t="shared" si="482"/>
        <v>0</v>
      </c>
      <c r="Q1061" s="161">
        <f t="shared" si="483"/>
        <v>0</v>
      </c>
      <c r="R1061" s="85"/>
      <c r="S1061" s="86"/>
      <c r="T1061" s="87"/>
    </row>
    <row r="1062" spans="2:21" ht="20.100000000000001" hidden="1" customHeight="1">
      <c r="B1062" s="77">
        <v>9</v>
      </c>
      <c r="C1062" s="78" t="s">
        <v>1693</v>
      </c>
      <c r="D1062" s="219" t="s">
        <v>4795</v>
      </c>
      <c r="E1062" s="276" t="s">
        <v>4740</v>
      </c>
      <c r="F1062" s="273">
        <v>56.784999999999997</v>
      </c>
      <c r="G1062" s="222"/>
      <c r="H1062" s="186"/>
      <c r="I1062" s="186">
        <v>2</v>
      </c>
      <c r="J1062" s="308"/>
      <c r="K1062" s="227"/>
      <c r="L1062" s="82">
        <f t="shared" si="479"/>
        <v>2</v>
      </c>
      <c r="M1062" s="331">
        <v>2</v>
      </c>
      <c r="N1062" s="161">
        <f t="shared" si="480"/>
        <v>113.57</v>
      </c>
      <c r="O1062" s="161">
        <f t="shared" si="481"/>
        <v>113.57</v>
      </c>
      <c r="P1062" s="187">
        <f t="shared" si="482"/>
        <v>0</v>
      </c>
      <c r="Q1062" s="161">
        <f t="shared" si="483"/>
        <v>0</v>
      </c>
      <c r="R1062" s="85"/>
      <c r="S1062" s="86"/>
      <c r="T1062" s="87"/>
    </row>
    <row r="1063" spans="2:21" ht="20.100000000000001" hidden="1" customHeight="1">
      <c r="B1063" s="77">
        <v>9</v>
      </c>
      <c r="C1063" s="78" t="s">
        <v>1693</v>
      </c>
      <c r="D1063" s="219" t="s">
        <v>4796</v>
      </c>
      <c r="E1063" s="276" t="s">
        <v>4741</v>
      </c>
      <c r="F1063" s="273">
        <v>39.844999999999999</v>
      </c>
      <c r="G1063" s="222"/>
      <c r="H1063" s="186"/>
      <c r="I1063" s="186">
        <v>2</v>
      </c>
      <c r="J1063" s="308"/>
      <c r="K1063" s="227"/>
      <c r="L1063" s="82">
        <f t="shared" si="479"/>
        <v>2</v>
      </c>
      <c r="M1063" s="331">
        <v>2</v>
      </c>
      <c r="N1063" s="161">
        <f t="shared" si="480"/>
        <v>79.69</v>
      </c>
      <c r="O1063" s="161">
        <f t="shared" si="481"/>
        <v>79.69</v>
      </c>
      <c r="P1063" s="187">
        <f t="shared" si="482"/>
        <v>0</v>
      </c>
      <c r="Q1063" s="161">
        <f t="shared" si="483"/>
        <v>0</v>
      </c>
      <c r="R1063" s="85"/>
      <c r="S1063" s="86"/>
      <c r="T1063" s="87"/>
    </row>
    <row r="1064" spans="2:21" ht="20.100000000000001" hidden="1" customHeight="1">
      <c r="B1064" s="77">
        <v>9</v>
      </c>
      <c r="C1064" s="78" t="s">
        <v>1693</v>
      </c>
      <c r="D1064" s="219" t="s">
        <v>3913</v>
      </c>
      <c r="E1064" s="276" t="s">
        <v>4677</v>
      </c>
      <c r="F1064" s="273">
        <v>56.784999999999997</v>
      </c>
      <c r="G1064" s="222"/>
      <c r="H1064" s="186"/>
      <c r="I1064" s="186">
        <v>2</v>
      </c>
      <c r="J1064" s="308"/>
      <c r="K1064" s="227">
        <v>1</v>
      </c>
      <c r="L1064" s="82">
        <f t="shared" si="479"/>
        <v>1</v>
      </c>
      <c r="M1064" s="331">
        <v>1</v>
      </c>
      <c r="N1064" s="161">
        <f t="shared" si="480"/>
        <v>56.784999999999997</v>
      </c>
      <c r="O1064" s="161">
        <f t="shared" si="481"/>
        <v>56.784999999999997</v>
      </c>
      <c r="P1064" s="187">
        <f t="shared" si="482"/>
        <v>0</v>
      </c>
      <c r="Q1064" s="161">
        <f t="shared" si="483"/>
        <v>0</v>
      </c>
      <c r="R1064" s="85"/>
      <c r="S1064" s="86"/>
      <c r="T1064" s="87"/>
    </row>
    <row r="1065" spans="2:21" ht="20.100000000000001" hidden="1" customHeight="1">
      <c r="B1065" s="77">
        <v>9</v>
      </c>
      <c r="C1065" s="78" t="s">
        <v>1693</v>
      </c>
      <c r="D1065" s="219" t="s">
        <v>4797</v>
      </c>
      <c r="E1065" s="276" t="s">
        <v>4742</v>
      </c>
      <c r="F1065" s="273">
        <v>39.844999999999999</v>
      </c>
      <c r="G1065" s="222"/>
      <c r="H1065" s="186"/>
      <c r="I1065" s="186">
        <v>2</v>
      </c>
      <c r="J1065" s="308"/>
      <c r="K1065" s="227"/>
      <c r="L1065" s="82">
        <f t="shared" si="479"/>
        <v>2</v>
      </c>
      <c r="M1065" s="331">
        <v>2</v>
      </c>
      <c r="N1065" s="161">
        <f t="shared" si="480"/>
        <v>79.69</v>
      </c>
      <c r="O1065" s="161">
        <f t="shared" si="481"/>
        <v>79.69</v>
      </c>
      <c r="P1065" s="187">
        <f t="shared" si="482"/>
        <v>0</v>
      </c>
      <c r="Q1065" s="161">
        <f t="shared" si="483"/>
        <v>0</v>
      </c>
      <c r="R1065" s="85"/>
      <c r="S1065" s="86"/>
      <c r="T1065" s="87"/>
    </row>
    <row r="1066" spans="2:21" ht="20.100000000000001" hidden="1" customHeight="1">
      <c r="B1066" s="77">
        <v>9</v>
      </c>
      <c r="C1066" s="78" t="s">
        <v>1693</v>
      </c>
      <c r="D1066" s="219" t="s">
        <v>4798</v>
      </c>
      <c r="E1066" s="276" t="s">
        <v>4743</v>
      </c>
      <c r="F1066" s="273">
        <v>56.784999999999997</v>
      </c>
      <c r="G1066" s="222"/>
      <c r="H1066" s="186"/>
      <c r="I1066" s="186">
        <v>1</v>
      </c>
      <c r="J1066" s="308"/>
      <c r="K1066" s="227"/>
      <c r="L1066" s="82">
        <f t="shared" si="479"/>
        <v>1</v>
      </c>
      <c r="M1066" s="331">
        <v>1</v>
      </c>
      <c r="N1066" s="161">
        <f t="shared" si="480"/>
        <v>56.784999999999997</v>
      </c>
      <c r="O1066" s="161">
        <f t="shared" si="481"/>
        <v>56.784999999999997</v>
      </c>
      <c r="P1066" s="187">
        <f t="shared" si="482"/>
        <v>0</v>
      </c>
      <c r="Q1066" s="161">
        <f t="shared" si="483"/>
        <v>0</v>
      </c>
      <c r="R1066" s="85"/>
      <c r="S1066" s="86"/>
      <c r="T1066" s="87"/>
    </row>
    <row r="1067" spans="2:21" ht="20.100000000000001" hidden="1" customHeight="1">
      <c r="B1067" s="77">
        <v>9</v>
      </c>
      <c r="C1067" s="78" t="s">
        <v>1693</v>
      </c>
      <c r="D1067" s="219" t="s">
        <v>4799</v>
      </c>
      <c r="E1067" s="276" t="s">
        <v>4744</v>
      </c>
      <c r="F1067" s="273">
        <v>56.784999999999997</v>
      </c>
      <c r="G1067" s="222"/>
      <c r="H1067" s="186"/>
      <c r="I1067" s="186">
        <v>2</v>
      </c>
      <c r="J1067" s="308"/>
      <c r="K1067" s="227"/>
      <c r="L1067" s="82">
        <f t="shared" si="479"/>
        <v>2</v>
      </c>
      <c r="M1067" s="331">
        <v>2</v>
      </c>
      <c r="N1067" s="161">
        <f t="shared" si="480"/>
        <v>113.57</v>
      </c>
      <c r="O1067" s="161">
        <f t="shared" si="481"/>
        <v>113.57</v>
      </c>
      <c r="P1067" s="187">
        <f t="shared" si="482"/>
        <v>0</v>
      </c>
      <c r="Q1067" s="161">
        <f t="shared" si="483"/>
        <v>0</v>
      </c>
      <c r="R1067" s="85"/>
      <c r="S1067" s="86"/>
      <c r="T1067" s="87"/>
    </row>
    <row r="1068" spans="2:21" ht="20.100000000000001" hidden="1" customHeight="1">
      <c r="B1068" s="77">
        <v>9</v>
      </c>
      <c r="C1068" s="78" t="s">
        <v>1693</v>
      </c>
      <c r="D1068" s="219" t="s">
        <v>4800</v>
      </c>
      <c r="E1068" s="276" t="s">
        <v>4745</v>
      </c>
      <c r="F1068" s="273">
        <v>39.844999999999999</v>
      </c>
      <c r="G1068" s="222"/>
      <c r="H1068" s="186"/>
      <c r="I1068" s="186">
        <v>2</v>
      </c>
      <c r="J1068" s="308"/>
      <c r="K1068" s="227"/>
      <c r="L1068" s="82">
        <f t="shared" si="479"/>
        <v>2</v>
      </c>
      <c r="M1068" s="331">
        <v>2</v>
      </c>
      <c r="N1068" s="161">
        <f t="shared" si="480"/>
        <v>79.69</v>
      </c>
      <c r="O1068" s="161">
        <f t="shared" si="481"/>
        <v>79.69</v>
      </c>
      <c r="P1068" s="187">
        <f t="shared" si="482"/>
        <v>0</v>
      </c>
      <c r="Q1068" s="161">
        <f t="shared" si="483"/>
        <v>0</v>
      </c>
      <c r="R1068" s="85"/>
      <c r="S1068" s="86"/>
      <c r="T1068" s="87"/>
    </row>
    <row r="1069" spans="2:21" ht="20.100000000000001" hidden="1" customHeight="1">
      <c r="B1069" s="77">
        <v>9</v>
      </c>
      <c r="C1069" s="78" t="s">
        <v>1693</v>
      </c>
      <c r="D1069" s="219" t="s">
        <v>4801</v>
      </c>
      <c r="E1069" s="276" t="s">
        <v>4746</v>
      </c>
      <c r="F1069" s="273">
        <v>56.784999999999997</v>
      </c>
      <c r="G1069" s="222"/>
      <c r="H1069" s="186"/>
      <c r="I1069" s="186">
        <v>2</v>
      </c>
      <c r="J1069" s="308"/>
      <c r="K1069" s="227"/>
      <c r="L1069" s="82">
        <f t="shared" si="479"/>
        <v>2</v>
      </c>
      <c r="M1069" s="331">
        <v>2</v>
      </c>
      <c r="N1069" s="161">
        <f t="shared" si="480"/>
        <v>113.57</v>
      </c>
      <c r="O1069" s="161">
        <f t="shared" si="481"/>
        <v>113.57</v>
      </c>
      <c r="P1069" s="187">
        <f t="shared" si="482"/>
        <v>0</v>
      </c>
      <c r="Q1069" s="161">
        <f t="shared" si="483"/>
        <v>0</v>
      </c>
      <c r="R1069" s="85"/>
      <c r="S1069" s="86"/>
      <c r="T1069" s="87"/>
    </row>
    <row r="1070" spans="2:21" ht="20.100000000000001" hidden="1" customHeight="1">
      <c r="B1070" s="77">
        <v>9</v>
      </c>
      <c r="C1070" s="78" t="s">
        <v>1693</v>
      </c>
      <c r="D1070" s="219" t="s">
        <v>4802</v>
      </c>
      <c r="E1070" s="276" t="s">
        <v>4747</v>
      </c>
      <c r="F1070" s="273">
        <v>39.844999999999999</v>
      </c>
      <c r="G1070" s="222"/>
      <c r="H1070" s="186"/>
      <c r="I1070" s="186">
        <v>2</v>
      </c>
      <c r="J1070" s="308"/>
      <c r="K1070" s="227"/>
      <c r="L1070" s="82">
        <f t="shared" si="479"/>
        <v>2</v>
      </c>
      <c r="M1070" s="331">
        <v>2</v>
      </c>
      <c r="N1070" s="161">
        <f t="shared" si="480"/>
        <v>79.69</v>
      </c>
      <c r="O1070" s="161">
        <f t="shared" si="481"/>
        <v>79.69</v>
      </c>
      <c r="P1070" s="187">
        <f t="shared" si="482"/>
        <v>0</v>
      </c>
      <c r="Q1070" s="161">
        <f t="shared" si="483"/>
        <v>0</v>
      </c>
      <c r="R1070" s="85"/>
      <c r="S1070" s="86"/>
      <c r="T1070" s="87"/>
    </row>
    <row r="1071" spans="2:21" ht="20.100000000000001" hidden="1" customHeight="1">
      <c r="B1071" s="77">
        <v>9</v>
      </c>
      <c r="C1071" s="78" t="s">
        <v>1693</v>
      </c>
      <c r="D1071" s="219" t="s">
        <v>4803</v>
      </c>
      <c r="E1071" s="276" t="s">
        <v>4748</v>
      </c>
      <c r="F1071" s="273">
        <v>39.844999999999999</v>
      </c>
      <c r="G1071" s="222"/>
      <c r="H1071" s="186"/>
      <c r="I1071" s="186">
        <v>2</v>
      </c>
      <c r="J1071" s="308"/>
      <c r="K1071" s="227"/>
      <c r="L1071" s="82">
        <f t="shared" si="479"/>
        <v>2</v>
      </c>
      <c r="M1071" s="331">
        <v>2</v>
      </c>
      <c r="N1071" s="161">
        <f t="shared" si="480"/>
        <v>79.69</v>
      </c>
      <c r="O1071" s="161">
        <f t="shared" si="481"/>
        <v>79.69</v>
      </c>
      <c r="P1071" s="187">
        <f t="shared" si="482"/>
        <v>0</v>
      </c>
      <c r="Q1071" s="161">
        <f t="shared" si="483"/>
        <v>0</v>
      </c>
      <c r="R1071" s="85"/>
      <c r="S1071" s="86"/>
      <c r="T1071" s="87"/>
    </row>
    <row r="1072" spans="2:21" ht="20.100000000000001" hidden="1" customHeight="1">
      <c r="B1072" s="77">
        <v>9</v>
      </c>
      <c r="C1072" s="78" t="s">
        <v>1693</v>
      </c>
      <c r="D1072" s="79" t="s">
        <v>2014</v>
      </c>
      <c r="E1072" s="80" t="s">
        <v>2015</v>
      </c>
      <c r="F1072" s="81">
        <v>347.05</v>
      </c>
      <c r="G1072" s="222">
        <v>3</v>
      </c>
      <c r="H1072" s="186"/>
      <c r="I1072" s="186"/>
      <c r="J1072" s="308"/>
      <c r="K1072" s="227"/>
      <c r="L1072" s="82">
        <f t="shared" si="479"/>
        <v>3</v>
      </c>
      <c r="M1072" s="331">
        <v>3</v>
      </c>
      <c r="N1072" s="161">
        <f t="shared" si="480"/>
        <v>1041.1500000000001</v>
      </c>
      <c r="O1072" s="161">
        <f t="shared" si="481"/>
        <v>1041.1500000000001</v>
      </c>
      <c r="P1072" s="187">
        <f t="shared" si="482"/>
        <v>0</v>
      </c>
      <c r="Q1072" s="161">
        <f t="shared" si="483"/>
        <v>0</v>
      </c>
      <c r="R1072" s="85"/>
      <c r="S1072" s="86">
        <f t="shared" si="478"/>
        <v>3</v>
      </c>
      <c r="T1072" s="87">
        <f t="shared" si="473"/>
        <v>0</v>
      </c>
      <c r="U1072">
        <v>3</v>
      </c>
    </row>
    <row r="1073" spans="2:21" ht="20.100000000000001" hidden="1" customHeight="1">
      <c r="B1073" s="77">
        <v>9</v>
      </c>
      <c r="C1073" s="78" t="s">
        <v>1693</v>
      </c>
      <c r="D1073" s="79" t="s">
        <v>2016</v>
      </c>
      <c r="E1073" s="80" t="s">
        <v>2017</v>
      </c>
      <c r="F1073" s="81">
        <v>318.10000000000002</v>
      </c>
      <c r="G1073" s="222">
        <v>2</v>
      </c>
      <c r="H1073" s="186"/>
      <c r="I1073" s="186"/>
      <c r="J1073" s="308"/>
      <c r="K1073" s="227"/>
      <c r="L1073" s="82">
        <f t="shared" si="479"/>
        <v>2</v>
      </c>
      <c r="M1073" s="331">
        <v>2</v>
      </c>
      <c r="N1073" s="161">
        <f t="shared" si="480"/>
        <v>636.20000000000005</v>
      </c>
      <c r="O1073" s="161">
        <f t="shared" si="481"/>
        <v>636.20000000000005</v>
      </c>
      <c r="P1073" s="187">
        <f t="shared" si="482"/>
        <v>0</v>
      </c>
      <c r="Q1073" s="161">
        <f t="shared" si="483"/>
        <v>0</v>
      </c>
      <c r="R1073" s="85"/>
      <c r="S1073" s="86">
        <f t="shared" si="478"/>
        <v>2</v>
      </c>
      <c r="T1073" s="87">
        <f t="shared" si="473"/>
        <v>0</v>
      </c>
      <c r="U1073">
        <v>2</v>
      </c>
    </row>
    <row r="1074" spans="2:21" ht="20.100000000000001" hidden="1" customHeight="1">
      <c r="B1074" s="77">
        <v>9</v>
      </c>
      <c r="C1074" s="78" t="s">
        <v>1693</v>
      </c>
      <c r="D1074" s="79" t="s">
        <v>2018</v>
      </c>
      <c r="E1074" s="80" t="s">
        <v>2019</v>
      </c>
      <c r="F1074" s="81">
        <v>375.95</v>
      </c>
      <c r="G1074" s="222">
        <v>3</v>
      </c>
      <c r="H1074" s="186"/>
      <c r="I1074" s="186"/>
      <c r="J1074" s="308"/>
      <c r="K1074" s="227"/>
      <c r="L1074" s="82">
        <f t="shared" si="479"/>
        <v>3</v>
      </c>
      <c r="M1074" s="331">
        <v>3</v>
      </c>
      <c r="N1074" s="161">
        <f t="shared" si="480"/>
        <v>1127.8499999999999</v>
      </c>
      <c r="O1074" s="161">
        <f t="shared" si="481"/>
        <v>1127.8499999999999</v>
      </c>
      <c r="P1074" s="187">
        <f t="shared" si="482"/>
        <v>0</v>
      </c>
      <c r="Q1074" s="161">
        <f t="shared" si="483"/>
        <v>0</v>
      </c>
      <c r="R1074" s="85"/>
      <c r="S1074" s="86">
        <f t="shared" si="478"/>
        <v>3</v>
      </c>
      <c r="T1074" s="87">
        <f t="shared" si="473"/>
        <v>0</v>
      </c>
      <c r="U1074">
        <v>3</v>
      </c>
    </row>
    <row r="1075" spans="2:21" ht="20.100000000000001" hidden="1" customHeight="1">
      <c r="B1075" s="77">
        <v>9</v>
      </c>
      <c r="C1075" s="78" t="s">
        <v>1693</v>
      </c>
      <c r="D1075" s="79" t="s">
        <v>3799</v>
      </c>
      <c r="E1075" s="80" t="s">
        <v>3785</v>
      </c>
      <c r="F1075" s="81">
        <v>60.28</v>
      </c>
      <c r="G1075" s="222">
        <v>12</v>
      </c>
      <c r="H1075" s="186"/>
      <c r="I1075" s="186"/>
      <c r="J1075" s="308"/>
      <c r="K1075" s="227"/>
      <c r="L1075" s="82">
        <f t="shared" si="479"/>
        <v>12</v>
      </c>
      <c r="M1075" s="331">
        <v>12</v>
      </c>
      <c r="N1075" s="161">
        <f t="shared" si="480"/>
        <v>723.36</v>
      </c>
      <c r="O1075" s="161">
        <f t="shared" si="481"/>
        <v>723.36</v>
      </c>
      <c r="P1075" s="187">
        <f t="shared" si="482"/>
        <v>0</v>
      </c>
      <c r="Q1075" s="161">
        <f t="shared" si="483"/>
        <v>0</v>
      </c>
      <c r="R1075" s="85"/>
      <c r="S1075" s="86">
        <f t="shared" ref="S1075:S1079" si="484">U1075+Y1075+W1075+AA1075</f>
        <v>3</v>
      </c>
      <c r="T1075" s="87">
        <f t="shared" ref="T1075:T1079" si="485">M1075-S1075</f>
        <v>9</v>
      </c>
      <c r="U1075">
        <v>3</v>
      </c>
    </row>
    <row r="1076" spans="2:21" ht="20.100000000000001" hidden="1" customHeight="1">
      <c r="B1076" s="77">
        <v>9</v>
      </c>
      <c r="C1076" s="78" t="s">
        <v>1693</v>
      </c>
      <c r="D1076" s="79" t="s">
        <v>3802</v>
      </c>
      <c r="E1076" s="80" t="s">
        <v>3788</v>
      </c>
      <c r="F1076" s="81">
        <v>180.86</v>
      </c>
      <c r="G1076" s="222">
        <v>4</v>
      </c>
      <c r="H1076" s="186"/>
      <c r="I1076" s="186"/>
      <c r="J1076" s="308"/>
      <c r="K1076" s="227"/>
      <c r="L1076" s="82">
        <f t="shared" si="479"/>
        <v>4</v>
      </c>
      <c r="M1076" s="331">
        <v>4</v>
      </c>
      <c r="N1076" s="161">
        <f t="shared" si="480"/>
        <v>723.44</v>
      </c>
      <c r="O1076" s="161">
        <f t="shared" si="481"/>
        <v>723.44</v>
      </c>
      <c r="P1076" s="187">
        <f t="shared" si="482"/>
        <v>0</v>
      </c>
      <c r="Q1076" s="161">
        <f t="shared" si="483"/>
        <v>0</v>
      </c>
      <c r="R1076" s="85"/>
      <c r="S1076" s="86">
        <f t="shared" si="484"/>
        <v>0</v>
      </c>
      <c r="T1076" s="87">
        <f t="shared" si="485"/>
        <v>4</v>
      </c>
    </row>
    <row r="1077" spans="2:21" ht="20.100000000000001" hidden="1" customHeight="1">
      <c r="B1077" s="77">
        <v>9</v>
      </c>
      <c r="C1077" s="78" t="s">
        <v>1693</v>
      </c>
      <c r="D1077" s="79" t="s">
        <v>3753</v>
      </c>
      <c r="E1077" s="80" t="s">
        <v>3754</v>
      </c>
      <c r="F1077" s="81">
        <v>197.3</v>
      </c>
      <c r="G1077" s="222">
        <v>3</v>
      </c>
      <c r="H1077" s="186"/>
      <c r="I1077" s="186"/>
      <c r="J1077" s="308"/>
      <c r="K1077" s="227"/>
      <c r="L1077" s="82">
        <f t="shared" si="479"/>
        <v>3</v>
      </c>
      <c r="M1077" s="331">
        <v>3</v>
      </c>
      <c r="N1077" s="161">
        <f t="shared" si="480"/>
        <v>591.90000000000009</v>
      </c>
      <c r="O1077" s="161">
        <f t="shared" si="481"/>
        <v>591.90000000000009</v>
      </c>
      <c r="P1077" s="187">
        <f t="shared" si="482"/>
        <v>0</v>
      </c>
      <c r="Q1077" s="161">
        <f t="shared" si="483"/>
        <v>0</v>
      </c>
      <c r="R1077" s="85"/>
      <c r="S1077" s="86">
        <f t="shared" si="484"/>
        <v>0</v>
      </c>
      <c r="T1077" s="87">
        <f t="shared" si="485"/>
        <v>3</v>
      </c>
    </row>
    <row r="1078" spans="2:21" ht="20.100000000000001" hidden="1" customHeight="1">
      <c r="B1078" s="77">
        <v>9</v>
      </c>
      <c r="C1078" s="78" t="s">
        <v>1693</v>
      </c>
      <c r="D1078" s="79" t="s">
        <v>3751</v>
      </c>
      <c r="E1078" s="80" t="s">
        <v>3752</v>
      </c>
      <c r="F1078" s="81">
        <v>71.25</v>
      </c>
      <c r="G1078" s="222">
        <v>9</v>
      </c>
      <c r="H1078" s="186"/>
      <c r="I1078" s="186"/>
      <c r="J1078" s="308"/>
      <c r="K1078" s="227"/>
      <c r="L1078" s="82">
        <f t="shared" si="479"/>
        <v>9</v>
      </c>
      <c r="M1078" s="331">
        <v>9</v>
      </c>
      <c r="N1078" s="161">
        <f t="shared" si="480"/>
        <v>641.25</v>
      </c>
      <c r="O1078" s="161">
        <f t="shared" si="481"/>
        <v>641.25</v>
      </c>
      <c r="P1078" s="187">
        <f t="shared" si="482"/>
        <v>0</v>
      </c>
      <c r="Q1078" s="161">
        <f t="shared" si="483"/>
        <v>0</v>
      </c>
      <c r="R1078" s="85"/>
      <c r="S1078" s="86">
        <f t="shared" si="484"/>
        <v>0</v>
      </c>
      <c r="T1078" s="87">
        <f t="shared" si="485"/>
        <v>9</v>
      </c>
    </row>
    <row r="1079" spans="2:21" ht="20.100000000000001" hidden="1" customHeight="1">
      <c r="B1079" s="77">
        <v>9</v>
      </c>
      <c r="C1079" s="78" t="s">
        <v>1693</v>
      </c>
      <c r="D1079" s="79" t="s">
        <v>3739</v>
      </c>
      <c r="E1079" s="80" t="s">
        <v>3740</v>
      </c>
      <c r="F1079" s="81">
        <v>213.74</v>
      </c>
      <c r="G1079" s="222">
        <v>3</v>
      </c>
      <c r="H1079" s="186"/>
      <c r="I1079" s="186"/>
      <c r="J1079" s="308"/>
      <c r="K1079" s="227"/>
      <c r="L1079" s="82">
        <f t="shared" si="479"/>
        <v>3</v>
      </c>
      <c r="M1079" s="331">
        <v>3</v>
      </c>
      <c r="N1079" s="161">
        <f t="shared" si="480"/>
        <v>641.22</v>
      </c>
      <c r="O1079" s="161">
        <f t="shared" si="481"/>
        <v>641.22</v>
      </c>
      <c r="P1079" s="187">
        <f t="shared" si="482"/>
        <v>0</v>
      </c>
      <c r="Q1079" s="161">
        <f t="shared" si="483"/>
        <v>0</v>
      </c>
      <c r="R1079" s="85"/>
      <c r="S1079" s="86">
        <f t="shared" si="484"/>
        <v>0</v>
      </c>
      <c r="T1079" s="87">
        <f t="shared" si="485"/>
        <v>3</v>
      </c>
    </row>
    <row r="1080" spans="2:21" ht="20.100000000000001" hidden="1" customHeight="1">
      <c r="B1080" s="77">
        <v>9</v>
      </c>
      <c r="C1080" s="78" t="s">
        <v>1693</v>
      </c>
      <c r="D1080" s="79" t="s">
        <v>2020</v>
      </c>
      <c r="E1080" s="80" t="s">
        <v>2021</v>
      </c>
      <c r="F1080" s="81">
        <v>70.400000000000006</v>
      </c>
      <c r="G1080" s="222"/>
      <c r="H1080" s="186"/>
      <c r="I1080" s="186"/>
      <c r="J1080" s="308"/>
      <c r="K1080" s="227"/>
      <c r="L1080" s="82">
        <f t="shared" si="479"/>
        <v>0</v>
      </c>
      <c r="M1080" s="331"/>
      <c r="N1080" s="161">
        <f t="shared" si="480"/>
        <v>0</v>
      </c>
      <c r="O1080" s="161">
        <f t="shared" si="481"/>
        <v>0</v>
      </c>
      <c r="P1080" s="187">
        <f t="shared" si="482"/>
        <v>0</v>
      </c>
      <c r="Q1080" s="161">
        <f t="shared" si="483"/>
        <v>0</v>
      </c>
      <c r="R1080" s="85"/>
      <c r="S1080" s="86">
        <f t="shared" si="478"/>
        <v>0</v>
      </c>
      <c r="T1080" s="87">
        <f t="shared" si="473"/>
        <v>0</v>
      </c>
    </row>
    <row r="1081" spans="2:21" ht="20.100000000000001" hidden="1" customHeight="1">
      <c r="B1081" s="77">
        <v>9</v>
      </c>
      <c r="C1081" s="78" t="s">
        <v>1693</v>
      </c>
      <c r="D1081" s="79" t="s">
        <v>2022</v>
      </c>
      <c r="E1081" s="80" t="s">
        <v>2023</v>
      </c>
      <c r="F1081" s="81">
        <v>209.3</v>
      </c>
      <c r="G1081" s="222"/>
      <c r="H1081" s="186"/>
      <c r="I1081" s="186"/>
      <c r="J1081" s="308"/>
      <c r="K1081" s="227"/>
      <c r="L1081" s="82">
        <f t="shared" si="479"/>
        <v>0</v>
      </c>
      <c r="M1081" s="331"/>
      <c r="N1081" s="161">
        <f t="shared" si="480"/>
        <v>0</v>
      </c>
      <c r="O1081" s="161">
        <f t="shared" si="481"/>
        <v>0</v>
      </c>
      <c r="P1081" s="187">
        <f t="shared" si="482"/>
        <v>0</v>
      </c>
      <c r="Q1081" s="161">
        <f t="shared" si="483"/>
        <v>0</v>
      </c>
      <c r="R1081" s="85"/>
      <c r="S1081" s="86">
        <f t="shared" si="478"/>
        <v>0</v>
      </c>
      <c r="T1081" s="87">
        <f t="shared" si="473"/>
        <v>0</v>
      </c>
    </row>
    <row r="1082" spans="2:21" ht="20.100000000000001" hidden="1" customHeight="1">
      <c r="B1082" s="77">
        <v>9</v>
      </c>
      <c r="C1082" s="78" t="s">
        <v>1693</v>
      </c>
      <c r="D1082" s="79" t="s">
        <v>3800</v>
      </c>
      <c r="E1082" s="80" t="s">
        <v>3786</v>
      </c>
      <c r="F1082" s="81">
        <v>65.77</v>
      </c>
      <c r="G1082" s="222">
        <v>12</v>
      </c>
      <c r="H1082" s="186"/>
      <c r="I1082" s="186"/>
      <c r="J1082" s="308"/>
      <c r="K1082" s="227">
        <v>1</v>
      </c>
      <c r="L1082" s="82">
        <f t="shared" si="479"/>
        <v>11</v>
      </c>
      <c r="M1082" s="331">
        <v>11</v>
      </c>
      <c r="N1082" s="161">
        <f t="shared" si="480"/>
        <v>723.46999999999991</v>
      </c>
      <c r="O1082" s="161">
        <f t="shared" si="481"/>
        <v>723.46999999999991</v>
      </c>
      <c r="P1082" s="187">
        <f t="shared" si="482"/>
        <v>0</v>
      </c>
      <c r="Q1082" s="161">
        <f t="shared" si="483"/>
        <v>0</v>
      </c>
      <c r="R1082" s="85"/>
      <c r="S1082" s="86">
        <f t="shared" ref="S1082:S1083" si="486">U1082+Y1082+W1082+AA1082</f>
        <v>0</v>
      </c>
      <c r="T1082" s="87">
        <f t="shared" ref="T1082:T1083" si="487">M1082-S1082</f>
        <v>11</v>
      </c>
    </row>
    <row r="1083" spans="2:21" ht="20.100000000000001" hidden="1" customHeight="1">
      <c r="B1083" s="77">
        <v>9</v>
      </c>
      <c r="C1083" s="78" t="s">
        <v>1693</v>
      </c>
      <c r="D1083" s="79" t="s">
        <v>2024</v>
      </c>
      <c r="E1083" s="80" t="s">
        <v>2025</v>
      </c>
      <c r="F1083" s="81">
        <v>28.4</v>
      </c>
      <c r="G1083" s="222">
        <v>1</v>
      </c>
      <c r="H1083" s="186"/>
      <c r="I1083" s="186"/>
      <c r="J1083" s="308"/>
      <c r="K1083" s="227"/>
      <c r="L1083" s="82">
        <f t="shared" ref="L1083" si="488">G1083+I1083-J1083-K1083+H1083</f>
        <v>1</v>
      </c>
      <c r="M1083" s="331">
        <v>1</v>
      </c>
      <c r="N1083" s="161">
        <f t="shared" ref="N1083" si="489">F1083*L1083</f>
        <v>28.4</v>
      </c>
      <c r="O1083" s="161">
        <f t="shared" ref="O1083" si="490">M1083*F1083</f>
        <v>28.4</v>
      </c>
      <c r="P1083" s="187">
        <f t="shared" ref="P1083" si="491">L1083-M1083</f>
        <v>0</v>
      </c>
      <c r="Q1083" s="161">
        <f t="shared" ref="Q1083" si="492">N1083-O1083</f>
        <v>0</v>
      </c>
      <c r="R1083" s="85"/>
      <c r="S1083" s="86">
        <f t="shared" si="486"/>
        <v>6</v>
      </c>
      <c r="T1083" s="87">
        <f t="shared" si="487"/>
        <v>-5</v>
      </c>
      <c r="U1083">
        <v>6</v>
      </c>
    </row>
    <row r="1084" spans="2:21" ht="20.100000000000001" hidden="1" customHeight="1">
      <c r="B1084" s="77">
        <v>9</v>
      </c>
      <c r="C1084" s="78" t="s">
        <v>1693</v>
      </c>
      <c r="D1084" s="79" t="s">
        <v>2024</v>
      </c>
      <c r="E1084" s="80" t="s">
        <v>2025</v>
      </c>
      <c r="F1084" s="260">
        <v>27.8</v>
      </c>
      <c r="G1084" s="222"/>
      <c r="H1084" s="186"/>
      <c r="I1084" s="186">
        <v>30</v>
      </c>
      <c r="J1084" s="308"/>
      <c r="K1084" s="227">
        <v>2</v>
      </c>
      <c r="L1084" s="82">
        <f t="shared" si="479"/>
        <v>28</v>
      </c>
      <c r="M1084" s="331">
        <v>28</v>
      </c>
      <c r="N1084" s="161">
        <f t="shared" si="480"/>
        <v>778.4</v>
      </c>
      <c r="O1084" s="161">
        <f t="shared" si="481"/>
        <v>778.4</v>
      </c>
      <c r="P1084" s="187">
        <f t="shared" si="482"/>
        <v>0</v>
      </c>
      <c r="Q1084" s="161">
        <f t="shared" si="483"/>
        <v>0</v>
      </c>
      <c r="R1084" s="85"/>
      <c r="S1084" s="86">
        <f t="shared" si="478"/>
        <v>6</v>
      </c>
      <c r="T1084" s="87">
        <f t="shared" si="473"/>
        <v>22</v>
      </c>
      <c r="U1084">
        <v>6</v>
      </c>
    </row>
    <row r="1085" spans="2:21" ht="20.100000000000001" hidden="1" customHeight="1">
      <c r="B1085" s="77">
        <v>9</v>
      </c>
      <c r="C1085" s="78" t="s">
        <v>1693</v>
      </c>
      <c r="D1085" s="79" t="s">
        <v>2026</v>
      </c>
      <c r="E1085" s="80" t="s">
        <v>2027</v>
      </c>
      <c r="F1085" s="81">
        <v>37.42</v>
      </c>
      <c r="G1085" s="222"/>
      <c r="H1085" s="186"/>
      <c r="I1085" s="186"/>
      <c r="J1085" s="308"/>
      <c r="K1085" s="227"/>
      <c r="L1085" s="82">
        <f t="shared" si="479"/>
        <v>0</v>
      </c>
      <c r="M1085" s="331"/>
      <c r="N1085" s="161">
        <f t="shared" si="480"/>
        <v>0</v>
      </c>
      <c r="O1085" s="161">
        <f t="shared" si="481"/>
        <v>0</v>
      </c>
      <c r="P1085" s="187">
        <f t="shared" si="482"/>
        <v>0</v>
      </c>
      <c r="Q1085" s="161">
        <f t="shared" si="483"/>
        <v>0</v>
      </c>
      <c r="R1085" s="85"/>
      <c r="S1085" s="86">
        <f t="shared" si="478"/>
        <v>49</v>
      </c>
      <c r="T1085" s="87">
        <f t="shared" si="473"/>
        <v>-49</v>
      </c>
      <c r="U1085">
        <f>18+25+6</f>
        <v>49</v>
      </c>
    </row>
    <row r="1086" spans="2:21" ht="20.100000000000001" hidden="1" customHeight="1">
      <c r="B1086" s="77">
        <v>9</v>
      </c>
      <c r="C1086" s="78" t="s">
        <v>1693</v>
      </c>
      <c r="D1086" s="79" t="s">
        <v>2028</v>
      </c>
      <c r="E1086" s="80" t="s">
        <v>2029</v>
      </c>
      <c r="F1086" s="81">
        <v>64.2</v>
      </c>
      <c r="G1086" s="222"/>
      <c r="H1086" s="186"/>
      <c r="I1086" s="186"/>
      <c r="J1086" s="308"/>
      <c r="K1086" s="227"/>
      <c r="L1086" s="82">
        <f t="shared" si="479"/>
        <v>0</v>
      </c>
      <c r="M1086" s="331">
        <v>0</v>
      </c>
      <c r="N1086" s="161">
        <f t="shared" si="480"/>
        <v>0</v>
      </c>
      <c r="O1086" s="161">
        <f t="shared" si="481"/>
        <v>0</v>
      </c>
      <c r="P1086" s="187">
        <f t="shared" si="482"/>
        <v>0</v>
      </c>
      <c r="Q1086" s="161">
        <f t="shared" si="483"/>
        <v>0</v>
      </c>
      <c r="R1086" s="85"/>
      <c r="S1086" s="86">
        <f t="shared" si="478"/>
        <v>0</v>
      </c>
      <c r="T1086" s="87">
        <f t="shared" si="473"/>
        <v>0</v>
      </c>
    </row>
    <row r="1087" spans="2:21" ht="20.100000000000001" hidden="1" customHeight="1">
      <c r="B1087" s="77">
        <v>9</v>
      </c>
      <c r="C1087" s="78" t="s">
        <v>1693</v>
      </c>
      <c r="D1087" s="79" t="s">
        <v>2030</v>
      </c>
      <c r="E1087" s="80" t="s">
        <v>2031</v>
      </c>
      <c r="F1087" s="81">
        <v>190.8</v>
      </c>
      <c r="G1087" s="222">
        <v>6</v>
      </c>
      <c r="H1087" s="186"/>
      <c r="I1087" s="186"/>
      <c r="J1087" s="308"/>
      <c r="K1087" s="227"/>
      <c r="L1087" s="82">
        <f t="shared" si="479"/>
        <v>6</v>
      </c>
      <c r="M1087" s="331">
        <v>6</v>
      </c>
      <c r="N1087" s="161">
        <f t="shared" si="480"/>
        <v>1144.8000000000002</v>
      </c>
      <c r="O1087" s="161">
        <f t="shared" si="481"/>
        <v>1144.8000000000002</v>
      </c>
      <c r="P1087" s="187">
        <f t="shared" si="482"/>
        <v>0</v>
      </c>
      <c r="Q1087" s="161">
        <f t="shared" si="483"/>
        <v>0</v>
      </c>
      <c r="R1087" s="85"/>
      <c r="S1087" s="86">
        <f t="shared" si="478"/>
        <v>6</v>
      </c>
      <c r="T1087" s="87">
        <f t="shared" si="473"/>
        <v>0</v>
      </c>
      <c r="U1087">
        <v>6</v>
      </c>
    </row>
    <row r="1088" spans="2:21" ht="20.100000000000001" hidden="1" customHeight="1">
      <c r="B1088" s="77">
        <v>9</v>
      </c>
      <c r="C1088" s="78" t="s">
        <v>1693</v>
      </c>
      <c r="D1088" s="79" t="s">
        <v>2032</v>
      </c>
      <c r="E1088" s="80" t="s">
        <v>2033</v>
      </c>
      <c r="F1088" s="260">
        <v>25.37</v>
      </c>
      <c r="G1088" s="222"/>
      <c r="H1088" s="186"/>
      <c r="I1088" s="186">
        <v>30</v>
      </c>
      <c r="J1088" s="308"/>
      <c r="K1088" s="227"/>
      <c r="L1088" s="82">
        <f t="shared" si="479"/>
        <v>30</v>
      </c>
      <c r="M1088" s="331">
        <v>30</v>
      </c>
      <c r="N1088" s="161">
        <f t="shared" si="480"/>
        <v>761.1</v>
      </c>
      <c r="O1088" s="161">
        <f t="shared" si="481"/>
        <v>761.1</v>
      </c>
      <c r="P1088" s="187">
        <f t="shared" si="482"/>
        <v>0</v>
      </c>
      <c r="Q1088" s="161">
        <f t="shared" si="483"/>
        <v>0</v>
      </c>
      <c r="R1088" s="85"/>
      <c r="S1088" s="86">
        <f t="shared" si="478"/>
        <v>0</v>
      </c>
      <c r="T1088" s="87">
        <f t="shared" si="473"/>
        <v>30</v>
      </c>
    </row>
    <row r="1089" spans="2:28" ht="20.100000000000001" hidden="1" customHeight="1">
      <c r="B1089" s="77">
        <v>9</v>
      </c>
      <c r="C1089" s="78" t="s">
        <v>1693</v>
      </c>
      <c r="D1089" s="79" t="s">
        <v>2034</v>
      </c>
      <c r="E1089" s="80" t="s">
        <v>2035</v>
      </c>
      <c r="F1089" s="81">
        <v>82.1</v>
      </c>
      <c r="G1089" s="222">
        <v>2</v>
      </c>
      <c r="H1089" s="186"/>
      <c r="I1089" s="186"/>
      <c r="J1089" s="308"/>
      <c r="K1089" s="227"/>
      <c r="L1089" s="82">
        <f t="shared" si="479"/>
        <v>2</v>
      </c>
      <c r="M1089" s="331">
        <v>2</v>
      </c>
      <c r="N1089" s="161">
        <f t="shared" si="480"/>
        <v>164.2</v>
      </c>
      <c r="O1089" s="161">
        <f t="shared" si="481"/>
        <v>164.2</v>
      </c>
      <c r="P1089" s="187">
        <f t="shared" si="482"/>
        <v>0</v>
      </c>
      <c r="Q1089" s="161">
        <f t="shared" si="483"/>
        <v>0</v>
      </c>
      <c r="R1089" s="85"/>
      <c r="S1089" s="86">
        <f t="shared" si="478"/>
        <v>8</v>
      </c>
      <c r="T1089" s="87">
        <f t="shared" si="473"/>
        <v>-6</v>
      </c>
      <c r="U1089">
        <f>2+5+1</f>
        <v>8</v>
      </c>
    </row>
    <row r="1090" spans="2:28" ht="20.100000000000001" hidden="1" customHeight="1">
      <c r="B1090" s="77">
        <v>9</v>
      </c>
      <c r="C1090" s="78" t="s">
        <v>1693</v>
      </c>
      <c r="D1090" s="79" t="s">
        <v>2036</v>
      </c>
      <c r="E1090" s="80" t="s">
        <v>2037</v>
      </c>
      <c r="F1090" s="81">
        <v>246.35</v>
      </c>
      <c r="G1090" s="222">
        <v>2</v>
      </c>
      <c r="H1090" s="186"/>
      <c r="I1090" s="186"/>
      <c r="J1090" s="308"/>
      <c r="K1090" s="227"/>
      <c r="L1090" s="82">
        <f t="shared" si="479"/>
        <v>2</v>
      </c>
      <c r="M1090" s="331">
        <v>2</v>
      </c>
      <c r="N1090" s="161">
        <f t="shared" si="480"/>
        <v>492.7</v>
      </c>
      <c r="O1090" s="161">
        <f t="shared" si="481"/>
        <v>492.7</v>
      </c>
      <c r="P1090" s="187">
        <f t="shared" si="482"/>
        <v>0</v>
      </c>
      <c r="Q1090" s="161">
        <f t="shared" si="483"/>
        <v>0</v>
      </c>
      <c r="R1090" s="85"/>
      <c r="S1090" s="86">
        <f t="shared" si="478"/>
        <v>2</v>
      </c>
      <c r="T1090" s="87">
        <f t="shared" si="473"/>
        <v>0</v>
      </c>
      <c r="U1090">
        <v>2</v>
      </c>
    </row>
    <row r="1091" spans="2:28" ht="20.100000000000001" hidden="1" customHeight="1">
      <c r="B1091" s="77">
        <v>9</v>
      </c>
      <c r="C1091" s="78" t="s">
        <v>1693</v>
      </c>
      <c r="D1091" s="79" t="s">
        <v>2038</v>
      </c>
      <c r="E1091" s="80" t="s">
        <v>2039</v>
      </c>
      <c r="F1091" s="81">
        <v>394.75</v>
      </c>
      <c r="G1091" s="222"/>
      <c r="H1091" s="186"/>
      <c r="I1091" s="186"/>
      <c r="J1091" s="308"/>
      <c r="K1091" s="227"/>
      <c r="L1091" s="82">
        <f t="shared" si="479"/>
        <v>0</v>
      </c>
      <c r="M1091" s="331"/>
      <c r="N1091" s="161">
        <f t="shared" si="480"/>
        <v>0</v>
      </c>
      <c r="O1091" s="161">
        <f t="shared" si="481"/>
        <v>0</v>
      </c>
      <c r="P1091" s="187">
        <f t="shared" si="482"/>
        <v>0</v>
      </c>
      <c r="Q1091" s="161">
        <f t="shared" si="483"/>
        <v>0</v>
      </c>
      <c r="R1091" s="85"/>
      <c r="S1091" s="86">
        <f t="shared" si="478"/>
        <v>1</v>
      </c>
      <c r="T1091" s="87">
        <f t="shared" si="473"/>
        <v>-1</v>
      </c>
      <c r="U1091">
        <v>1</v>
      </c>
    </row>
    <row r="1092" spans="2:28" ht="20.100000000000001" hidden="1" customHeight="1">
      <c r="B1092" s="77">
        <v>9</v>
      </c>
      <c r="C1092" s="78" t="s">
        <v>1693</v>
      </c>
      <c r="D1092" s="79" t="s">
        <v>2040</v>
      </c>
      <c r="E1092" s="80" t="s">
        <v>2041</v>
      </c>
      <c r="F1092" s="81">
        <v>76.599999999999994</v>
      </c>
      <c r="G1092" s="222"/>
      <c r="H1092" s="186"/>
      <c r="I1092" s="186"/>
      <c r="J1092" s="308"/>
      <c r="K1092" s="227"/>
      <c r="L1092" s="82">
        <f t="shared" si="479"/>
        <v>0</v>
      </c>
      <c r="M1092" s="331"/>
      <c r="N1092" s="161">
        <f t="shared" si="480"/>
        <v>0</v>
      </c>
      <c r="O1092" s="161">
        <f t="shared" si="481"/>
        <v>0</v>
      </c>
      <c r="P1092" s="187">
        <f t="shared" si="482"/>
        <v>0</v>
      </c>
      <c r="Q1092" s="161">
        <f t="shared" si="483"/>
        <v>0</v>
      </c>
      <c r="R1092" s="85"/>
      <c r="S1092" s="86">
        <f t="shared" si="478"/>
        <v>0</v>
      </c>
      <c r="T1092" s="87">
        <f t="shared" si="473"/>
        <v>0</v>
      </c>
    </row>
    <row r="1093" spans="2:28" ht="20.100000000000001" hidden="1" customHeight="1">
      <c r="B1093" s="77">
        <v>9</v>
      </c>
      <c r="C1093" s="78" t="s">
        <v>1693</v>
      </c>
      <c r="D1093" s="79" t="s">
        <v>3801</v>
      </c>
      <c r="E1093" s="80" t="s">
        <v>3787</v>
      </c>
      <c r="F1093" s="81">
        <v>261.51</v>
      </c>
      <c r="G1093" s="222">
        <v>4</v>
      </c>
      <c r="H1093" s="186"/>
      <c r="I1093" s="186"/>
      <c r="J1093" s="308"/>
      <c r="K1093" s="227"/>
      <c r="L1093" s="82">
        <f t="shared" si="479"/>
        <v>4</v>
      </c>
      <c r="M1093" s="331">
        <v>4</v>
      </c>
      <c r="N1093" s="161">
        <f t="shared" si="480"/>
        <v>1046.04</v>
      </c>
      <c r="O1093" s="161">
        <f t="shared" si="481"/>
        <v>1046.04</v>
      </c>
      <c r="P1093" s="187">
        <f t="shared" si="482"/>
        <v>0</v>
      </c>
      <c r="Q1093" s="161">
        <f t="shared" si="483"/>
        <v>0</v>
      </c>
      <c r="R1093" s="85"/>
      <c r="S1093" s="86">
        <f t="shared" ref="S1093" si="493">U1093+Y1093+W1093+AA1093</f>
        <v>0</v>
      </c>
      <c r="T1093" s="87">
        <f t="shared" ref="T1093" si="494">M1093-S1093</f>
        <v>4</v>
      </c>
    </row>
    <row r="1094" spans="2:28" ht="20.100000000000001" hidden="1" customHeight="1">
      <c r="B1094" s="77">
        <v>9</v>
      </c>
      <c r="C1094" s="78" t="s">
        <v>1693</v>
      </c>
      <c r="D1094" s="79" t="s">
        <v>2042</v>
      </c>
      <c r="E1094" s="80" t="s">
        <v>2043</v>
      </c>
      <c r="F1094" s="81">
        <v>227.85</v>
      </c>
      <c r="G1094" s="222">
        <v>3</v>
      </c>
      <c r="H1094" s="186"/>
      <c r="I1094" s="186"/>
      <c r="J1094" s="308"/>
      <c r="K1094" s="227"/>
      <c r="L1094" s="82">
        <f t="shared" si="479"/>
        <v>3</v>
      </c>
      <c r="M1094" s="331">
        <v>3</v>
      </c>
      <c r="N1094" s="161">
        <f t="shared" si="480"/>
        <v>683.55</v>
      </c>
      <c r="O1094" s="161">
        <f t="shared" si="481"/>
        <v>683.55</v>
      </c>
      <c r="P1094" s="187">
        <f t="shared" si="482"/>
        <v>0</v>
      </c>
      <c r="Q1094" s="161">
        <f t="shared" si="483"/>
        <v>0</v>
      </c>
      <c r="R1094" s="85"/>
      <c r="S1094" s="86">
        <f t="shared" si="478"/>
        <v>4</v>
      </c>
      <c r="T1094" s="87">
        <f t="shared" si="473"/>
        <v>-1</v>
      </c>
      <c r="U1094">
        <v>4</v>
      </c>
    </row>
    <row r="1095" spans="2:28" ht="20.100000000000001" hidden="1" customHeight="1">
      <c r="B1095" s="77">
        <v>9</v>
      </c>
      <c r="C1095" s="78" t="s">
        <v>1693</v>
      </c>
      <c r="D1095" s="79" t="s">
        <v>2044</v>
      </c>
      <c r="E1095" s="80" t="s">
        <v>2045</v>
      </c>
      <c r="F1095" s="81">
        <v>30.9</v>
      </c>
      <c r="G1095" s="222">
        <v>36</v>
      </c>
      <c r="H1095" s="186"/>
      <c r="I1095" s="186"/>
      <c r="J1095" s="308">
        <v>9</v>
      </c>
      <c r="K1095" s="227"/>
      <c r="L1095" s="82">
        <f t="shared" ref="L1095" si="495">G1095+I1095-J1095-K1095+H1095</f>
        <v>27</v>
      </c>
      <c r="M1095" s="331">
        <v>27</v>
      </c>
      <c r="N1095" s="161">
        <f t="shared" ref="N1095" si="496">F1095*L1095</f>
        <v>834.3</v>
      </c>
      <c r="O1095" s="161">
        <f t="shared" ref="O1095" si="497">M1095*F1095</f>
        <v>834.3</v>
      </c>
      <c r="P1095" s="187">
        <f t="shared" ref="P1095" si="498">L1095-M1095</f>
        <v>0</v>
      </c>
      <c r="Q1095" s="161">
        <f t="shared" ref="Q1095" si="499">N1095-O1095</f>
        <v>0</v>
      </c>
      <c r="R1095" s="85"/>
      <c r="S1095" s="86">
        <f t="shared" ref="S1095" si="500">U1095+Y1095+W1095+AA1095</f>
        <v>38</v>
      </c>
      <c r="T1095" s="87">
        <f t="shared" ref="T1095" si="501">M1095-S1095</f>
        <v>-11</v>
      </c>
      <c r="U1095">
        <v>37</v>
      </c>
      <c r="AA1095">
        <v>1</v>
      </c>
      <c r="AB1095" s="88" t="s">
        <v>1032</v>
      </c>
    </row>
    <row r="1096" spans="2:28" ht="20.100000000000001" hidden="1" customHeight="1">
      <c r="B1096" s="77">
        <v>9</v>
      </c>
      <c r="C1096" s="78" t="s">
        <v>1693</v>
      </c>
      <c r="D1096" s="79" t="s">
        <v>2044</v>
      </c>
      <c r="E1096" s="80" t="s">
        <v>2045</v>
      </c>
      <c r="F1096" s="260">
        <v>30.21</v>
      </c>
      <c r="G1096" s="222"/>
      <c r="H1096" s="186"/>
      <c r="I1096" s="186">
        <v>30</v>
      </c>
      <c r="J1096" s="308">
        <v>27</v>
      </c>
      <c r="K1096" s="227">
        <v>1</v>
      </c>
      <c r="L1096" s="82">
        <f t="shared" si="479"/>
        <v>2</v>
      </c>
      <c r="M1096" s="331">
        <v>2</v>
      </c>
      <c r="N1096" s="161">
        <f t="shared" si="480"/>
        <v>60.42</v>
      </c>
      <c r="O1096" s="161">
        <f t="shared" si="481"/>
        <v>60.42</v>
      </c>
      <c r="P1096" s="187">
        <f t="shared" si="482"/>
        <v>0</v>
      </c>
      <c r="Q1096" s="161">
        <f t="shared" si="483"/>
        <v>0</v>
      </c>
      <c r="R1096" s="85"/>
      <c r="S1096" s="86">
        <f t="shared" si="478"/>
        <v>38</v>
      </c>
      <c r="T1096" s="87">
        <f t="shared" si="473"/>
        <v>-36</v>
      </c>
      <c r="U1096">
        <v>37</v>
      </c>
      <c r="AA1096">
        <v>1</v>
      </c>
      <c r="AB1096" s="88" t="s">
        <v>1032</v>
      </c>
    </row>
    <row r="1097" spans="2:28" ht="20.100000000000001" hidden="1" customHeight="1">
      <c r="B1097" s="77">
        <v>9</v>
      </c>
      <c r="C1097" s="78" t="s">
        <v>1693</v>
      </c>
      <c r="D1097" s="79" t="s">
        <v>3803</v>
      </c>
      <c r="E1097" s="80" t="s">
        <v>3789</v>
      </c>
      <c r="F1097" s="81">
        <v>87.17</v>
      </c>
      <c r="G1097" s="222">
        <v>12</v>
      </c>
      <c r="H1097" s="186"/>
      <c r="I1097" s="186"/>
      <c r="J1097" s="308"/>
      <c r="K1097" s="227"/>
      <c r="L1097" s="82">
        <f t="shared" si="479"/>
        <v>12</v>
      </c>
      <c r="M1097" s="331">
        <v>12</v>
      </c>
      <c r="N1097" s="161">
        <f t="shared" si="480"/>
        <v>1046.04</v>
      </c>
      <c r="O1097" s="161">
        <f t="shared" si="481"/>
        <v>1046.04</v>
      </c>
      <c r="P1097" s="187">
        <f t="shared" si="482"/>
        <v>0</v>
      </c>
      <c r="Q1097" s="161">
        <f t="shared" si="483"/>
        <v>0</v>
      </c>
      <c r="R1097" s="85"/>
      <c r="S1097" s="86">
        <f t="shared" ref="S1097" si="502">U1097+Y1097+W1097+AA1097</f>
        <v>0</v>
      </c>
      <c r="T1097" s="87">
        <f t="shared" ref="T1097" si="503">M1097-S1097</f>
        <v>12</v>
      </c>
    </row>
    <row r="1098" spans="2:28" ht="20.100000000000001" hidden="1" customHeight="1">
      <c r="B1098" s="77">
        <v>9</v>
      </c>
      <c r="C1098" s="78" t="s">
        <v>1693</v>
      </c>
      <c r="D1098" s="79" t="s">
        <v>2046</v>
      </c>
      <c r="E1098" s="80" t="s">
        <v>2047</v>
      </c>
      <c r="F1098" s="81">
        <v>172.3</v>
      </c>
      <c r="G1098" s="222">
        <v>6</v>
      </c>
      <c r="H1098" s="186"/>
      <c r="I1098" s="186"/>
      <c r="J1098" s="308"/>
      <c r="K1098" s="227"/>
      <c r="L1098" s="82">
        <f t="shared" si="479"/>
        <v>6</v>
      </c>
      <c r="M1098" s="331">
        <v>6</v>
      </c>
      <c r="N1098" s="161">
        <f t="shared" si="480"/>
        <v>1033.8000000000002</v>
      </c>
      <c r="O1098" s="161">
        <f t="shared" si="481"/>
        <v>1033.8000000000002</v>
      </c>
      <c r="P1098" s="187">
        <f t="shared" si="482"/>
        <v>0</v>
      </c>
      <c r="Q1098" s="161">
        <f t="shared" si="483"/>
        <v>0</v>
      </c>
      <c r="R1098" s="85"/>
      <c r="S1098" s="86">
        <f t="shared" si="478"/>
        <v>8</v>
      </c>
      <c r="T1098" s="87">
        <f t="shared" si="473"/>
        <v>-2</v>
      </c>
      <c r="U1098">
        <v>8</v>
      </c>
    </row>
    <row r="1099" spans="2:28" ht="20.100000000000001" hidden="1" customHeight="1">
      <c r="B1099" s="77">
        <v>9</v>
      </c>
      <c r="C1099" s="78" t="s">
        <v>1693</v>
      </c>
      <c r="D1099" s="79" t="s">
        <v>2048</v>
      </c>
      <c r="E1099" s="80" t="s">
        <v>2049</v>
      </c>
      <c r="F1099" s="81">
        <v>58.05</v>
      </c>
      <c r="G1099" s="222">
        <v>6</v>
      </c>
      <c r="H1099" s="186"/>
      <c r="I1099" s="186"/>
      <c r="J1099" s="308"/>
      <c r="K1099" s="227"/>
      <c r="L1099" s="82">
        <f t="shared" si="479"/>
        <v>6</v>
      </c>
      <c r="M1099" s="331">
        <v>6</v>
      </c>
      <c r="N1099" s="161">
        <f t="shared" si="480"/>
        <v>348.29999999999995</v>
      </c>
      <c r="O1099" s="161">
        <f t="shared" si="481"/>
        <v>348.29999999999995</v>
      </c>
      <c r="P1099" s="187">
        <f t="shared" si="482"/>
        <v>0</v>
      </c>
      <c r="Q1099" s="161">
        <f t="shared" si="483"/>
        <v>0</v>
      </c>
      <c r="R1099" s="85"/>
      <c r="S1099" s="86">
        <f t="shared" si="478"/>
        <v>10</v>
      </c>
      <c r="T1099" s="87">
        <f t="shared" si="473"/>
        <v>-4</v>
      </c>
      <c r="U1099">
        <v>10</v>
      </c>
    </row>
    <row r="1100" spans="2:28" ht="20.100000000000001" hidden="1" customHeight="1">
      <c r="B1100" s="77">
        <v>9</v>
      </c>
      <c r="C1100" s="78" t="s">
        <v>1693</v>
      </c>
      <c r="D1100" s="79" t="s">
        <v>2050</v>
      </c>
      <c r="E1100" s="80" t="s">
        <v>2051</v>
      </c>
      <c r="F1100" s="260">
        <v>22.96</v>
      </c>
      <c r="G1100" s="222"/>
      <c r="H1100" s="186"/>
      <c r="I1100" s="186">
        <v>30</v>
      </c>
      <c r="J1100" s="308"/>
      <c r="K1100" s="227"/>
      <c r="L1100" s="82">
        <f t="shared" si="479"/>
        <v>30</v>
      </c>
      <c r="M1100" s="331">
        <v>30</v>
      </c>
      <c r="N1100" s="161">
        <f t="shared" si="480"/>
        <v>688.80000000000007</v>
      </c>
      <c r="O1100" s="161">
        <f t="shared" si="481"/>
        <v>688.80000000000007</v>
      </c>
      <c r="P1100" s="187">
        <f t="shared" si="482"/>
        <v>0</v>
      </c>
      <c r="Q1100" s="161">
        <f t="shared" si="483"/>
        <v>0</v>
      </c>
      <c r="R1100" s="85"/>
      <c r="S1100" s="86">
        <f t="shared" si="478"/>
        <v>0</v>
      </c>
      <c r="T1100" s="87">
        <f t="shared" si="473"/>
        <v>30</v>
      </c>
    </row>
    <row r="1101" spans="2:28" ht="20.100000000000001" hidden="1" customHeight="1">
      <c r="B1101" s="77">
        <v>9</v>
      </c>
      <c r="C1101" s="78" t="s">
        <v>1693</v>
      </c>
      <c r="D1101" s="79" t="s">
        <v>2052</v>
      </c>
      <c r="E1101" s="80" t="s">
        <v>2053</v>
      </c>
      <c r="F1101" s="81">
        <v>78.400000000000006</v>
      </c>
      <c r="G1101" s="222">
        <v>10</v>
      </c>
      <c r="H1101" s="186"/>
      <c r="I1101" s="186"/>
      <c r="J1101" s="308"/>
      <c r="K1101" s="227"/>
      <c r="L1101" s="82">
        <f t="shared" si="479"/>
        <v>10</v>
      </c>
      <c r="M1101" s="331">
        <v>10</v>
      </c>
      <c r="N1101" s="161">
        <f t="shared" si="480"/>
        <v>784</v>
      </c>
      <c r="O1101" s="161">
        <f t="shared" si="481"/>
        <v>784</v>
      </c>
      <c r="P1101" s="187">
        <f t="shared" si="482"/>
        <v>0</v>
      </c>
      <c r="Q1101" s="161">
        <f t="shared" si="483"/>
        <v>0</v>
      </c>
      <c r="R1101" s="85"/>
      <c r="S1101" s="86">
        <f t="shared" si="478"/>
        <v>11</v>
      </c>
      <c r="T1101" s="87">
        <f t="shared" si="473"/>
        <v>-1</v>
      </c>
      <c r="U1101">
        <v>11</v>
      </c>
    </row>
    <row r="1102" spans="2:28" ht="20.100000000000001" hidden="1" customHeight="1">
      <c r="B1102" s="77">
        <v>9</v>
      </c>
      <c r="C1102" s="78" t="s">
        <v>1693</v>
      </c>
      <c r="D1102" s="79" t="s">
        <v>2054</v>
      </c>
      <c r="E1102" s="80" t="s">
        <v>2055</v>
      </c>
      <c r="F1102" s="81">
        <v>230.19</v>
      </c>
      <c r="G1102" s="222">
        <v>4</v>
      </c>
      <c r="H1102" s="186"/>
      <c r="I1102" s="186"/>
      <c r="J1102" s="308"/>
      <c r="K1102" s="227"/>
      <c r="L1102" s="82">
        <f t="shared" si="479"/>
        <v>4</v>
      </c>
      <c r="M1102" s="331">
        <v>4</v>
      </c>
      <c r="N1102" s="161">
        <f t="shared" si="474"/>
        <v>920.76</v>
      </c>
      <c r="O1102" s="161">
        <f t="shared" si="475"/>
        <v>920.76</v>
      </c>
      <c r="P1102" s="187">
        <f t="shared" si="476"/>
        <v>0</v>
      </c>
      <c r="Q1102" s="161">
        <f t="shared" si="477"/>
        <v>0</v>
      </c>
      <c r="R1102" s="85"/>
      <c r="S1102" s="86">
        <f t="shared" si="478"/>
        <v>0</v>
      </c>
      <c r="T1102" s="87">
        <f t="shared" si="473"/>
        <v>4</v>
      </c>
    </row>
    <row r="1103" spans="2:28" ht="20.100000000000001" hidden="1" customHeight="1">
      <c r="B1103" s="77">
        <v>9</v>
      </c>
      <c r="C1103" s="78" t="s">
        <v>1693</v>
      </c>
      <c r="D1103" s="79" t="s">
        <v>2056</v>
      </c>
      <c r="E1103" s="80" t="s">
        <v>2057</v>
      </c>
      <c r="F1103" s="81">
        <v>45.4</v>
      </c>
      <c r="G1103" s="222">
        <v>1</v>
      </c>
      <c r="H1103" s="186"/>
      <c r="I1103" s="186"/>
      <c r="J1103" s="308"/>
      <c r="K1103" s="227"/>
      <c r="L1103" s="82">
        <f t="shared" si="479"/>
        <v>1</v>
      </c>
      <c r="M1103" s="331">
        <v>1</v>
      </c>
      <c r="N1103" s="161">
        <f t="shared" si="474"/>
        <v>45.4</v>
      </c>
      <c r="O1103" s="161">
        <f t="shared" si="475"/>
        <v>45.4</v>
      </c>
      <c r="P1103" s="187">
        <f t="shared" si="476"/>
        <v>0</v>
      </c>
      <c r="Q1103" s="161">
        <f t="shared" si="477"/>
        <v>0</v>
      </c>
      <c r="R1103" s="85"/>
      <c r="S1103" s="86">
        <f t="shared" si="478"/>
        <v>1</v>
      </c>
      <c r="T1103" s="87">
        <f t="shared" si="473"/>
        <v>0</v>
      </c>
      <c r="U1103">
        <v>1</v>
      </c>
    </row>
    <row r="1104" spans="2:28" ht="20.100000000000001" hidden="1" customHeight="1">
      <c r="B1104" s="77">
        <v>9</v>
      </c>
      <c r="C1104" s="78" t="s">
        <v>1693</v>
      </c>
      <c r="D1104" s="79" t="s">
        <v>2058</v>
      </c>
      <c r="E1104" s="80" t="s">
        <v>2059</v>
      </c>
      <c r="F1104" s="81">
        <v>45.4</v>
      </c>
      <c r="G1104" s="222">
        <v>3</v>
      </c>
      <c r="H1104" s="186"/>
      <c r="I1104" s="186"/>
      <c r="J1104" s="308"/>
      <c r="K1104" s="227"/>
      <c r="L1104" s="82">
        <f t="shared" si="479"/>
        <v>3</v>
      </c>
      <c r="M1104" s="331">
        <v>3</v>
      </c>
      <c r="N1104" s="161">
        <f t="shared" si="474"/>
        <v>136.19999999999999</v>
      </c>
      <c r="O1104" s="161">
        <f t="shared" si="475"/>
        <v>136.19999999999999</v>
      </c>
      <c r="P1104" s="187">
        <f t="shared" si="476"/>
        <v>0</v>
      </c>
      <c r="Q1104" s="161">
        <f t="shared" si="477"/>
        <v>0</v>
      </c>
      <c r="R1104" s="85"/>
      <c r="S1104" s="86">
        <f t="shared" si="478"/>
        <v>3</v>
      </c>
      <c r="T1104" s="87">
        <f t="shared" si="473"/>
        <v>0</v>
      </c>
      <c r="U1104">
        <v>3</v>
      </c>
    </row>
    <row r="1105" spans="2:31" ht="20.100000000000001" hidden="1" customHeight="1">
      <c r="B1105" s="77">
        <v>9</v>
      </c>
      <c r="C1105" s="78" t="s">
        <v>1693</v>
      </c>
      <c r="D1105" s="79" t="s">
        <v>2060</v>
      </c>
      <c r="E1105" s="80" t="s">
        <v>2061</v>
      </c>
      <c r="F1105" s="81">
        <v>45.4</v>
      </c>
      <c r="G1105" s="222">
        <v>1</v>
      </c>
      <c r="H1105" s="186"/>
      <c r="I1105" s="186"/>
      <c r="J1105" s="308"/>
      <c r="K1105" s="227"/>
      <c r="L1105" s="82">
        <f t="shared" si="479"/>
        <v>1</v>
      </c>
      <c r="M1105" s="331">
        <v>1</v>
      </c>
      <c r="N1105" s="161">
        <f t="shared" si="474"/>
        <v>45.4</v>
      </c>
      <c r="O1105" s="161">
        <f t="shared" si="475"/>
        <v>45.4</v>
      </c>
      <c r="P1105" s="187">
        <f t="shared" si="476"/>
        <v>0</v>
      </c>
      <c r="Q1105" s="161">
        <f t="shared" si="477"/>
        <v>0</v>
      </c>
      <c r="R1105" s="85"/>
      <c r="S1105" s="86">
        <f t="shared" si="478"/>
        <v>2</v>
      </c>
      <c r="T1105" s="87">
        <f t="shared" si="473"/>
        <v>-1</v>
      </c>
      <c r="U1105">
        <v>2</v>
      </c>
    </row>
    <row r="1106" spans="2:31" ht="20.100000000000001" hidden="1" customHeight="1">
      <c r="B1106" s="77">
        <v>9</v>
      </c>
      <c r="C1106" s="78" t="s">
        <v>1693</v>
      </c>
      <c r="D1106" s="79" t="s">
        <v>2062</v>
      </c>
      <c r="E1106" s="80" t="s">
        <v>2063</v>
      </c>
      <c r="F1106" s="81">
        <v>49.25</v>
      </c>
      <c r="G1106" s="222"/>
      <c r="H1106" s="186"/>
      <c r="I1106" s="186"/>
      <c r="J1106" s="308"/>
      <c r="K1106" s="227"/>
      <c r="L1106" s="82">
        <f t="shared" si="479"/>
        <v>0</v>
      </c>
      <c r="M1106" s="331"/>
      <c r="N1106" s="161">
        <f t="shared" si="474"/>
        <v>0</v>
      </c>
      <c r="O1106" s="161">
        <f t="shared" si="475"/>
        <v>0</v>
      </c>
      <c r="P1106" s="187">
        <f t="shared" si="476"/>
        <v>0</v>
      </c>
      <c r="Q1106" s="161">
        <f t="shared" si="477"/>
        <v>0</v>
      </c>
      <c r="R1106" s="85"/>
      <c r="S1106" s="86">
        <f t="shared" si="478"/>
        <v>0</v>
      </c>
      <c r="T1106" s="87">
        <f t="shared" si="473"/>
        <v>0</v>
      </c>
    </row>
    <row r="1107" spans="2:31" ht="20.100000000000001" hidden="1" customHeight="1">
      <c r="B1107" s="77">
        <v>9</v>
      </c>
      <c r="C1107" s="78" t="s">
        <v>1693</v>
      </c>
      <c r="D1107" s="79" t="s">
        <v>2064</v>
      </c>
      <c r="E1107" s="80" t="s">
        <v>2065</v>
      </c>
      <c r="F1107" s="81">
        <v>37.25</v>
      </c>
      <c r="G1107" s="222">
        <v>1</v>
      </c>
      <c r="H1107" s="186"/>
      <c r="I1107" s="186"/>
      <c r="J1107" s="308"/>
      <c r="K1107" s="227"/>
      <c r="L1107" s="82">
        <f t="shared" si="479"/>
        <v>1</v>
      </c>
      <c r="M1107" s="331">
        <v>1</v>
      </c>
      <c r="N1107" s="161">
        <f t="shared" si="474"/>
        <v>37.25</v>
      </c>
      <c r="O1107" s="161">
        <f t="shared" si="475"/>
        <v>37.25</v>
      </c>
      <c r="P1107" s="187">
        <f t="shared" si="476"/>
        <v>0</v>
      </c>
      <c r="Q1107" s="161">
        <f t="shared" si="477"/>
        <v>0</v>
      </c>
      <c r="R1107" s="85"/>
      <c r="S1107" s="86">
        <f t="shared" si="478"/>
        <v>1</v>
      </c>
      <c r="T1107" s="87">
        <f t="shared" si="473"/>
        <v>0</v>
      </c>
      <c r="U1107">
        <v>1</v>
      </c>
    </row>
    <row r="1108" spans="2:31" ht="20.100000000000001" hidden="1" customHeight="1">
      <c r="B1108" s="77">
        <v>9</v>
      </c>
      <c r="C1108" s="78" t="s">
        <v>1693</v>
      </c>
      <c r="D1108" s="79" t="s">
        <v>2066</v>
      </c>
      <c r="E1108" s="80" t="s">
        <v>2067</v>
      </c>
      <c r="F1108" s="81">
        <v>37.5</v>
      </c>
      <c r="G1108" s="222"/>
      <c r="H1108" s="186"/>
      <c r="I1108" s="186"/>
      <c r="J1108" s="308"/>
      <c r="K1108" s="227"/>
      <c r="L1108" s="82">
        <f t="shared" si="479"/>
        <v>0</v>
      </c>
      <c r="M1108" s="331"/>
      <c r="N1108" s="161">
        <f t="shared" si="474"/>
        <v>0</v>
      </c>
      <c r="O1108" s="161">
        <f t="shared" si="475"/>
        <v>0</v>
      </c>
      <c r="P1108" s="187">
        <f t="shared" si="476"/>
        <v>0</v>
      </c>
      <c r="Q1108" s="161">
        <f t="shared" si="477"/>
        <v>0</v>
      </c>
      <c r="R1108" s="85"/>
      <c r="S1108" s="86">
        <f t="shared" si="478"/>
        <v>0</v>
      </c>
      <c r="T1108" s="87">
        <f t="shared" si="473"/>
        <v>0</v>
      </c>
    </row>
    <row r="1109" spans="2:31" ht="20.100000000000001" hidden="1" customHeight="1">
      <c r="B1109" s="77">
        <v>9</v>
      </c>
      <c r="C1109" s="78" t="s">
        <v>1693</v>
      </c>
      <c r="D1109" s="79" t="s">
        <v>2068</v>
      </c>
      <c r="E1109" s="80" t="s">
        <v>2069</v>
      </c>
      <c r="F1109" s="81">
        <v>37.5</v>
      </c>
      <c r="G1109" s="222">
        <v>2</v>
      </c>
      <c r="H1109" s="186"/>
      <c r="I1109" s="186"/>
      <c r="J1109" s="308"/>
      <c r="K1109" s="227">
        <v>1</v>
      </c>
      <c r="L1109" s="82">
        <f t="shared" si="479"/>
        <v>1</v>
      </c>
      <c r="M1109" s="331">
        <v>1</v>
      </c>
      <c r="N1109" s="161">
        <f t="shared" si="474"/>
        <v>37.5</v>
      </c>
      <c r="O1109" s="161">
        <f t="shared" si="475"/>
        <v>37.5</v>
      </c>
      <c r="P1109" s="187">
        <f t="shared" si="476"/>
        <v>0</v>
      </c>
      <c r="Q1109" s="161">
        <f t="shared" si="477"/>
        <v>0</v>
      </c>
      <c r="R1109" s="85"/>
      <c r="S1109" s="86">
        <f t="shared" si="478"/>
        <v>2</v>
      </c>
      <c r="T1109" s="87">
        <f t="shared" si="473"/>
        <v>-1</v>
      </c>
      <c r="U1109">
        <v>2</v>
      </c>
    </row>
    <row r="1110" spans="2:31" ht="20.100000000000001" hidden="1" customHeight="1">
      <c r="B1110" s="77">
        <v>9</v>
      </c>
      <c r="C1110" s="78" t="s">
        <v>1693</v>
      </c>
      <c r="D1110" s="79" t="s">
        <v>2070</v>
      </c>
      <c r="E1110" s="80" t="s">
        <v>2071</v>
      </c>
      <c r="F1110" s="81">
        <v>37.25</v>
      </c>
      <c r="G1110" s="222">
        <v>14</v>
      </c>
      <c r="H1110" s="186"/>
      <c r="I1110" s="186"/>
      <c r="J1110" s="308"/>
      <c r="K1110" s="227">
        <v>1</v>
      </c>
      <c r="L1110" s="82">
        <f t="shared" si="479"/>
        <v>13</v>
      </c>
      <c r="M1110" s="331">
        <v>13</v>
      </c>
      <c r="N1110" s="161">
        <f t="shared" si="474"/>
        <v>484.25</v>
      </c>
      <c r="O1110" s="161">
        <f t="shared" si="475"/>
        <v>484.25</v>
      </c>
      <c r="P1110" s="187">
        <f t="shared" si="476"/>
        <v>0</v>
      </c>
      <c r="Q1110" s="161">
        <f t="shared" si="477"/>
        <v>0</v>
      </c>
      <c r="R1110" s="85"/>
      <c r="S1110" s="86">
        <f t="shared" si="478"/>
        <v>15</v>
      </c>
      <c r="T1110" s="87">
        <f t="shared" si="473"/>
        <v>-2</v>
      </c>
      <c r="U1110">
        <v>15</v>
      </c>
    </row>
    <row r="1111" spans="2:31" ht="20.100000000000001" hidden="1" customHeight="1">
      <c r="B1111" s="77">
        <v>9</v>
      </c>
      <c r="C1111" s="78" t="s">
        <v>1693</v>
      </c>
      <c r="D1111" s="79" t="s">
        <v>2072</v>
      </c>
      <c r="E1111" s="80" t="s">
        <v>2073</v>
      </c>
      <c r="F1111" s="315">
        <v>64.58</v>
      </c>
      <c r="G1111" s="222">
        <v>7</v>
      </c>
      <c r="H1111" s="186"/>
      <c r="I1111" s="186"/>
      <c r="J1111" s="308"/>
      <c r="K1111" s="227">
        <v>3</v>
      </c>
      <c r="L1111" s="82">
        <f t="shared" si="479"/>
        <v>4</v>
      </c>
      <c r="M1111" s="331">
        <v>4</v>
      </c>
      <c r="N1111" s="161">
        <f t="shared" si="474"/>
        <v>258.32</v>
      </c>
      <c r="O1111" s="161">
        <f t="shared" si="475"/>
        <v>258.32</v>
      </c>
      <c r="P1111" s="187">
        <f t="shared" si="476"/>
        <v>0</v>
      </c>
      <c r="Q1111" s="161">
        <f t="shared" si="477"/>
        <v>0</v>
      </c>
      <c r="R1111" s="85"/>
      <c r="S1111" s="86">
        <f t="shared" si="478"/>
        <v>0</v>
      </c>
      <c r="T1111" s="87">
        <f t="shared" si="473"/>
        <v>4</v>
      </c>
    </row>
    <row r="1112" spans="2:31" ht="20.100000000000001" hidden="1" customHeight="1">
      <c r="B1112" s="77">
        <v>9</v>
      </c>
      <c r="C1112" s="78" t="s">
        <v>1693</v>
      </c>
      <c r="D1112" s="79" t="s">
        <v>2074</v>
      </c>
      <c r="E1112" s="80" t="s">
        <v>2075</v>
      </c>
      <c r="F1112" s="81">
        <v>71.5</v>
      </c>
      <c r="G1112" s="222">
        <v>1</v>
      </c>
      <c r="H1112" s="186"/>
      <c r="I1112" s="186"/>
      <c r="J1112" s="308"/>
      <c r="K1112" s="227"/>
      <c r="L1112" s="82">
        <f t="shared" si="479"/>
        <v>1</v>
      </c>
      <c r="M1112" s="331">
        <v>1</v>
      </c>
      <c r="N1112" s="161">
        <f t="shared" si="474"/>
        <v>71.5</v>
      </c>
      <c r="O1112" s="161">
        <f t="shared" si="475"/>
        <v>71.5</v>
      </c>
      <c r="P1112" s="187">
        <f t="shared" si="476"/>
        <v>0</v>
      </c>
      <c r="Q1112" s="161">
        <f t="shared" si="477"/>
        <v>0</v>
      </c>
      <c r="R1112" s="85"/>
      <c r="S1112" s="86">
        <f t="shared" si="478"/>
        <v>1</v>
      </c>
      <c r="T1112" s="87">
        <f t="shared" si="473"/>
        <v>0</v>
      </c>
      <c r="U1112">
        <v>1</v>
      </c>
    </row>
    <row r="1113" spans="2:31" ht="20.100000000000001" hidden="1" customHeight="1">
      <c r="B1113" s="77">
        <v>9</v>
      </c>
      <c r="C1113" s="78" t="s">
        <v>1693</v>
      </c>
      <c r="D1113" s="79" t="s">
        <v>2076</v>
      </c>
      <c r="E1113" s="80" t="s">
        <v>2077</v>
      </c>
      <c r="F1113" s="81">
        <v>110.66</v>
      </c>
      <c r="G1113" s="222">
        <v>2</v>
      </c>
      <c r="H1113" s="186"/>
      <c r="I1113" s="186"/>
      <c r="J1113" s="308"/>
      <c r="K1113" s="227"/>
      <c r="L1113" s="82">
        <f t="shared" si="479"/>
        <v>2</v>
      </c>
      <c r="M1113" s="331">
        <v>2</v>
      </c>
      <c r="N1113" s="161">
        <f t="shared" si="474"/>
        <v>221.32</v>
      </c>
      <c r="O1113" s="161">
        <f t="shared" si="475"/>
        <v>221.32</v>
      </c>
      <c r="P1113" s="187">
        <f t="shared" si="476"/>
        <v>0</v>
      </c>
      <c r="Q1113" s="161">
        <f t="shared" si="477"/>
        <v>0</v>
      </c>
      <c r="R1113" s="85"/>
      <c r="S1113" s="86">
        <f t="shared" si="478"/>
        <v>3</v>
      </c>
      <c r="T1113" s="87">
        <f t="shared" si="473"/>
        <v>-1</v>
      </c>
      <c r="U1113">
        <v>3</v>
      </c>
    </row>
    <row r="1114" spans="2:31" ht="20.100000000000001" hidden="1" customHeight="1">
      <c r="B1114" s="77">
        <v>9</v>
      </c>
      <c r="C1114" s="78" t="s">
        <v>1693</v>
      </c>
      <c r="D1114" s="79" t="s">
        <v>2078</v>
      </c>
      <c r="E1114" s="80" t="s">
        <v>2079</v>
      </c>
      <c r="F1114" s="81">
        <v>139.53</v>
      </c>
      <c r="G1114" s="222">
        <v>1</v>
      </c>
      <c r="H1114" s="186"/>
      <c r="I1114" s="186"/>
      <c r="J1114" s="308"/>
      <c r="K1114" s="227"/>
      <c r="L1114" s="82">
        <f t="shared" si="479"/>
        <v>1</v>
      </c>
      <c r="M1114" s="331">
        <v>1</v>
      </c>
      <c r="N1114" s="161">
        <f t="shared" si="474"/>
        <v>139.53</v>
      </c>
      <c r="O1114" s="161">
        <f t="shared" si="475"/>
        <v>139.53</v>
      </c>
      <c r="P1114" s="187">
        <f t="shared" si="476"/>
        <v>0</v>
      </c>
      <c r="Q1114" s="161">
        <f t="shared" si="477"/>
        <v>0</v>
      </c>
      <c r="R1114" s="85"/>
      <c r="S1114" s="86">
        <f t="shared" si="478"/>
        <v>1</v>
      </c>
      <c r="T1114" s="87">
        <f t="shared" si="473"/>
        <v>0</v>
      </c>
      <c r="U1114">
        <v>1</v>
      </c>
    </row>
    <row r="1115" spans="2:31" ht="20.100000000000001" hidden="1" customHeight="1">
      <c r="B1115" s="77">
        <v>9</v>
      </c>
      <c r="C1115" s="78" t="s">
        <v>1693</v>
      </c>
      <c r="D1115" s="79" t="s">
        <v>2080</v>
      </c>
      <c r="E1115" s="80" t="s">
        <v>2081</v>
      </c>
      <c r="F1115" s="81">
        <v>8.6</v>
      </c>
      <c r="G1115" s="222">
        <v>15</v>
      </c>
      <c r="H1115" s="186"/>
      <c r="I1115" s="186"/>
      <c r="J1115" s="308"/>
      <c r="K1115" s="227">
        <v>1</v>
      </c>
      <c r="L1115" s="82">
        <f t="shared" si="479"/>
        <v>14</v>
      </c>
      <c r="M1115" s="331">
        <v>14</v>
      </c>
      <c r="N1115" s="161">
        <f t="shared" si="474"/>
        <v>120.39999999999999</v>
      </c>
      <c r="O1115" s="161">
        <f t="shared" si="475"/>
        <v>120.39999999999999</v>
      </c>
      <c r="P1115" s="187">
        <f t="shared" si="476"/>
        <v>0</v>
      </c>
      <c r="Q1115" s="161">
        <f t="shared" si="477"/>
        <v>0</v>
      </c>
      <c r="R1115" s="85"/>
      <c r="S1115" s="86">
        <f t="shared" si="478"/>
        <v>15</v>
      </c>
      <c r="T1115" s="87">
        <f t="shared" si="473"/>
        <v>-1</v>
      </c>
      <c r="U1115">
        <v>15</v>
      </c>
      <c r="V1115" s="88" t="s">
        <v>2082</v>
      </c>
      <c r="AD1115">
        <v>1</v>
      </c>
      <c r="AE1115">
        <f>AD1115*F1115</f>
        <v>8.6</v>
      </c>
    </row>
    <row r="1116" spans="2:31" ht="20.100000000000001" hidden="1" customHeight="1">
      <c r="B1116" s="77">
        <v>9</v>
      </c>
      <c r="C1116" s="78" t="s">
        <v>1693</v>
      </c>
      <c r="D1116" s="79" t="s">
        <v>2083</v>
      </c>
      <c r="E1116" s="80" t="s">
        <v>2084</v>
      </c>
      <c r="F1116" s="81">
        <v>8.6</v>
      </c>
      <c r="G1116" s="222">
        <v>36</v>
      </c>
      <c r="H1116" s="186"/>
      <c r="I1116" s="186"/>
      <c r="J1116" s="308"/>
      <c r="K1116" s="227">
        <v>4</v>
      </c>
      <c r="L1116" s="82">
        <f t="shared" si="479"/>
        <v>32</v>
      </c>
      <c r="M1116" s="331">
        <v>32</v>
      </c>
      <c r="N1116" s="161">
        <f t="shared" si="474"/>
        <v>275.2</v>
      </c>
      <c r="O1116" s="161">
        <f t="shared" si="475"/>
        <v>275.2</v>
      </c>
      <c r="P1116" s="187">
        <f t="shared" si="476"/>
        <v>0</v>
      </c>
      <c r="Q1116" s="161">
        <f t="shared" si="477"/>
        <v>0</v>
      </c>
      <c r="R1116" s="85"/>
      <c r="S1116" s="86">
        <f t="shared" si="478"/>
        <v>37</v>
      </c>
      <c r="T1116" s="87">
        <f t="shared" si="473"/>
        <v>-5</v>
      </c>
      <c r="U1116">
        <f>5+32</f>
        <v>37</v>
      </c>
    </row>
    <row r="1117" spans="2:31" ht="20.100000000000001" hidden="1" customHeight="1">
      <c r="B1117" s="77">
        <v>9</v>
      </c>
      <c r="C1117" s="78" t="s">
        <v>1693</v>
      </c>
      <c r="D1117" s="79" t="s">
        <v>2085</v>
      </c>
      <c r="E1117" s="80" t="s">
        <v>2086</v>
      </c>
      <c r="F1117" s="81">
        <v>147.94999999999999</v>
      </c>
      <c r="G1117" s="222">
        <v>2</v>
      </c>
      <c r="H1117" s="186"/>
      <c r="I1117" s="186"/>
      <c r="J1117" s="308"/>
      <c r="K1117" s="227"/>
      <c r="L1117" s="82">
        <f t="shared" si="479"/>
        <v>2</v>
      </c>
      <c r="M1117" s="331">
        <v>2</v>
      </c>
      <c r="N1117" s="161">
        <f t="shared" si="474"/>
        <v>295.89999999999998</v>
      </c>
      <c r="O1117" s="161">
        <f t="shared" si="475"/>
        <v>295.89999999999998</v>
      </c>
      <c r="P1117" s="187">
        <f t="shared" si="476"/>
        <v>0</v>
      </c>
      <c r="Q1117" s="161">
        <f t="shared" si="477"/>
        <v>0</v>
      </c>
      <c r="R1117" s="85"/>
      <c r="S1117" s="86">
        <f t="shared" si="478"/>
        <v>2</v>
      </c>
      <c r="T1117" s="87">
        <f t="shared" si="473"/>
        <v>0</v>
      </c>
      <c r="U1117">
        <f>1+1</f>
        <v>2</v>
      </c>
      <c r="V1117" s="88" t="s">
        <v>45</v>
      </c>
      <c r="AD1117" s="17">
        <f>M1117</f>
        <v>2</v>
      </c>
      <c r="AE1117">
        <f>AD1117*F1117</f>
        <v>295.89999999999998</v>
      </c>
    </row>
    <row r="1118" spans="2:31" ht="20.100000000000001" hidden="1" customHeight="1">
      <c r="B1118" s="77">
        <v>9</v>
      </c>
      <c r="C1118" s="78" t="s">
        <v>1693</v>
      </c>
      <c r="D1118" s="79" t="s">
        <v>2087</v>
      </c>
      <c r="E1118" s="80" t="s">
        <v>2088</v>
      </c>
      <c r="F1118" s="81">
        <v>12.59</v>
      </c>
      <c r="G1118" s="222">
        <v>6</v>
      </c>
      <c r="H1118" s="186"/>
      <c r="I1118" s="186"/>
      <c r="J1118" s="308"/>
      <c r="K1118" s="227"/>
      <c r="L1118" s="82">
        <f t="shared" si="479"/>
        <v>6</v>
      </c>
      <c r="M1118" s="331">
        <v>6</v>
      </c>
      <c r="N1118" s="161">
        <f t="shared" si="474"/>
        <v>75.539999999999992</v>
      </c>
      <c r="O1118" s="161">
        <f t="shared" si="475"/>
        <v>75.539999999999992</v>
      </c>
      <c r="P1118" s="187">
        <f t="shared" si="476"/>
        <v>0</v>
      </c>
      <c r="Q1118" s="161">
        <f t="shared" si="477"/>
        <v>0</v>
      </c>
      <c r="R1118" s="85"/>
      <c r="S1118" s="86">
        <f t="shared" si="478"/>
        <v>6</v>
      </c>
      <c r="T1118" s="87">
        <f t="shared" si="473"/>
        <v>0</v>
      </c>
      <c r="U1118">
        <v>6</v>
      </c>
      <c r="V1118" s="88" t="s">
        <v>45</v>
      </c>
      <c r="AD1118" s="17">
        <f>M1118</f>
        <v>6</v>
      </c>
      <c r="AE1118">
        <f>AD1118*F1118</f>
        <v>75.539999999999992</v>
      </c>
    </row>
    <row r="1119" spans="2:31" ht="20.100000000000001" hidden="1" customHeight="1">
      <c r="B1119" s="77">
        <v>9</v>
      </c>
      <c r="C1119" s="78" t="s">
        <v>1693</v>
      </c>
      <c r="D1119" s="79" t="s">
        <v>2089</v>
      </c>
      <c r="E1119" s="80" t="s">
        <v>2090</v>
      </c>
      <c r="F1119" s="81">
        <v>18.62</v>
      </c>
      <c r="G1119" s="222"/>
      <c r="H1119" s="186"/>
      <c r="I1119" s="186"/>
      <c r="J1119" s="308"/>
      <c r="K1119" s="227"/>
      <c r="L1119" s="82">
        <f t="shared" si="479"/>
        <v>0</v>
      </c>
      <c r="M1119" s="331"/>
      <c r="N1119" s="161">
        <f t="shared" si="474"/>
        <v>0</v>
      </c>
      <c r="O1119" s="161">
        <f t="shared" si="475"/>
        <v>0</v>
      </c>
      <c r="P1119" s="187">
        <f t="shared" si="476"/>
        <v>0</v>
      </c>
      <c r="Q1119" s="161">
        <f t="shared" si="477"/>
        <v>0</v>
      </c>
      <c r="R1119" s="85"/>
      <c r="S1119" s="86">
        <f t="shared" si="478"/>
        <v>0</v>
      </c>
      <c r="T1119" s="87">
        <f t="shared" si="473"/>
        <v>0</v>
      </c>
    </row>
    <row r="1120" spans="2:31" ht="20.100000000000001" hidden="1" customHeight="1">
      <c r="B1120" s="77">
        <v>9</v>
      </c>
      <c r="C1120" s="78" t="s">
        <v>1693</v>
      </c>
      <c r="D1120" s="79" t="s">
        <v>2091</v>
      </c>
      <c r="E1120" s="80" t="s">
        <v>2092</v>
      </c>
      <c r="F1120" s="81">
        <v>57.77</v>
      </c>
      <c r="G1120" s="222"/>
      <c r="H1120" s="186"/>
      <c r="I1120" s="186"/>
      <c r="J1120" s="308"/>
      <c r="K1120" s="227"/>
      <c r="L1120" s="82">
        <f t="shared" si="479"/>
        <v>0</v>
      </c>
      <c r="M1120" s="331"/>
      <c r="N1120" s="161">
        <f t="shared" si="474"/>
        <v>0</v>
      </c>
      <c r="O1120" s="161">
        <f t="shared" si="475"/>
        <v>0</v>
      </c>
      <c r="P1120" s="187">
        <f t="shared" si="476"/>
        <v>0</v>
      </c>
      <c r="Q1120" s="161">
        <f t="shared" si="477"/>
        <v>0</v>
      </c>
      <c r="R1120" s="85"/>
      <c r="S1120" s="86">
        <f t="shared" si="478"/>
        <v>0</v>
      </c>
      <c r="T1120" s="87">
        <f t="shared" si="473"/>
        <v>0</v>
      </c>
    </row>
    <row r="1121" spans="2:25" ht="20.100000000000001" hidden="1" customHeight="1">
      <c r="B1121" s="77">
        <v>9</v>
      </c>
      <c r="C1121" s="78" t="s">
        <v>1693</v>
      </c>
      <c r="D1121" s="79" t="s">
        <v>2093</v>
      </c>
      <c r="E1121" s="80" t="s">
        <v>2094</v>
      </c>
      <c r="F1121" s="81">
        <v>61.5</v>
      </c>
      <c r="G1121" s="222">
        <v>45</v>
      </c>
      <c r="H1121" s="186"/>
      <c r="I1121" s="186"/>
      <c r="J1121" s="308"/>
      <c r="K1121" s="227"/>
      <c r="L1121" s="82">
        <f t="shared" si="479"/>
        <v>45</v>
      </c>
      <c r="M1121" s="331">
        <v>45</v>
      </c>
      <c r="N1121" s="161">
        <f t="shared" si="474"/>
        <v>2767.5</v>
      </c>
      <c r="O1121" s="161">
        <f t="shared" si="475"/>
        <v>2767.5</v>
      </c>
      <c r="P1121" s="187">
        <f t="shared" si="476"/>
        <v>0</v>
      </c>
      <c r="Q1121" s="161">
        <f t="shared" si="477"/>
        <v>0</v>
      </c>
      <c r="R1121" s="85"/>
      <c r="S1121" s="86">
        <f t="shared" si="478"/>
        <v>45</v>
      </c>
      <c r="T1121" s="87">
        <f t="shared" si="473"/>
        <v>0</v>
      </c>
      <c r="Y1121">
        <v>45</v>
      </c>
    </row>
    <row r="1122" spans="2:25" ht="20.100000000000001" hidden="1" customHeight="1">
      <c r="B1122" s="77">
        <v>9</v>
      </c>
      <c r="C1122" s="78" t="s">
        <v>1693</v>
      </c>
      <c r="D1122" s="79" t="s">
        <v>2095</v>
      </c>
      <c r="E1122" s="80" t="s">
        <v>2096</v>
      </c>
      <c r="F1122" s="81">
        <v>5.59</v>
      </c>
      <c r="G1122" s="222">
        <v>8</v>
      </c>
      <c r="H1122" s="186"/>
      <c r="I1122" s="186"/>
      <c r="J1122" s="308"/>
      <c r="K1122" s="227">
        <v>5</v>
      </c>
      <c r="L1122" s="82">
        <f t="shared" si="479"/>
        <v>3</v>
      </c>
      <c r="M1122" s="331">
        <v>3</v>
      </c>
      <c r="N1122" s="161">
        <f t="shared" si="474"/>
        <v>16.77</v>
      </c>
      <c r="O1122" s="161">
        <f t="shared" si="475"/>
        <v>16.77</v>
      </c>
      <c r="P1122" s="187">
        <f t="shared" si="476"/>
        <v>0</v>
      </c>
      <c r="Q1122" s="161">
        <f t="shared" si="477"/>
        <v>0</v>
      </c>
      <c r="R1122" s="85"/>
      <c r="S1122" s="86">
        <f t="shared" si="478"/>
        <v>8</v>
      </c>
      <c r="T1122" s="87">
        <f t="shared" si="473"/>
        <v>-5</v>
      </c>
      <c r="U1122">
        <v>8</v>
      </c>
    </row>
    <row r="1123" spans="2:25" ht="20.100000000000001" hidden="1" customHeight="1">
      <c r="B1123" s="77">
        <v>9</v>
      </c>
      <c r="C1123" s="78" t="s">
        <v>1693</v>
      </c>
      <c r="D1123" s="79" t="s">
        <v>2097</v>
      </c>
      <c r="E1123" s="80" t="s">
        <v>2098</v>
      </c>
      <c r="F1123" s="81">
        <v>84.25</v>
      </c>
      <c r="G1123" s="222">
        <v>11</v>
      </c>
      <c r="H1123" s="186"/>
      <c r="I1123" s="186"/>
      <c r="J1123" s="308"/>
      <c r="K1123" s="227"/>
      <c r="L1123" s="82">
        <f t="shared" si="479"/>
        <v>11</v>
      </c>
      <c r="M1123" s="331">
        <v>11</v>
      </c>
      <c r="N1123" s="161">
        <f t="shared" si="474"/>
        <v>926.75</v>
      </c>
      <c r="O1123" s="161">
        <f t="shared" si="475"/>
        <v>926.75</v>
      </c>
      <c r="P1123" s="187">
        <f t="shared" si="476"/>
        <v>0</v>
      </c>
      <c r="Q1123" s="161">
        <f t="shared" si="477"/>
        <v>0</v>
      </c>
      <c r="R1123" s="85"/>
      <c r="S1123" s="86">
        <f t="shared" si="478"/>
        <v>11</v>
      </c>
      <c r="T1123" s="87">
        <f t="shared" si="473"/>
        <v>0</v>
      </c>
      <c r="U1123">
        <v>11</v>
      </c>
    </row>
    <row r="1124" spans="2:25" ht="20.100000000000001" hidden="1" customHeight="1">
      <c r="B1124" s="77">
        <v>9</v>
      </c>
      <c r="C1124" s="78" t="s">
        <v>1693</v>
      </c>
      <c r="D1124" s="79" t="s">
        <v>2099</v>
      </c>
      <c r="E1124" s="80" t="s">
        <v>2100</v>
      </c>
      <c r="F1124" s="81">
        <v>84.25</v>
      </c>
      <c r="G1124" s="222"/>
      <c r="H1124" s="186"/>
      <c r="I1124" s="186"/>
      <c r="J1124" s="308"/>
      <c r="K1124" s="227"/>
      <c r="L1124" s="82">
        <f t="shared" si="479"/>
        <v>0</v>
      </c>
      <c r="M1124" s="331"/>
      <c r="N1124" s="161">
        <f t="shared" si="474"/>
        <v>0</v>
      </c>
      <c r="O1124" s="161">
        <f t="shared" si="475"/>
        <v>0</v>
      </c>
      <c r="P1124" s="187">
        <f t="shared" si="476"/>
        <v>0</v>
      </c>
      <c r="Q1124" s="161">
        <f t="shared" si="477"/>
        <v>0</v>
      </c>
      <c r="R1124" s="85"/>
      <c r="S1124" s="86">
        <f t="shared" si="478"/>
        <v>0</v>
      </c>
      <c r="T1124" s="87">
        <f t="shared" si="473"/>
        <v>0</v>
      </c>
    </row>
    <row r="1125" spans="2:25" ht="20.100000000000001" hidden="1" customHeight="1">
      <c r="B1125" s="77">
        <v>9</v>
      </c>
      <c r="C1125" s="78" t="s">
        <v>1693</v>
      </c>
      <c r="D1125" s="79" t="s">
        <v>2101</v>
      </c>
      <c r="E1125" s="80" t="s">
        <v>2102</v>
      </c>
      <c r="F1125" s="81">
        <v>84.25</v>
      </c>
      <c r="G1125" s="222"/>
      <c r="H1125" s="186"/>
      <c r="I1125" s="186"/>
      <c r="J1125" s="308"/>
      <c r="K1125" s="227"/>
      <c r="L1125" s="82">
        <f t="shared" si="479"/>
        <v>0</v>
      </c>
      <c r="M1125" s="331"/>
      <c r="N1125" s="161">
        <f t="shared" si="474"/>
        <v>0</v>
      </c>
      <c r="O1125" s="161">
        <f t="shared" si="475"/>
        <v>0</v>
      </c>
      <c r="P1125" s="187">
        <f t="shared" si="476"/>
        <v>0</v>
      </c>
      <c r="Q1125" s="161">
        <f t="shared" si="477"/>
        <v>0</v>
      </c>
      <c r="R1125" s="85"/>
      <c r="S1125" s="86">
        <f t="shared" si="478"/>
        <v>0</v>
      </c>
      <c r="T1125" s="87">
        <f t="shared" si="473"/>
        <v>0</v>
      </c>
    </row>
    <row r="1126" spans="2:25" ht="20.100000000000001" hidden="1" customHeight="1">
      <c r="B1126" s="77">
        <v>9</v>
      </c>
      <c r="C1126" s="78" t="s">
        <v>1693</v>
      </c>
      <c r="D1126" s="79" t="s">
        <v>2103</v>
      </c>
      <c r="E1126" s="80" t="s">
        <v>2104</v>
      </c>
      <c r="F1126" s="81">
        <v>61.5</v>
      </c>
      <c r="G1126" s="222">
        <v>65</v>
      </c>
      <c r="H1126" s="186"/>
      <c r="I1126" s="186"/>
      <c r="J1126" s="308"/>
      <c r="K1126" s="227"/>
      <c r="L1126" s="82">
        <f t="shared" si="479"/>
        <v>65</v>
      </c>
      <c r="M1126" s="331">
        <v>65</v>
      </c>
      <c r="N1126" s="161">
        <f t="shared" si="474"/>
        <v>3997.5</v>
      </c>
      <c r="O1126" s="161">
        <f t="shared" si="475"/>
        <v>3997.5</v>
      </c>
      <c r="P1126" s="187">
        <f t="shared" si="476"/>
        <v>0</v>
      </c>
      <c r="Q1126" s="161">
        <f t="shared" si="477"/>
        <v>0</v>
      </c>
      <c r="R1126" s="85"/>
      <c r="S1126" s="86">
        <f t="shared" si="478"/>
        <v>67</v>
      </c>
      <c r="T1126" s="87">
        <f t="shared" si="473"/>
        <v>-2</v>
      </c>
      <c r="U1126">
        <f>65+2</f>
        <v>67</v>
      </c>
    </row>
    <row r="1127" spans="2:25" ht="20.100000000000001" hidden="1" customHeight="1">
      <c r="B1127" s="77">
        <v>9</v>
      </c>
      <c r="C1127" s="78" t="s">
        <v>1693</v>
      </c>
      <c r="D1127" s="79" t="s">
        <v>2105</v>
      </c>
      <c r="E1127" s="80" t="s">
        <v>2106</v>
      </c>
      <c r="F1127" s="81">
        <v>5.25</v>
      </c>
      <c r="G1127" s="222">
        <v>530</v>
      </c>
      <c r="H1127" s="186"/>
      <c r="I1127" s="186"/>
      <c r="J1127" s="308"/>
      <c r="K1127" s="227">
        <v>2</v>
      </c>
      <c r="L1127" s="82">
        <f t="shared" si="479"/>
        <v>528</v>
      </c>
      <c r="M1127" s="331">
        <v>528</v>
      </c>
      <c r="N1127" s="161">
        <f t="shared" si="474"/>
        <v>2772</v>
      </c>
      <c r="O1127" s="161">
        <f t="shared" si="475"/>
        <v>2772</v>
      </c>
      <c r="P1127" s="187">
        <f t="shared" si="476"/>
        <v>0</v>
      </c>
      <c r="Q1127" s="161">
        <f t="shared" si="477"/>
        <v>0</v>
      </c>
      <c r="R1127" s="85"/>
      <c r="S1127" s="86">
        <f t="shared" si="478"/>
        <v>584</v>
      </c>
      <c r="T1127" s="87">
        <f t="shared" si="473"/>
        <v>-56</v>
      </c>
      <c r="U1127">
        <v>224</v>
      </c>
      <c r="Y1127">
        <v>360</v>
      </c>
    </row>
    <row r="1128" spans="2:25" ht="20.100000000000001" hidden="1" customHeight="1">
      <c r="B1128" s="77">
        <v>9</v>
      </c>
      <c r="C1128" s="78" t="s">
        <v>1693</v>
      </c>
      <c r="D1128" s="79" t="s">
        <v>2107</v>
      </c>
      <c r="E1128" s="80" t="s">
        <v>2108</v>
      </c>
      <c r="F1128" s="81">
        <v>57.77</v>
      </c>
      <c r="G1128" s="222">
        <v>115</v>
      </c>
      <c r="H1128" s="186"/>
      <c r="I1128" s="186"/>
      <c r="J1128" s="308"/>
      <c r="K1128" s="227">
        <v>1</v>
      </c>
      <c r="L1128" s="82">
        <f t="shared" ref="L1128:L1193" si="504">G1128+I1128-J1128-K1128+H1128</f>
        <v>114</v>
      </c>
      <c r="M1128" s="331">
        <f>23+91</f>
        <v>114</v>
      </c>
      <c r="N1128" s="161">
        <f t="shared" si="474"/>
        <v>6585.7800000000007</v>
      </c>
      <c r="O1128" s="161">
        <f t="shared" si="475"/>
        <v>6585.7800000000007</v>
      </c>
      <c r="P1128" s="187">
        <f t="shared" si="476"/>
        <v>0</v>
      </c>
      <c r="Q1128" s="161">
        <f t="shared" si="477"/>
        <v>0</v>
      </c>
      <c r="R1128" s="85"/>
      <c r="S1128" s="86">
        <f t="shared" si="478"/>
        <v>114</v>
      </c>
      <c r="T1128" s="87">
        <f t="shared" si="473"/>
        <v>0</v>
      </c>
      <c r="U1128">
        <v>23</v>
      </c>
      <c r="Y1128">
        <v>91</v>
      </c>
    </row>
    <row r="1129" spans="2:25" ht="20.100000000000001" hidden="1" customHeight="1">
      <c r="B1129" s="77">
        <v>9</v>
      </c>
      <c r="C1129" s="78" t="s">
        <v>1693</v>
      </c>
      <c r="D1129" s="79" t="s">
        <v>2109</v>
      </c>
      <c r="E1129" s="80" t="s">
        <v>2110</v>
      </c>
      <c r="F1129" s="81">
        <v>6.63</v>
      </c>
      <c r="G1129" s="222">
        <v>394</v>
      </c>
      <c r="H1129" s="186"/>
      <c r="I1129" s="186"/>
      <c r="J1129" s="308"/>
      <c r="K1129" s="227">
        <v>3</v>
      </c>
      <c r="L1129" s="82">
        <f t="shared" si="504"/>
        <v>391</v>
      </c>
      <c r="M1129" s="331">
        <v>391</v>
      </c>
      <c r="N1129" s="161">
        <f t="shared" si="474"/>
        <v>2592.33</v>
      </c>
      <c r="O1129" s="161">
        <f t="shared" si="475"/>
        <v>2592.33</v>
      </c>
      <c r="P1129" s="187">
        <f t="shared" si="476"/>
        <v>0</v>
      </c>
      <c r="Q1129" s="161">
        <f t="shared" si="477"/>
        <v>0</v>
      </c>
      <c r="R1129" s="85"/>
      <c r="S1129" s="86">
        <f t="shared" si="478"/>
        <v>255</v>
      </c>
      <c r="T1129" s="87">
        <f t="shared" si="473"/>
        <v>136</v>
      </c>
      <c r="U1129">
        <v>255</v>
      </c>
    </row>
    <row r="1130" spans="2:25" ht="20.100000000000001" hidden="1" customHeight="1">
      <c r="B1130" s="77">
        <v>9</v>
      </c>
      <c r="C1130" s="78" t="s">
        <v>1693</v>
      </c>
      <c r="D1130" s="79" t="s">
        <v>2109</v>
      </c>
      <c r="E1130" s="80" t="s">
        <v>2110</v>
      </c>
      <c r="F1130" s="277">
        <v>6.9619999999999997</v>
      </c>
      <c r="G1130" s="222"/>
      <c r="H1130" s="186"/>
      <c r="I1130" s="186">
        <v>12</v>
      </c>
      <c r="J1130" s="308"/>
      <c r="K1130" s="227">
        <v>12</v>
      </c>
      <c r="L1130" s="82">
        <f t="shared" si="504"/>
        <v>0</v>
      </c>
      <c r="M1130" s="331"/>
      <c r="N1130" s="161">
        <f t="shared" si="474"/>
        <v>0</v>
      </c>
      <c r="O1130" s="161">
        <f t="shared" si="475"/>
        <v>0</v>
      </c>
      <c r="P1130" s="187">
        <f t="shared" si="476"/>
        <v>0</v>
      </c>
      <c r="Q1130" s="161">
        <f t="shared" si="477"/>
        <v>0</v>
      </c>
      <c r="R1130" s="85"/>
      <c r="S1130" s="86">
        <f t="shared" si="478"/>
        <v>144</v>
      </c>
      <c r="T1130" s="87">
        <f t="shared" si="473"/>
        <v>-144</v>
      </c>
      <c r="Y1130">
        <v>144</v>
      </c>
    </row>
    <row r="1131" spans="2:25" ht="20.100000000000001" hidden="1" customHeight="1">
      <c r="B1131" s="77">
        <v>9</v>
      </c>
      <c r="C1131" s="78" t="s">
        <v>1693</v>
      </c>
      <c r="D1131" s="79" t="s">
        <v>2109</v>
      </c>
      <c r="E1131" s="80" t="s">
        <v>2110</v>
      </c>
      <c r="F1131" s="81">
        <v>6.97</v>
      </c>
      <c r="G1131" s="222"/>
      <c r="H1131" s="186"/>
      <c r="I1131" s="186"/>
      <c r="J1131" s="308"/>
      <c r="K1131" s="227"/>
      <c r="L1131" s="82">
        <f t="shared" si="504"/>
        <v>0</v>
      </c>
      <c r="M1131" s="331"/>
      <c r="N1131" s="161">
        <f t="shared" si="474"/>
        <v>0</v>
      </c>
      <c r="O1131" s="161">
        <f t="shared" si="475"/>
        <v>0</v>
      </c>
      <c r="P1131" s="187">
        <f t="shared" si="476"/>
        <v>0</v>
      </c>
      <c r="Q1131" s="161">
        <f t="shared" si="477"/>
        <v>0</v>
      </c>
      <c r="R1131" s="85"/>
      <c r="S1131" s="86">
        <f t="shared" si="478"/>
        <v>0</v>
      </c>
      <c r="T1131" s="87">
        <f t="shared" si="473"/>
        <v>0</v>
      </c>
    </row>
    <row r="1132" spans="2:25" ht="20.100000000000001" hidden="1" customHeight="1">
      <c r="B1132" s="77">
        <v>9</v>
      </c>
      <c r="C1132" s="78" t="s">
        <v>1693</v>
      </c>
      <c r="D1132" s="79" t="s">
        <v>2111</v>
      </c>
      <c r="E1132" s="80" t="s">
        <v>2112</v>
      </c>
      <c r="F1132" s="81">
        <v>7.33</v>
      </c>
      <c r="G1132" s="222">
        <v>141</v>
      </c>
      <c r="H1132" s="186"/>
      <c r="I1132" s="186"/>
      <c r="J1132" s="308"/>
      <c r="K1132" s="227"/>
      <c r="L1132" s="82">
        <f t="shared" si="504"/>
        <v>141</v>
      </c>
      <c r="M1132" s="331">
        <v>141</v>
      </c>
      <c r="N1132" s="161">
        <f t="shared" si="474"/>
        <v>1033.53</v>
      </c>
      <c r="O1132" s="161">
        <f t="shared" si="475"/>
        <v>1033.53</v>
      </c>
      <c r="P1132" s="187">
        <f t="shared" si="476"/>
        <v>0</v>
      </c>
      <c r="Q1132" s="161">
        <f t="shared" si="477"/>
        <v>0</v>
      </c>
      <c r="R1132" s="85"/>
      <c r="S1132" s="86">
        <f t="shared" si="478"/>
        <v>150</v>
      </c>
      <c r="T1132" s="87">
        <f t="shared" si="473"/>
        <v>-9</v>
      </c>
      <c r="U1132">
        <v>150</v>
      </c>
    </row>
    <row r="1133" spans="2:25" ht="20.100000000000001" hidden="1" customHeight="1">
      <c r="B1133" s="77">
        <v>9</v>
      </c>
      <c r="C1133" s="78" t="s">
        <v>1693</v>
      </c>
      <c r="D1133" s="79" t="s">
        <v>2111</v>
      </c>
      <c r="E1133" s="80" t="s">
        <v>2112</v>
      </c>
      <c r="F1133" s="81">
        <v>7.71</v>
      </c>
      <c r="G1133" s="222"/>
      <c r="H1133" s="186"/>
      <c r="I1133" s="186"/>
      <c r="J1133" s="308"/>
      <c r="K1133" s="227"/>
      <c r="L1133" s="82">
        <f t="shared" si="504"/>
        <v>0</v>
      </c>
      <c r="M1133" s="331"/>
      <c r="N1133" s="161">
        <f t="shared" si="474"/>
        <v>0</v>
      </c>
      <c r="O1133" s="161">
        <f t="shared" si="475"/>
        <v>0</v>
      </c>
      <c r="P1133" s="187">
        <f t="shared" si="476"/>
        <v>0</v>
      </c>
      <c r="Q1133" s="161">
        <f t="shared" si="477"/>
        <v>0</v>
      </c>
      <c r="R1133" s="85"/>
      <c r="S1133" s="86">
        <f t="shared" si="478"/>
        <v>0</v>
      </c>
      <c r="T1133" s="87">
        <f t="shared" ref="T1133:T1197" si="505">M1133-S1133</f>
        <v>0</v>
      </c>
    </row>
    <row r="1134" spans="2:25" ht="20.100000000000001" hidden="1" customHeight="1">
      <c r="B1134" s="77">
        <v>9</v>
      </c>
      <c r="C1134" s="78" t="s">
        <v>1693</v>
      </c>
      <c r="D1134" s="79" t="s">
        <v>2113</v>
      </c>
      <c r="E1134" s="80" t="s">
        <v>2114</v>
      </c>
      <c r="F1134" s="81">
        <v>5.73</v>
      </c>
      <c r="G1134" s="222"/>
      <c r="H1134" s="186"/>
      <c r="I1134" s="186"/>
      <c r="J1134" s="308"/>
      <c r="K1134" s="227"/>
      <c r="L1134" s="82">
        <f t="shared" si="504"/>
        <v>0</v>
      </c>
      <c r="M1134" s="331"/>
      <c r="N1134" s="161">
        <f t="shared" ref="N1134:N1198" si="506">F1134*L1134</f>
        <v>0</v>
      </c>
      <c r="O1134" s="161">
        <f t="shared" ref="O1134:O1198" si="507">M1134*F1134</f>
        <v>0</v>
      </c>
      <c r="P1134" s="187">
        <f t="shared" ref="P1134:P1198" si="508">L1134-M1134</f>
        <v>0</v>
      </c>
      <c r="Q1134" s="161">
        <f t="shared" ref="Q1134:Q1198" si="509">N1134-O1134</f>
        <v>0</v>
      </c>
      <c r="R1134" s="85"/>
      <c r="S1134" s="86">
        <f t="shared" ref="S1134:S1198" si="510">U1134+Y1134+W1134+AA1134</f>
        <v>0</v>
      </c>
      <c r="T1134" s="87">
        <f t="shared" si="505"/>
        <v>0</v>
      </c>
    </row>
    <row r="1135" spans="2:25" ht="20.100000000000001" hidden="1" customHeight="1">
      <c r="B1135" s="77">
        <v>9</v>
      </c>
      <c r="C1135" s="78" t="s">
        <v>1693</v>
      </c>
      <c r="D1135" s="79" t="s">
        <v>2115</v>
      </c>
      <c r="E1135" s="80" t="s">
        <v>2116</v>
      </c>
      <c r="F1135" s="81">
        <v>5.74</v>
      </c>
      <c r="G1135" s="222">
        <v>2</v>
      </c>
      <c r="H1135" s="186"/>
      <c r="I1135" s="186"/>
      <c r="J1135" s="308"/>
      <c r="K1135" s="227"/>
      <c r="L1135" s="82">
        <f t="shared" si="504"/>
        <v>2</v>
      </c>
      <c r="M1135" s="331">
        <v>2</v>
      </c>
      <c r="N1135" s="161">
        <f t="shared" si="506"/>
        <v>11.48</v>
      </c>
      <c r="O1135" s="161">
        <f t="shared" si="507"/>
        <v>11.48</v>
      </c>
      <c r="P1135" s="187">
        <f t="shared" si="508"/>
        <v>0</v>
      </c>
      <c r="Q1135" s="161">
        <f t="shared" si="509"/>
        <v>0</v>
      </c>
      <c r="R1135" s="85"/>
      <c r="S1135" s="86">
        <f t="shared" si="510"/>
        <v>2</v>
      </c>
      <c r="T1135" s="87">
        <f t="shared" si="505"/>
        <v>0</v>
      </c>
      <c r="U1135">
        <v>2</v>
      </c>
    </row>
    <row r="1136" spans="2:25" ht="20.100000000000001" hidden="1" customHeight="1">
      <c r="B1136" s="77">
        <v>9</v>
      </c>
      <c r="C1136" s="78" t="s">
        <v>1693</v>
      </c>
      <c r="D1136" s="219" t="s">
        <v>4808</v>
      </c>
      <c r="E1136" s="284" t="s">
        <v>4753</v>
      </c>
      <c r="F1136" s="81">
        <v>220</v>
      </c>
      <c r="G1136" s="222"/>
      <c r="H1136" s="186"/>
      <c r="I1136" s="186">
        <v>1</v>
      </c>
      <c r="J1136" s="308"/>
      <c r="K1136" s="227"/>
      <c r="L1136" s="82">
        <f t="shared" ref="L1136" si="511">G1136+I1136-J1136-K1136+H1136</f>
        <v>1</v>
      </c>
      <c r="M1136" s="331">
        <v>1</v>
      </c>
      <c r="N1136" s="161">
        <f t="shared" ref="N1136" si="512">F1136*L1136</f>
        <v>220</v>
      </c>
      <c r="O1136" s="161">
        <f t="shared" ref="O1136" si="513">M1136*F1136</f>
        <v>220</v>
      </c>
      <c r="P1136" s="187">
        <f t="shared" ref="P1136" si="514">L1136-M1136</f>
        <v>0</v>
      </c>
      <c r="Q1136" s="161">
        <f t="shared" ref="Q1136" si="515">N1136-O1136</f>
        <v>0</v>
      </c>
      <c r="R1136" s="85"/>
      <c r="S1136" s="86">
        <f t="shared" ref="S1136" si="516">U1136+Y1136+W1136+AA1136</f>
        <v>0</v>
      </c>
      <c r="T1136" s="87">
        <f t="shared" ref="T1136" si="517">M1136-S1136</f>
        <v>1</v>
      </c>
    </row>
    <row r="1137" spans="2:31" ht="20.100000000000001" hidden="1" customHeight="1">
      <c r="B1137" s="77">
        <v>9</v>
      </c>
      <c r="C1137" s="78" t="s">
        <v>1693</v>
      </c>
      <c r="D1137" s="79" t="s">
        <v>2117</v>
      </c>
      <c r="E1137" s="80" t="s">
        <v>2118</v>
      </c>
      <c r="F1137" s="81">
        <v>43.23</v>
      </c>
      <c r="G1137" s="222"/>
      <c r="H1137" s="186"/>
      <c r="I1137" s="186"/>
      <c r="J1137" s="308"/>
      <c r="K1137" s="227"/>
      <c r="L1137" s="82">
        <f t="shared" si="504"/>
        <v>0</v>
      </c>
      <c r="M1137" s="331"/>
      <c r="N1137" s="161">
        <f t="shared" si="506"/>
        <v>0</v>
      </c>
      <c r="O1137" s="161">
        <f t="shared" si="507"/>
        <v>0</v>
      </c>
      <c r="P1137" s="187">
        <f t="shared" si="508"/>
        <v>0</v>
      </c>
      <c r="Q1137" s="161">
        <f t="shared" si="509"/>
        <v>0</v>
      </c>
      <c r="R1137" s="85"/>
      <c r="S1137" s="86">
        <f t="shared" si="510"/>
        <v>0</v>
      </c>
      <c r="T1137" s="87">
        <f t="shared" si="505"/>
        <v>0</v>
      </c>
    </row>
    <row r="1138" spans="2:31" ht="20.100000000000001" hidden="1" customHeight="1">
      <c r="B1138" s="77">
        <v>9</v>
      </c>
      <c r="C1138" s="78" t="s">
        <v>1693</v>
      </c>
      <c r="D1138" s="79" t="s">
        <v>2119</v>
      </c>
      <c r="E1138" s="80" t="s">
        <v>2120</v>
      </c>
      <c r="F1138" s="81">
        <v>79.42</v>
      </c>
      <c r="G1138" s="222">
        <v>3</v>
      </c>
      <c r="H1138" s="186"/>
      <c r="I1138" s="186"/>
      <c r="J1138" s="308"/>
      <c r="K1138" s="227"/>
      <c r="L1138" s="82">
        <f t="shared" si="504"/>
        <v>3</v>
      </c>
      <c r="M1138" s="331">
        <v>3</v>
      </c>
      <c r="N1138" s="161">
        <f t="shared" si="506"/>
        <v>238.26</v>
      </c>
      <c r="O1138" s="161">
        <f t="shared" si="507"/>
        <v>238.26</v>
      </c>
      <c r="P1138" s="187">
        <f t="shared" si="508"/>
        <v>0</v>
      </c>
      <c r="Q1138" s="161">
        <f t="shared" si="509"/>
        <v>0</v>
      </c>
      <c r="R1138" s="85"/>
      <c r="S1138" s="86">
        <f t="shared" si="510"/>
        <v>3</v>
      </c>
      <c r="T1138" s="87">
        <f t="shared" si="505"/>
        <v>0</v>
      </c>
      <c r="U1138">
        <v>2</v>
      </c>
      <c r="AA1138">
        <v>1</v>
      </c>
      <c r="AB1138" s="88" t="s">
        <v>1032</v>
      </c>
      <c r="AD1138">
        <f>AA1138</f>
        <v>1</v>
      </c>
      <c r="AE1138">
        <f>AD1138*F1138</f>
        <v>79.42</v>
      </c>
    </row>
    <row r="1139" spans="2:31" ht="20.100000000000001" hidden="1" customHeight="1">
      <c r="B1139" s="77">
        <v>9</v>
      </c>
      <c r="C1139" s="78" t="s">
        <v>1693</v>
      </c>
      <c r="D1139" s="79" t="s">
        <v>2121</v>
      </c>
      <c r="E1139" s="80" t="s">
        <v>2122</v>
      </c>
      <c r="F1139" s="81">
        <v>14.81</v>
      </c>
      <c r="G1139" s="222">
        <v>2</v>
      </c>
      <c r="H1139" s="186"/>
      <c r="I1139" s="186"/>
      <c r="J1139" s="308"/>
      <c r="K1139" s="227"/>
      <c r="L1139" s="82">
        <f t="shared" si="504"/>
        <v>2</v>
      </c>
      <c r="M1139" s="331">
        <v>2</v>
      </c>
      <c r="N1139" s="161">
        <f t="shared" si="506"/>
        <v>29.62</v>
      </c>
      <c r="O1139" s="161">
        <f t="shared" si="507"/>
        <v>29.62</v>
      </c>
      <c r="P1139" s="187">
        <f t="shared" si="508"/>
        <v>0</v>
      </c>
      <c r="Q1139" s="161">
        <f t="shared" si="509"/>
        <v>0</v>
      </c>
      <c r="R1139" s="85"/>
      <c r="S1139" s="86">
        <f t="shared" si="510"/>
        <v>2</v>
      </c>
      <c r="T1139" s="87">
        <f t="shared" si="505"/>
        <v>0</v>
      </c>
      <c r="AA1139">
        <v>2</v>
      </c>
      <c r="AB1139" s="88" t="s">
        <v>2123</v>
      </c>
      <c r="AD1139">
        <f>AA1139</f>
        <v>2</v>
      </c>
      <c r="AE1139">
        <f>AD1139*F1139</f>
        <v>29.62</v>
      </c>
    </row>
    <row r="1140" spans="2:31" ht="20.100000000000001" hidden="1" customHeight="1">
      <c r="B1140" s="77">
        <v>9</v>
      </c>
      <c r="C1140" s="78" t="s">
        <v>1693</v>
      </c>
      <c r="D1140" s="79" t="s">
        <v>2124</v>
      </c>
      <c r="E1140" s="80" t="s">
        <v>2125</v>
      </c>
      <c r="F1140" s="81">
        <v>24.04</v>
      </c>
      <c r="G1140" s="222"/>
      <c r="H1140" s="186"/>
      <c r="I1140" s="186"/>
      <c r="J1140" s="308"/>
      <c r="K1140" s="227"/>
      <c r="L1140" s="82">
        <f t="shared" si="504"/>
        <v>0</v>
      </c>
      <c r="M1140" s="331"/>
      <c r="N1140" s="161">
        <f t="shared" si="506"/>
        <v>0</v>
      </c>
      <c r="O1140" s="161">
        <f t="shared" si="507"/>
        <v>0</v>
      </c>
      <c r="P1140" s="187">
        <f t="shared" si="508"/>
        <v>0</v>
      </c>
      <c r="Q1140" s="161">
        <f t="shared" si="509"/>
        <v>0</v>
      </c>
      <c r="R1140" s="85"/>
      <c r="S1140" s="86">
        <f t="shared" si="510"/>
        <v>0</v>
      </c>
      <c r="T1140" s="87">
        <f t="shared" si="505"/>
        <v>0</v>
      </c>
    </row>
    <row r="1141" spans="2:31" ht="20.100000000000001" hidden="1" customHeight="1">
      <c r="B1141" s="77">
        <v>9</v>
      </c>
      <c r="C1141" s="78" t="s">
        <v>1693</v>
      </c>
      <c r="D1141" s="79" t="s">
        <v>2126</v>
      </c>
      <c r="E1141" s="80" t="s">
        <v>2127</v>
      </c>
      <c r="F1141" s="81">
        <v>30.24</v>
      </c>
      <c r="G1141" s="222"/>
      <c r="H1141" s="186"/>
      <c r="I1141" s="186"/>
      <c r="J1141" s="308"/>
      <c r="K1141" s="227"/>
      <c r="L1141" s="82">
        <f t="shared" si="504"/>
        <v>0</v>
      </c>
      <c r="M1141" s="331"/>
      <c r="N1141" s="161">
        <f t="shared" si="506"/>
        <v>0</v>
      </c>
      <c r="O1141" s="161">
        <f t="shared" si="507"/>
        <v>0</v>
      </c>
      <c r="P1141" s="187">
        <f t="shared" si="508"/>
        <v>0</v>
      </c>
      <c r="Q1141" s="161">
        <f t="shared" si="509"/>
        <v>0</v>
      </c>
      <c r="R1141" s="85"/>
      <c r="S1141" s="86">
        <f t="shared" si="510"/>
        <v>0</v>
      </c>
      <c r="T1141" s="87">
        <f t="shared" si="505"/>
        <v>0</v>
      </c>
    </row>
    <row r="1142" spans="2:31" ht="20.100000000000001" hidden="1" customHeight="1">
      <c r="B1142" s="77">
        <v>9</v>
      </c>
      <c r="C1142" s="78" t="s">
        <v>1693</v>
      </c>
      <c r="D1142" s="79" t="s">
        <v>2128</v>
      </c>
      <c r="E1142" s="80" t="s">
        <v>2129</v>
      </c>
      <c r="F1142" s="81">
        <v>58.77</v>
      </c>
      <c r="G1142" s="222"/>
      <c r="H1142" s="186"/>
      <c r="I1142" s="186"/>
      <c r="J1142" s="308"/>
      <c r="K1142" s="227"/>
      <c r="L1142" s="82">
        <f t="shared" si="504"/>
        <v>0</v>
      </c>
      <c r="M1142" s="331"/>
      <c r="N1142" s="161">
        <f t="shared" si="506"/>
        <v>0</v>
      </c>
      <c r="O1142" s="161">
        <f t="shared" si="507"/>
        <v>0</v>
      </c>
      <c r="P1142" s="187">
        <f t="shared" si="508"/>
        <v>0</v>
      </c>
      <c r="Q1142" s="161">
        <f t="shared" si="509"/>
        <v>0</v>
      </c>
      <c r="R1142" s="85"/>
      <c r="S1142" s="86">
        <f t="shared" si="510"/>
        <v>0</v>
      </c>
      <c r="T1142" s="87">
        <f t="shared" si="505"/>
        <v>0</v>
      </c>
    </row>
    <row r="1143" spans="2:31" ht="20.100000000000001" hidden="1" customHeight="1">
      <c r="B1143" s="77">
        <v>9</v>
      </c>
      <c r="C1143" s="78" t="s">
        <v>1693</v>
      </c>
      <c r="D1143" s="79" t="s">
        <v>2130</v>
      </c>
      <c r="E1143" s="80" t="s">
        <v>2131</v>
      </c>
      <c r="F1143" s="81">
        <v>6.68</v>
      </c>
      <c r="G1143" s="222"/>
      <c r="H1143" s="186"/>
      <c r="I1143" s="186"/>
      <c r="J1143" s="308"/>
      <c r="K1143" s="227"/>
      <c r="L1143" s="82">
        <f t="shared" si="504"/>
        <v>0</v>
      </c>
      <c r="M1143" s="331"/>
      <c r="N1143" s="161">
        <f t="shared" si="506"/>
        <v>0</v>
      </c>
      <c r="O1143" s="161">
        <f t="shared" si="507"/>
        <v>0</v>
      </c>
      <c r="P1143" s="187">
        <f t="shared" si="508"/>
        <v>0</v>
      </c>
      <c r="Q1143" s="161">
        <f t="shared" si="509"/>
        <v>0</v>
      </c>
      <c r="R1143" s="85"/>
      <c r="S1143" s="86">
        <f t="shared" si="510"/>
        <v>0</v>
      </c>
      <c r="T1143" s="87">
        <f t="shared" si="505"/>
        <v>0</v>
      </c>
    </row>
    <row r="1144" spans="2:31" ht="20.100000000000001" hidden="1" customHeight="1">
      <c r="B1144" s="77">
        <v>9</v>
      </c>
      <c r="C1144" s="78" t="s">
        <v>1693</v>
      </c>
      <c r="D1144" s="79" t="s">
        <v>2132</v>
      </c>
      <c r="E1144" s="80" t="s">
        <v>2133</v>
      </c>
      <c r="F1144" s="81">
        <v>29.39</v>
      </c>
      <c r="G1144" s="222"/>
      <c r="H1144" s="186"/>
      <c r="I1144" s="186"/>
      <c r="J1144" s="308"/>
      <c r="K1144" s="227"/>
      <c r="L1144" s="82">
        <f t="shared" si="504"/>
        <v>0</v>
      </c>
      <c r="M1144" s="331"/>
      <c r="N1144" s="161">
        <f t="shared" si="506"/>
        <v>0</v>
      </c>
      <c r="O1144" s="161">
        <f t="shared" si="507"/>
        <v>0</v>
      </c>
      <c r="P1144" s="187">
        <f t="shared" si="508"/>
        <v>0</v>
      </c>
      <c r="Q1144" s="161">
        <f t="shared" si="509"/>
        <v>0</v>
      </c>
      <c r="R1144" s="85"/>
      <c r="S1144" s="86">
        <f t="shared" si="510"/>
        <v>0</v>
      </c>
      <c r="T1144" s="87">
        <f t="shared" si="505"/>
        <v>0</v>
      </c>
    </row>
    <row r="1145" spans="2:31" ht="20.100000000000001" hidden="1" customHeight="1">
      <c r="B1145" s="77">
        <v>9</v>
      </c>
      <c r="C1145" s="78" t="s">
        <v>1693</v>
      </c>
      <c r="D1145" s="79" t="s">
        <v>2134</v>
      </c>
      <c r="E1145" s="80" t="s">
        <v>2135</v>
      </c>
      <c r="F1145" s="81">
        <v>80.150000000000006</v>
      </c>
      <c r="G1145" s="222"/>
      <c r="H1145" s="186"/>
      <c r="I1145" s="186"/>
      <c r="J1145" s="308"/>
      <c r="K1145" s="227"/>
      <c r="L1145" s="82">
        <f t="shared" si="504"/>
        <v>0</v>
      </c>
      <c r="M1145" s="331"/>
      <c r="N1145" s="161">
        <f t="shared" si="506"/>
        <v>0</v>
      </c>
      <c r="O1145" s="161">
        <f t="shared" si="507"/>
        <v>0</v>
      </c>
      <c r="P1145" s="187">
        <f t="shared" si="508"/>
        <v>0</v>
      </c>
      <c r="Q1145" s="161">
        <f t="shared" si="509"/>
        <v>0</v>
      </c>
      <c r="R1145" s="232"/>
      <c r="S1145" s="86">
        <f t="shared" si="510"/>
        <v>0</v>
      </c>
      <c r="T1145" s="87">
        <f t="shared" si="505"/>
        <v>0</v>
      </c>
    </row>
    <row r="1146" spans="2:31" ht="20.100000000000001" hidden="1" customHeight="1">
      <c r="B1146" s="77">
        <v>9</v>
      </c>
      <c r="C1146" s="78" t="s">
        <v>1693</v>
      </c>
      <c r="D1146" s="79" t="s">
        <v>2136</v>
      </c>
      <c r="E1146" s="80" t="s">
        <v>2137</v>
      </c>
      <c r="F1146" s="81">
        <v>55.37</v>
      </c>
      <c r="G1146" s="222"/>
      <c r="H1146" s="186"/>
      <c r="I1146" s="186"/>
      <c r="J1146" s="308"/>
      <c r="K1146" s="227"/>
      <c r="L1146" s="82">
        <f t="shared" si="504"/>
        <v>0</v>
      </c>
      <c r="M1146" s="331"/>
      <c r="N1146" s="161">
        <f t="shared" si="506"/>
        <v>0</v>
      </c>
      <c r="O1146" s="161">
        <f t="shared" si="507"/>
        <v>0</v>
      </c>
      <c r="P1146" s="187">
        <f t="shared" si="508"/>
        <v>0</v>
      </c>
      <c r="Q1146" s="161">
        <f t="shared" si="509"/>
        <v>0</v>
      </c>
      <c r="R1146" s="85"/>
      <c r="S1146" s="86">
        <f t="shared" si="510"/>
        <v>1</v>
      </c>
      <c r="T1146" s="87">
        <f t="shared" si="505"/>
        <v>-1</v>
      </c>
      <c r="U1146">
        <v>1</v>
      </c>
    </row>
    <row r="1147" spans="2:31" ht="20.100000000000001" hidden="1" customHeight="1">
      <c r="B1147" s="77">
        <v>9</v>
      </c>
      <c r="C1147" s="78" t="s">
        <v>1693</v>
      </c>
      <c r="D1147" s="79" t="s">
        <v>2138</v>
      </c>
      <c r="E1147" s="80" t="s">
        <v>2139</v>
      </c>
      <c r="F1147" s="81">
        <v>42.26</v>
      </c>
      <c r="G1147" s="222"/>
      <c r="H1147" s="186"/>
      <c r="I1147" s="186"/>
      <c r="J1147" s="308"/>
      <c r="K1147" s="227"/>
      <c r="L1147" s="82">
        <f t="shared" si="504"/>
        <v>0</v>
      </c>
      <c r="M1147" s="331"/>
      <c r="N1147" s="161">
        <f t="shared" si="506"/>
        <v>0</v>
      </c>
      <c r="O1147" s="161">
        <f t="shared" si="507"/>
        <v>0</v>
      </c>
      <c r="P1147" s="187">
        <f t="shared" si="508"/>
        <v>0</v>
      </c>
      <c r="Q1147" s="161">
        <f t="shared" si="509"/>
        <v>0</v>
      </c>
      <c r="R1147" s="85"/>
      <c r="S1147" s="86">
        <f t="shared" si="510"/>
        <v>0</v>
      </c>
      <c r="T1147" s="87">
        <f t="shared" si="505"/>
        <v>0</v>
      </c>
    </row>
    <row r="1148" spans="2:31" ht="20.100000000000001" hidden="1" customHeight="1">
      <c r="B1148" s="77">
        <v>9</v>
      </c>
      <c r="C1148" s="78" t="s">
        <v>1693</v>
      </c>
      <c r="D1148" s="79" t="s">
        <v>2140</v>
      </c>
      <c r="E1148" s="80" t="s">
        <v>2141</v>
      </c>
      <c r="F1148" s="81">
        <v>5.79</v>
      </c>
      <c r="G1148" s="222">
        <v>2</v>
      </c>
      <c r="H1148" s="186"/>
      <c r="I1148" s="186"/>
      <c r="J1148" s="308"/>
      <c r="K1148" s="227"/>
      <c r="L1148" s="82">
        <f t="shared" si="504"/>
        <v>2</v>
      </c>
      <c r="M1148" s="331">
        <v>2</v>
      </c>
      <c r="N1148" s="161">
        <f t="shared" si="506"/>
        <v>11.58</v>
      </c>
      <c r="O1148" s="161">
        <f t="shared" si="507"/>
        <v>11.58</v>
      </c>
      <c r="P1148" s="187">
        <f t="shared" si="508"/>
        <v>0</v>
      </c>
      <c r="Q1148" s="161">
        <f t="shared" si="509"/>
        <v>0</v>
      </c>
      <c r="R1148" s="85"/>
      <c r="S1148" s="86">
        <f t="shared" si="510"/>
        <v>6</v>
      </c>
      <c r="T1148" s="87">
        <f t="shared" si="505"/>
        <v>-4</v>
      </c>
      <c r="U1148">
        <v>4</v>
      </c>
      <c r="AA1148">
        <v>2</v>
      </c>
      <c r="AB1148" t="s">
        <v>888</v>
      </c>
      <c r="AD1148">
        <f>AA1148</f>
        <v>2</v>
      </c>
      <c r="AE1148">
        <f>AD1148*F1148</f>
        <v>11.58</v>
      </c>
    </row>
    <row r="1149" spans="2:31" ht="20.100000000000001" hidden="1" customHeight="1">
      <c r="B1149" s="77">
        <v>9</v>
      </c>
      <c r="C1149" s="78" t="s">
        <v>1693</v>
      </c>
      <c r="D1149" s="79" t="s">
        <v>2142</v>
      </c>
      <c r="E1149" s="80" t="s">
        <v>2143</v>
      </c>
      <c r="F1149" s="81">
        <v>4.7</v>
      </c>
      <c r="G1149" s="222">
        <v>15</v>
      </c>
      <c r="H1149" s="186"/>
      <c r="I1149" s="186"/>
      <c r="J1149" s="308"/>
      <c r="K1149" s="227"/>
      <c r="L1149" s="82">
        <f t="shared" si="504"/>
        <v>15</v>
      </c>
      <c r="M1149" s="331">
        <v>15</v>
      </c>
      <c r="N1149" s="161">
        <f t="shared" si="506"/>
        <v>70.5</v>
      </c>
      <c r="O1149" s="161">
        <f t="shared" si="507"/>
        <v>70.5</v>
      </c>
      <c r="P1149" s="187">
        <f t="shared" si="508"/>
        <v>0</v>
      </c>
      <c r="Q1149" s="161">
        <f t="shared" si="509"/>
        <v>0</v>
      </c>
      <c r="R1149" s="85"/>
      <c r="S1149" s="86">
        <f t="shared" si="510"/>
        <v>0</v>
      </c>
      <c r="T1149" s="87">
        <f t="shared" si="505"/>
        <v>15</v>
      </c>
    </row>
    <row r="1150" spans="2:31" ht="20.100000000000001" hidden="1" customHeight="1">
      <c r="B1150" s="77">
        <v>9</v>
      </c>
      <c r="C1150" s="78" t="s">
        <v>1693</v>
      </c>
      <c r="D1150" s="79" t="s">
        <v>2144</v>
      </c>
      <c r="E1150" s="80" t="s">
        <v>2145</v>
      </c>
      <c r="F1150" s="81">
        <v>6.73</v>
      </c>
      <c r="G1150" s="222">
        <v>30</v>
      </c>
      <c r="H1150" s="186"/>
      <c r="I1150" s="186"/>
      <c r="J1150" s="308"/>
      <c r="K1150" s="227">
        <v>4</v>
      </c>
      <c r="L1150" s="82">
        <f t="shared" si="504"/>
        <v>26</v>
      </c>
      <c r="M1150" s="331">
        <v>26</v>
      </c>
      <c r="N1150" s="161">
        <f t="shared" si="506"/>
        <v>174.98000000000002</v>
      </c>
      <c r="O1150" s="161">
        <f t="shared" si="507"/>
        <v>174.98000000000002</v>
      </c>
      <c r="P1150" s="187">
        <f t="shared" si="508"/>
        <v>0</v>
      </c>
      <c r="Q1150" s="161">
        <f t="shared" si="509"/>
        <v>0</v>
      </c>
      <c r="R1150" s="85"/>
      <c r="S1150" s="86">
        <f t="shared" si="510"/>
        <v>33</v>
      </c>
      <c r="T1150" s="87">
        <f t="shared" si="505"/>
        <v>-7</v>
      </c>
      <c r="U1150">
        <v>33</v>
      </c>
    </row>
    <row r="1151" spans="2:31" ht="20.100000000000001" hidden="1" customHeight="1">
      <c r="B1151" s="77">
        <v>9</v>
      </c>
      <c r="C1151" s="78" t="s">
        <v>1693</v>
      </c>
      <c r="D1151" s="79" t="s">
        <v>2144</v>
      </c>
      <c r="E1151" s="80" t="s">
        <v>2145</v>
      </c>
      <c r="F1151" s="81">
        <v>6.73</v>
      </c>
      <c r="G1151" s="222"/>
      <c r="H1151" s="186"/>
      <c r="I1151" s="186"/>
      <c r="J1151" s="308"/>
      <c r="K1151" s="227"/>
      <c r="L1151" s="82">
        <f t="shared" si="504"/>
        <v>0</v>
      </c>
      <c r="M1151" s="331"/>
      <c r="N1151" s="161">
        <f t="shared" si="506"/>
        <v>0</v>
      </c>
      <c r="O1151" s="161">
        <f t="shared" si="507"/>
        <v>0</v>
      </c>
      <c r="P1151" s="187">
        <f t="shared" si="508"/>
        <v>0</v>
      </c>
      <c r="Q1151" s="161">
        <f t="shared" si="509"/>
        <v>0</v>
      </c>
      <c r="R1151" s="85"/>
      <c r="S1151" s="86">
        <f t="shared" si="510"/>
        <v>0</v>
      </c>
      <c r="T1151" s="87">
        <f t="shared" si="505"/>
        <v>0</v>
      </c>
    </row>
    <row r="1152" spans="2:31" ht="20.100000000000001" hidden="1" customHeight="1">
      <c r="B1152" s="77">
        <v>9</v>
      </c>
      <c r="C1152" s="78" t="s">
        <v>1693</v>
      </c>
      <c r="D1152" s="79" t="s">
        <v>2146</v>
      </c>
      <c r="E1152" s="80" t="s">
        <v>2147</v>
      </c>
      <c r="F1152" s="81">
        <v>64.97</v>
      </c>
      <c r="G1152" s="222"/>
      <c r="H1152" s="186"/>
      <c r="I1152" s="186"/>
      <c r="J1152" s="308"/>
      <c r="K1152" s="227"/>
      <c r="L1152" s="82">
        <f t="shared" si="504"/>
        <v>0</v>
      </c>
      <c r="M1152" s="331"/>
      <c r="N1152" s="161">
        <f t="shared" si="506"/>
        <v>0</v>
      </c>
      <c r="O1152" s="161">
        <f t="shared" si="507"/>
        <v>0</v>
      </c>
      <c r="P1152" s="187">
        <f t="shared" si="508"/>
        <v>0</v>
      </c>
      <c r="Q1152" s="161">
        <f t="shared" si="509"/>
        <v>0</v>
      </c>
      <c r="R1152" s="85"/>
      <c r="S1152" s="86">
        <f t="shared" si="510"/>
        <v>0</v>
      </c>
      <c r="T1152" s="87">
        <f t="shared" si="505"/>
        <v>0</v>
      </c>
    </row>
    <row r="1153" spans="2:31" ht="20.100000000000001" hidden="1" customHeight="1">
      <c r="B1153" s="77">
        <v>9</v>
      </c>
      <c r="C1153" s="78" t="s">
        <v>1693</v>
      </c>
      <c r="D1153" s="79" t="s">
        <v>2148</v>
      </c>
      <c r="E1153" s="80" t="s">
        <v>2149</v>
      </c>
      <c r="F1153" s="81">
        <v>6.6</v>
      </c>
      <c r="G1153" s="222">
        <v>26</v>
      </c>
      <c r="H1153" s="186"/>
      <c r="I1153" s="186"/>
      <c r="J1153" s="308"/>
      <c r="K1153" s="227"/>
      <c r="L1153" s="82">
        <f t="shared" si="504"/>
        <v>26</v>
      </c>
      <c r="M1153" s="331">
        <v>26</v>
      </c>
      <c r="N1153" s="161">
        <f t="shared" si="506"/>
        <v>171.6</v>
      </c>
      <c r="O1153" s="161">
        <f t="shared" si="507"/>
        <v>171.6</v>
      </c>
      <c r="P1153" s="187">
        <f t="shared" si="508"/>
        <v>0</v>
      </c>
      <c r="Q1153" s="161">
        <f t="shared" si="509"/>
        <v>0</v>
      </c>
      <c r="R1153" s="85" t="s">
        <v>2150</v>
      </c>
      <c r="S1153" s="86">
        <f t="shared" si="510"/>
        <v>27</v>
      </c>
      <c r="T1153" s="87">
        <f t="shared" si="505"/>
        <v>-1</v>
      </c>
      <c r="U1153">
        <f>26+1</f>
        <v>27</v>
      </c>
      <c r="V1153" s="88" t="s">
        <v>2151</v>
      </c>
      <c r="AD1153">
        <v>1</v>
      </c>
      <c r="AE1153">
        <f>AD1153*F1153</f>
        <v>6.6</v>
      </c>
    </row>
    <row r="1154" spans="2:31" ht="20.100000000000001" hidden="1" customHeight="1">
      <c r="B1154" s="77">
        <v>9</v>
      </c>
      <c r="C1154" s="78" t="s">
        <v>1693</v>
      </c>
      <c r="D1154" s="79" t="s">
        <v>2152</v>
      </c>
      <c r="E1154" s="80" t="s">
        <v>2153</v>
      </c>
      <c r="F1154" s="81">
        <v>6.6</v>
      </c>
      <c r="G1154" s="222">
        <v>10</v>
      </c>
      <c r="H1154" s="186"/>
      <c r="I1154" s="186"/>
      <c r="J1154" s="308"/>
      <c r="K1154" s="227"/>
      <c r="L1154" s="82">
        <f t="shared" si="504"/>
        <v>10</v>
      </c>
      <c r="M1154" s="331">
        <v>10</v>
      </c>
      <c r="N1154" s="161">
        <f t="shared" si="506"/>
        <v>66</v>
      </c>
      <c r="O1154" s="161">
        <f t="shared" si="507"/>
        <v>66</v>
      </c>
      <c r="P1154" s="187">
        <f t="shared" si="508"/>
        <v>0</v>
      </c>
      <c r="Q1154" s="161">
        <f t="shared" si="509"/>
        <v>0</v>
      </c>
      <c r="R1154" s="232"/>
      <c r="S1154" s="86">
        <f t="shared" si="510"/>
        <v>11</v>
      </c>
      <c r="T1154" s="87">
        <f t="shared" si="505"/>
        <v>-1</v>
      </c>
      <c r="U1154">
        <f>3+8</f>
        <v>11</v>
      </c>
      <c r="V1154" s="88" t="s">
        <v>2154</v>
      </c>
      <c r="AD1154">
        <v>8</v>
      </c>
      <c r="AE1154" s="89">
        <f>AD1154*F1154</f>
        <v>52.8</v>
      </c>
    </row>
    <row r="1155" spans="2:31" ht="20.100000000000001" hidden="1" customHeight="1">
      <c r="B1155" s="77">
        <v>9</v>
      </c>
      <c r="C1155" s="78" t="s">
        <v>1693</v>
      </c>
      <c r="D1155" s="79" t="s">
        <v>2155</v>
      </c>
      <c r="E1155" s="80" t="s">
        <v>2156</v>
      </c>
      <c r="F1155" s="81">
        <v>6.73</v>
      </c>
      <c r="G1155" s="222">
        <v>21</v>
      </c>
      <c r="H1155" s="186"/>
      <c r="I1155" s="186"/>
      <c r="J1155" s="308"/>
      <c r="K1155" s="227"/>
      <c r="L1155" s="82">
        <f t="shared" si="504"/>
        <v>21</v>
      </c>
      <c r="M1155" s="331">
        <v>21</v>
      </c>
      <c r="N1155" s="161">
        <f t="shared" si="506"/>
        <v>141.33000000000001</v>
      </c>
      <c r="O1155" s="161">
        <f t="shared" si="507"/>
        <v>141.33000000000001</v>
      </c>
      <c r="P1155" s="187">
        <f t="shared" si="508"/>
        <v>0</v>
      </c>
      <c r="Q1155" s="161">
        <f t="shared" si="509"/>
        <v>0</v>
      </c>
      <c r="R1155" s="85"/>
      <c r="S1155" s="86">
        <f t="shared" si="510"/>
        <v>23</v>
      </c>
      <c r="T1155" s="87">
        <f t="shared" si="505"/>
        <v>-2</v>
      </c>
      <c r="U1155">
        <f>4+19</f>
        <v>23</v>
      </c>
    </row>
    <row r="1156" spans="2:31" ht="20.100000000000001" customHeight="1">
      <c r="B1156" s="77">
        <v>9</v>
      </c>
      <c r="C1156" s="78" t="s">
        <v>1693</v>
      </c>
      <c r="D1156" s="79" t="s">
        <v>2157</v>
      </c>
      <c r="E1156" s="80" t="s">
        <v>2158</v>
      </c>
      <c r="F1156" s="81">
        <v>6.73</v>
      </c>
      <c r="G1156" s="222">
        <v>29</v>
      </c>
      <c r="H1156" s="186"/>
      <c r="I1156" s="186"/>
      <c r="J1156" s="308"/>
      <c r="K1156" s="227"/>
      <c r="L1156" s="82">
        <f t="shared" si="504"/>
        <v>29</v>
      </c>
      <c r="M1156" s="331">
        <f>12+16</f>
        <v>28</v>
      </c>
      <c r="N1156" s="161">
        <f t="shared" si="506"/>
        <v>195.17000000000002</v>
      </c>
      <c r="O1156" s="161">
        <f t="shared" si="507"/>
        <v>188.44</v>
      </c>
      <c r="P1156" s="187">
        <f t="shared" si="508"/>
        <v>1</v>
      </c>
      <c r="Q1156" s="161">
        <f t="shared" si="509"/>
        <v>6.7300000000000182</v>
      </c>
      <c r="R1156" s="85"/>
      <c r="S1156" s="86">
        <f t="shared" si="510"/>
        <v>35</v>
      </c>
      <c r="T1156" s="87">
        <f t="shared" si="505"/>
        <v>-7</v>
      </c>
      <c r="U1156">
        <f>17+18</f>
        <v>35</v>
      </c>
    </row>
    <row r="1157" spans="2:31" ht="20.100000000000001" hidden="1" customHeight="1">
      <c r="B1157" s="77">
        <v>9</v>
      </c>
      <c r="C1157" s="78" t="s">
        <v>1693</v>
      </c>
      <c r="D1157" s="79" t="s">
        <v>2159</v>
      </c>
      <c r="E1157" s="80" t="s">
        <v>2160</v>
      </c>
      <c r="F1157" s="81">
        <v>64.98</v>
      </c>
      <c r="G1157" s="222"/>
      <c r="H1157" s="186"/>
      <c r="I1157" s="186"/>
      <c r="J1157" s="308"/>
      <c r="K1157" s="227"/>
      <c r="L1157" s="82">
        <f t="shared" si="504"/>
        <v>0</v>
      </c>
      <c r="M1157" s="331"/>
      <c r="N1157" s="161">
        <f t="shared" si="506"/>
        <v>0</v>
      </c>
      <c r="O1157" s="161">
        <f t="shared" si="507"/>
        <v>0</v>
      </c>
      <c r="P1157" s="187">
        <f t="shared" si="508"/>
        <v>0</v>
      </c>
      <c r="Q1157" s="161">
        <f t="shared" si="509"/>
        <v>0</v>
      </c>
      <c r="R1157" s="85"/>
      <c r="S1157" s="86">
        <f t="shared" si="510"/>
        <v>1</v>
      </c>
      <c r="T1157" s="87">
        <f t="shared" si="505"/>
        <v>-1</v>
      </c>
      <c r="U1157">
        <v>1</v>
      </c>
    </row>
    <row r="1158" spans="2:31" ht="20.100000000000001" hidden="1" customHeight="1">
      <c r="B1158" s="77">
        <v>9</v>
      </c>
      <c r="C1158" s="78" t="s">
        <v>1693</v>
      </c>
      <c r="D1158" s="219" t="s">
        <v>4807</v>
      </c>
      <c r="E1158" s="276" t="s">
        <v>4752</v>
      </c>
      <c r="F1158" s="277">
        <v>50.086399999999998</v>
      </c>
      <c r="G1158" s="222"/>
      <c r="H1158" s="186"/>
      <c r="I1158" s="186">
        <v>1</v>
      </c>
      <c r="J1158" s="308"/>
      <c r="K1158" s="227"/>
      <c r="L1158" s="82">
        <f t="shared" ref="L1158" si="518">G1158+I1158-J1158-K1158+H1158</f>
        <v>1</v>
      </c>
      <c r="M1158" s="331">
        <v>1</v>
      </c>
      <c r="N1158" s="161">
        <f t="shared" ref="N1158" si="519">F1158*L1158</f>
        <v>50.086399999999998</v>
      </c>
      <c r="O1158" s="161">
        <f t="shared" ref="O1158" si="520">M1158*F1158</f>
        <v>50.086399999999998</v>
      </c>
      <c r="P1158" s="187">
        <f t="shared" ref="P1158" si="521">L1158-M1158</f>
        <v>0</v>
      </c>
      <c r="Q1158" s="161">
        <f t="shared" ref="Q1158" si="522">N1158-O1158</f>
        <v>0</v>
      </c>
      <c r="R1158" s="85"/>
      <c r="S1158" s="86">
        <f t="shared" ref="S1158" si="523">U1158+Y1158+W1158+AA1158</f>
        <v>1</v>
      </c>
      <c r="T1158" s="87">
        <f t="shared" ref="T1158" si="524">M1158-S1158</f>
        <v>0</v>
      </c>
      <c r="U1158">
        <v>1</v>
      </c>
    </row>
    <row r="1159" spans="2:31" ht="20.100000000000001" hidden="1" customHeight="1">
      <c r="B1159" s="77">
        <v>9</v>
      </c>
      <c r="C1159" s="78" t="s">
        <v>1693</v>
      </c>
      <c r="D1159" s="79" t="s">
        <v>2161</v>
      </c>
      <c r="E1159" s="80" t="s">
        <v>2162</v>
      </c>
      <c r="F1159" s="81">
        <v>121.12</v>
      </c>
      <c r="G1159" s="222">
        <v>1</v>
      </c>
      <c r="H1159" s="186"/>
      <c r="I1159" s="186"/>
      <c r="J1159" s="308"/>
      <c r="K1159" s="227"/>
      <c r="L1159" s="82">
        <f t="shared" si="504"/>
        <v>1</v>
      </c>
      <c r="M1159" s="331">
        <v>1</v>
      </c>
      <c r="N1159" s="161">
        <f t="shared" si="506"/>
        <v>121.12</v>
      </c>
      <c r="O1159" s="161">
        <f t="shared" si="507"/>
        <v>121.12</v>
      </c>
      <c r="P1159" s="187">
        <f t="shared" si="508"/>
        <v>0</v>
      </c>
      <c r="Q1159" s="161">
        <f t="shared" si="509"/>
        <v>0</v>
      </c>
      <c r="R1159" s="85"/>
      <c r="S1159" s="86">
        <f t="shared" si="510"/>
        <v>1</v>
      </c>
      <c r="T1159" s="87">
        <f t="shared" si="505"/>
        <v>0</v>
      </c>
      <c r="U1159">
        <v>1</v>
      </c>
    </row>
    <row r="1160" spans="2:31" ht="20.100000000000001" hidden="1" customHeight="1">
      <c r="B1160" s="77">
        <v>9</v>
      </c>
      <c r="C1160" s="78" t="s">
        <v>1693</v>
      </c>
      <c r="D1160" s="79" t="s">
        <v>2163</v>
      </c>
      <c r="E1160" s="80" t="s">
        <v>2164</v>
      </c>
      <c r="F1160" s="81">
        <v>81.39</v>
      </c>
      <c r="G1160" s="222">
        <v>10</v>
      </c>
      <c r="H1160" s="186"/>
      <c r="I1160" s="186"/>
      <c r="J1160" s="308"/>
      <c r="K1160" s="227"/>
      <c r="L1160" s="82">
        <f t="shared" si="504"/>
        <v>10</v>
      </c>
      <c r="M1160" s="331">
        <v>10</v>
      </c>
      <c r="N1160" s="161">
        <f t="shared" si="506"/>
        <v>813.9</v>
      </c>
      <c r="O1160" s="161">
        <f t="shared" si="507"/>
        <v>813.9</v>
      </c>
      <c r="P1160" s="187">
        <f t="shared" si="508"/>
        <v>0</v>
      </c>
      <c r="Q1160" s="161">
        <f t="shared" si="509"/>
        <v>0</v>
      </c>
      <c r="R1160" s="85"/>
      <c r="S1160" s="86">
        <f t="shared" si="510"/>
        <v>10</v>
      </c>
      <c r="T1160" s="87">
        <f t="shared" si="505"/>
        <v>0</v>
      </c>
      <c r="U1160">
        <v>10</v>
      </c>
    </row>
    <row r="1161" spans="2:31" ht="20.100000000000001" hidden="1" customHeight="1">
      <c r="B1161" s="77">
        <v>9</v>
      </c>
      <c r="C1161" s="78" t="s">
        <v>1693</v>
      </c>
      <c r="D1161" s="79" t="s">
        <v>2165</v>
      </c>
      <c r="E1161" s="80" t="s">
        <v>2166</v>
      </c>
      <c r="F1161" s="81">
        <v>75.47</v>
      </c>
      <c r="G1161" s="222">
        <v>1</v>
      </c>
      <c r="H1161" s="186"/>
      <c r="I1161" s="186"/>
      <c r="J1161" s="308"/>
      <c r="K1161" s="227"/>
      <c r="L1161" s="82">
        <f t="shared" si="504"/>
        <v>1</v>
      </c>
      <c r="M1161" s="331">
        <v>1</v>
      </c>
      <c r="N1161" s="161">
        <f t="shared" si="506"/>
        <v>75.47</v>
      </c>
      <c r="O1161" s="161">
        <f t="shared" si="507"/>
        <v>75.47</v>
      </c>
      <c r="P1161" s="187">
        <f t="shared" si="508"/>
        <v>0</v>
      </c>
      <c r="Q1161" s="161">
        <f t="shared" si="509"/>
        <v>0</v>
      </c>
      <c r="R1161" s="85"/>
      <c r="S1161" s="86">
        <f t="shared" si="510"/>
        <v>1</v>
      </c>
      <c r="T1161" s="87">
        <f t="shared" si="505"/>
        <v>0</v>
      </c>
      <c r="Y1161">
        <v>1</v>
      </c>
      <c r="Z1161" s="88" t="s">
        <v>2167</v>
      </c>
      <c r="AD1161">
        <f>Y1161</f>
        <v>1</v>
      </c>
      <c r="AE1161" s="89">
        <f>AD1161*F1161</f>
        <v>75.47</v>
      </c>
    </row>
    <row r="1162" spans="2:31" ht="20.100000000000001" hidden="1" customHeight="1">
      <c r="B1162" s="77">
        <v>9</v>
      </c>
      <c r="C1162" s="78" t="s">
        <v>1693</v>
      </c>
      <c r="D1162" s="79" t="s">
        <v>2168</v>
      </c>
      <c r="E1162" s="80" t="s">
        <v>2169</v>
      </c>
      <c r="F1162" s="81">
        <v>55.86</v>
      </c>
      <c r="G1162" s="222">
        <v>10</v>
      </c>
      <c r="H1162" s="186"/>
      <c r="I1162" s="186"/>
      <c r="J1162" s="308"/>
      <c r="K1162" s="227"/>
      <c r="L1162" s="82">
        <f t="shared" si="504"/>
        <v>10</v>
      </c>
      <c r="M1162" s="331">
        <v>10</v>
      </c>
      <c r="N1162" s="161">
        <f t="shared" si="506"/>
        <v>558.6</v>
      </c>
      <c r="O1162" s="161">
        <f t="shared" si="507"/>
        <v>558.6</v>
      </c>
      <c r="P1162" s="187">
        <f t="shared" si="508"/>
        <v>0</v>
      </c>
      <c r="Q1162" s="161">
        <f t="shared" si="509"/>
        <v>0</v>
      </c>
      <c r="R1162" s="85"/>
      <c r="S1162" s="86">
        <f t="shared" si="510"/>
        <v>10</v>
      </c>
      <c r="T1162" s="87">
        <f t="shared" si="505"/>
        <v>0</v>
      </c>
      <c r="U1162">
        <v>10</v>
      </c>
    </row>
    <row r="1163" spans="2:31" ht="20.100000000000001" hidden="1" customHeight="1">
      <c r="B1163" s="77">
        <v>9</v>
      </c>
      <c r="C1163" s="78" t="s">
        <v>1693</v>
      </c>
      <c r="D1163" s="79" t="s">
        <v>2170</v>
      </c>
      <c r="E1163" s="80" t="s">
        <v>2171</v>
      </c>
      <c r="F1163" s="81">
        <v>47.2</v>
      </c>
      <c r="G1163" s="222">
        <v>39</v>
      </c>
      <c r="H1163" s="186"/>
      <c r="I1163" s="186"/>
      <c r="J1163" s="308"/>
      <c r="K1163" s="227"/>
      <c r="L1163" s="82">
        <f t="shared" si="504"/>
        <v>39</v>
      </c>
      <c r="M1163" s="331">
        <v>39</v>
      </c>
      <c r="N1163" s="161">
        <f t="shared" si="506"/>
        <v>1840.8000000000002</v>
      </c>
      <c r="O1163" s="161">
        <f t="shared" si="507"/>
        <v>1840.8000000000002</v>
      </c>
      <c r="P1163" s="187">
        <f t="shared" si="508"/>
        <v>0</v>
      </c>
      <c r="Q1163" s="161">
        <f t="shared" si="509"/>
        <v>0</v>
      </c>
      <c r="R1163" s="85"/>
      <c r="S1163" s="86">
        <f t="shared" si="510"/>
        <v>40</v>
      </c>
      <c r="T1163" s="87">
        <f t="shared" si="505"/>
        <v>-1</v>
      </c>
      <c r="U1163">
        <v>4</v>
      </c>
      <c r="Y1163">
        <v>36</v>
      </c>
    </row>
    <row r="1164" spans="2:31" ht="20.100000000000001" hidden="1" customHeight="1">
      <c r="B1164" s="77">
        <v>9</v>
      </c>
      <c r="C1164" s="78" t="s">
        <v>1693</v>
      </c>
      <c r="D1164" s="79" t="s">
        <v>2172</v>
      </c>
      <c r="E1164" s="80" t="s">
        <v>2173</v>
      </c>
      <c r="F1164" s="81">
        <v>79.22</v>
      </c>
      <c r="G1164" s="222">
        <v>12</v>
      </c>
      <c r="H1164" s="186"/>
      <c r="I1164" s="186"/>
      <c r="J1164" s="308"/>
      <c r="K1164" s="227"/>
      <c r="L1164" s="82">
        <f t="shared" si="504"/>
        <v>12</v>
      </c>
      <c r="M1164" s="331">
        <v>12</v>
      </c>
      <c r="N1164" s="161">
        <f t="shared" si="506"/>
        <v>950.64</v>
      </c>
      <c r="O1164" s="161">
        <f t="shared" si="507"/>
        <v>950.64</v>
      </c>
      <c r="P1164" s="187">
        <f t="shared" si="508"/>
        <v>0</v>
      </c>
      <c r="Q1164" s="161">
        <f t="shared" si="509"/>
        <v>0</v>
      </c>
      <c r="R1164" s="85"/>
      <c r="S1164" s="86">
        <f t="shared" si="510"/>
        <v>12</v>
      </c>
      <c r="T1164" s="87">
        <f t="shared" si="505"/>
        <v>0</v>
      </c>
      <c r="Y1164">
        <v>12</v>
      </c>
    </row>
    <row r="1165" spans="2:31" ht="20.100000000000001" hidden="1" customHeight="1">
      <c r="B1165" s="77">
        <v>9</v>
      </c>
      <c r="C1165" s="78" t="s">
        <v>1693</v>
      </c>
      <c r="D1165" s="79" t="s">
        <v>2174</v>
      </c>
      <c r="E1165" s="80" t="s">
        <v>2175</v>
      </c>
      <c r="F1165" s="81">
        <v>36.840000000000003</v>
      </c>
      <c r="G1165" s="222">
        <v>23</v>
      </c>
      <c r="H1165" s="186"/>
      <c r="I1165" s="186"/>
      <c r="J1165" s="308"/>
      <c r="K1165" s="227">
        <v>1</v>
      </c>
      <c r="L1165" s="82">
        <f t="shared" si="504"/>
        <v>22</v>
      </c>
      <c r="M1165" s="331">
        <v>22</v>
      </c>
      <c r="N1165" s="161">
        <f t="shared" si="506"/>
        <v>810.48</v>
      </c>
      <c r="O1165" s="161">
        <f t="shared" si="507"/>
        <v>810.48</v>
      </c>
      <c r="P1165" s="187">
        <f t="shared" si="508"/>
        <v>0</v>
      </c>
      <c r="Q1165" s="161">
        <f t="shared" si="509"/>
        <v>0</v>
      </c>
      <c r="R1165" s="85"/>
      <c r="S1165" s="86">
        <f t="shared" si="510"/>
        <v>23</v>
      </c>
      <c r="T1165" s="87">
        <f t="shared" si="505"/>
        <v>-1</v>
      </c>
      <c r="U1165">
        <v>23</v>
      </c>
    </row>
    <row r="1166" spans="2:31" ht="20.100000000000001" hidden="1" customHeight="1">
      <c r="B1166" s="77">
        <v>9</v>
      </c>
      <c r="C1166" s="78" t="s">
        <v>1693</v>
      </c>
      <c r="D1166" s="79" t="s">
        <v>2176</v>
      </c>
      <c r="E1166" s="80" t="s">
        <v>2177</v>
      </c>
      <c r="F1166" s="81">
        <v>180.11</v>
      </c>
      <c r="G1166" s="222">
        <v>6</v>
      </c>
      <c r="H1166" s="186"/>
      <c r="I1166" s="186"/>
      <c r="J1166" s="308"/>
      <c r="K1166" s="227"/>
      <c r="L1166" s="82">
        <f t="shared" si="504"/>
        <v>6</v>
      </c>
      <c r="M1166" s="331">
        <v>6</v>
      </c>
      <c r="N1166" s="161">
        <f t="shared" si="506"/>
        <v>1080.6600000000001</v>
      </c>
      <c r="O1166" s="161">
        <f t="shared" si="507"/>
        <v>1080.6600000000001</v>
      </c>
      <c r="P1166" s="187">
        <f t="shared" si="508"/>
        <v>0</v>
      </c>
      <c r="Q1166" s="161">
        <f t="shared" si="509"/>
        <v>0</v>
      </c>
      <c r="R1166" s="85"/>
      <c r="S1166" s="86">
        <f t="shared" si="510"/>
        <v>6</v>
      </c>
      <c r="T1166" s="87">
        <f t="shared" si="505"/>
        <v>0</v>
      </c>
      <c r="U1166">
        <v>6</v>
      </c>
    </row>
    <row r="1167" spans="2:31" ht="20.100000000000001" hidden="1" customHeight="1">
      <c r="B1167" s="77">
        <v>9</v>
      </c>
      <c r="C1167" s="78" t="s">
        <v>1693</v>
      </c>
      <c r="D1167" s="79" t="s">
        <v>2178</v>
      </c>
      <c r="E1167" s="80" t="s">
        <v>2179</v>
      </c>
      <c r="F1167" s="81">
        <v>61.83</v>
      </c>
      <c r="G1167" s="222"/>
      <c r="H1167" s="186"/>
      <c r="I1167" s="186"/>
      <c r="J1167" s="308"/>
      <c r="K1167" s="227"/>
      <c r="L1167" s="82">
        <f t="shared" si="504"/>
        <v>0</v>
      </c>
      <c r="M1167" s="331">
        <v>0</v>
      </c>
      <c r="N1167" s="161">
        <f t="shared" si="506"/>
        <v>0</v>
      </c>
      <c r="O1167" s="161">
        <f t="shared" si="507"/>
        <v>0</v>
      </c>
      <c r="P1167" s="187">
        <f t="shared" si="508"/>
        <v>0</v>
      </c>
      <c r="Q1167" s="161">
        <f t="shared" si="509"/>
        <v>0</v>
      </c>
      <c r="R1167" s="85" t="s">
        <v>2180</v>
      </c>
      <c r="S1167" s="86">
        <f t="shared" si="510"/>
        <v>0</v>
      </c>
      <c r="T1167" s="87">
        <f t="shared" si="505"/>
        <v>0</v>
      </c>
    </row>
    <row r="1168" spans="2:31" ht="20.100000000000001" hidden="1" customHeight="1">
      <c r="B1168" s="77">
        <v>9</v>
      </c>
      <c r="C1168" s="78" t="s">
        <v>1693</v>
      </c>
      <c r="D1168" s="79" t="s">
        <v>2181</v>
      </c>
      <c r="E1168" s="80" t="s">
        <v>2182</v>
      </c>
      <c r="F1168" s="81">
        <v>18.64</v>
      </c>
      <c r="G1168" s="222">
        <v>136</v>
      </c>
      <c r="H1168" s="186"/>
      <c r="I1168" s="186"/>
      <c r="J1168" s="308"/>
      <c r="K1168" s="227"/>
      <c r="L1168" s="82">
        <f t="shared" si="504"/>
        <v>136</v>
      </c>
      <c r="M1168" s="331">
        <v>136</v>
      </c>
      <c r="N1168" s="161">
        <f t="shared" si="506"/>
        <v>2535.04</v>
      </c>
      <c r="O1168" s="161">
        <f t="shared" si="507"/>
        <v>2535.04</v>
      </c>
      <c r="P1168" s="187">
        <f t="shared" si="508"/>
        <v>0</v>
      </c>
      <c r="Q1168" s="161">
        <f t="shared" si="509"/>
        <v>0</v>
      </c>
      <c r="R1168" s="232"/>
      <c r="S1168" s="86">
        <f t="shared" si="510"/>
        <v>141</v>
      </c>
      <c r="T1168" s="87">
        <f t="shared" si="505"/>
        <v>-5</v>
      </c>
      <c r="U1168">
        <v>141</v>
      </c>
    </row>
    <row r="1169" spans="2:25" ht="20.100000000000001" hidden="1" customHeight="1">
      <c r="B1169" s="77">
        <v>9</v>
      </c>
      <c r="C1169" s="78" t="s">
        <v>1693</v>
      </c>
      <c r="D1169" s="79" t="s">
        <v>2183</v>
      </c>
      <c r="E1169" s="80" t="s">
        <v>2184</v>
      </c>
      <c r="F1169" s="193">
        <v>20.57</v>
      </c>
      <c r="G1169" s="222">
        <v>38</v>
      </c>
      <c r="H1169" s="186"/>
      <c r="I1169" s="186"/>
      <c r="J1169" s="308"/>
      <c r="K1169" s="227">
        <v>4</v>
      </c>
      <c r="L1169" s="82">
        <f t="shared" si="504"/>
        <v>34</v>
      </c>
      <c r="M1169" s="332">
        <v>34</v>
      </c>
      <c r="N1169" s="161">
        <f t="shared" si="506"/>
        <v>699.38</v>
      </c>
      <c r="O1169" s="161">
        <f t="shared" si="507"/>
        <v>699.38</v>
      </c>
      <c r="P1169" s="187">
        <f t="shared" si="508"/>
        <v>0</v>
      </c>
      <c r="Q1169" s="161">
        <f t="shared" si="509"/>
        <v>0</v>
      </c>
      <c r="R1169" s="85"/>
      <c r="S1169" s="86">
        <f t="shared" si="510"/>
        <v>53</v>
      </c>
      <c r="T1169" s="87">
        <f t="shared" si="505"/>
        <v>-19</v>
      </c>
      <c r="U1169">
        <f>34+6+12+1</f>
        <v>53</v>
      </c>
    </row>
    <row r="1170" spans="2:25" ht="20.100000000000001" hidden="1" customHeight="1">
      <c r="B1170" s="77">
        <v>9</v>
      </c>
      <c r="C1170" s="78" t="s">
        <v>1693</v>
      </c>
      <c r="D1170" s="79" t="s">
        <v>2183</v>
      </c>
      <c r="E1170" s="80" t="s">
        <v>2184</v>
      </c>
      <c r="F1170" s="81">
        <v>20.57</v>
      </c>
      <c r="G1170" s="222"/>
      <c r="H1170" s="186"/>
      <c r="I1170" s="186"/>
      <c r="J1170" s="308"/>
      <c r="K1170" s="227"/>
      <c r="L1170" s="82">
        <f t="shared" si="504"/>
        <v>0</v>
      </c>
      <c r="M1170" s="331"/>
      <c r="N1170" s="161">
        <f t="shared" si="506"/>
        <v>0</v>
      </c>
      <c r="O1170" s="161">
        <f t="shared" si="507"/>
        <v>0</v>
      </c>
      <c r="P1170" s="187">
        <f t="shared" si="508"/>
        <v>0</v>
      </c>
      <c r="Q1170" s="161">
        <f t="shared" si="509"/>
        <v>0</v>
      </c>
      <c r="R1170" s="85"/>
      <c r="S1170" s="86">
        <f t="shared" si="510"/>
        <v>0</v>
      </c>
      <c r="T1170" s="87">
        <f t="shared" si="505"/>
        <v>0</v>
      </c>
    </row>
    <row r="1171" spans="2:25" ht="20.100000000000001" hidden="1" customHeight="1">
      <c r="B1171" s="77">
        <v>9</v>
      </c>
      <c r="C1171" s="78" t="s">
        <v>1693</v>
      </c>
      <c r="D1171" s="79" t="s">
        <v>2185</v>
      </c>
      <c r="E1171" s="80" t="s">
        <v>2186</v>
      </c>
      <c r="F1171" s="81">
        <v>167.11</v>
      </c>
      <c r="G1171" s="222">
        <v>3</v>
      </c>
      <c r="H1171" s="186"/>
      <c r="I1171" s="186"/>
      <c r="J1171" s="308"/>
      <c r="K1171" s="227"/>
      <c r="L1171" s="82">
        <f t="shared" si="504"/>
        <v>3</v>
      </c>
      <c r="M1171" s="331">
        <v>3</v>
      </c>
      <c r="N1171" s="161">
        <f t="shared" si="506"/>
        <v>501.33000000000004</v>
      </c>
      <c r="O1171" s="161">
        <f t="shared" si="507"/>
        <v>501.33000000000004</v>
      </c>
      <c r="P1171" s="187">
        <f t="shared" si="508"/>
        <v>0</v>
      </c>
      <c r="Q1171" s="161">
        <f t="shared" si="509"/>
        <v>0</v>
      </c>
      <c r="R1171" s="85"/>
      <c r="S1171" s="86">
        <f t="shared" si="510"/>
        <v>2</v>
      </c>
      <c r="T1171" s="87">
        <f t="shared" si="505"/>
        <v>1</v>
      </c>
      <c r="U1171">
        <v>2</v>
      </c>
    </row>
    <row r="1172" spans="2:25" ht="20.100000000000001" hidden="1" customHeight="1">
      <c r="B1172" s="77">
        <v>9</v>
      </c>
      <c r="C1172" s="78" t="s">
        <v>1693</v>
      </c>
      <c r="D1172" s="79" t="s">
        <v>2187</v>
      </c>
      <c r="E1172" s="80" t="s">
        <v>2188</v>
      </c>
      <c r="F1172" s="81">
        <v>79.22</v>
      </c>
      <c r="G1172" s="222">
        <v>14</v>
      </c>
      <c r="H1172" s="186"/>
      <c r="I1172" s="186"/>
      <c r="J1172" s="308"/>
      <c r="K1172" s="227"/>
      <c r="L1172" s="82">
        <f t="shared" si="504"/>
        <v>14</v>
      </c>
      <c r="M1172" s="331">
        <v>14</v>
      </c>
      <c r="N1172" s="161">
        <f t="shared" si="506"/>
        <v>1109.08</v>
      </c>
      <c r="O1172" s="161">
        <f t="shared" si="507"/>
        <v>1109.08</v>
      </c>
      <c r="P1172" s="187">
        <f t="shared" si="508"/>
        <v>0</v>
      </c>
      <c r="Q1172" s="161">
        <f t="shared" si="509"/>
        <v>0</v>
      </c>
      <c r="R1172" s="85"/>
      <c r="S1172" s="86">
        <f t="shared" si="510"/>
        <v>14</v>
      </c>
      <c r="T1172" s="87">
        <f t="shared" si="505"/>
        <v>0</v>
      </c>
      <c r="Y1172">
        <v>14</v>
      </c>
    </row>
    <row r="1173" spans="2:25" ht="20.100000000000001" hidden="1" customHeight="1">
      <c r="B1173" s="77">
        <v>9</v>
      </c>
      <c r="C1173" s="78" t="s">
        <v>1693</v>
      </c>
      <c r="D1173" s="79" t="s">
        <v>2189</v>
      </c>
      <c r="E1173" s="80" t="s">
        <v>2190</v>
      </c>
      <c r="F1173" s="81">
        <v>47.2</v>
      </c>
      <c r="G1173" s="222">
        <v>47</v>
      </c>
      <c r="H1173" s="186"/>
      <c r="I1173" s="186"/>
      <c r="J1173" s="308"/>
      <c r="K1173" s="227"/>
      <c r="L1173" s="82">
        <f t="shared" si="504"/>
        <v>47</v>
      </c>
      <c r="M1173" s="331">
        <v>47</v>
      </c>
      <c r="N1173" s="161">
        <f t="shared" si="506"/>
        <v>2218.4</v>
      </c>
      <c r="O1173" s="161">
        <f t="shared" si="507"/>
        <v>2218.4</v>
      </c>
      <c r="P1173" s="187">
        <f t="shared" si="508"/>
        <v>0</v>
      </c>
      <c r="Q1173" s="161">
        <f t="shared" si="509"/>
        <v>0</v>
      </c>
      <c r="R1173" s="85"/>
      <c r="S1173" s="86">
        <f t="shared" si="510"/>
        <v>47</v>
      </c>
      <c r="T1173" s="87">
        <f t="shared" si="505"/>
        <v>0</v>
      </c>
      <c r="Y1173">
        <v>47</v>
      </c>
    </row>
    <row r="1174" spans="2:25" ht="20.100000000000001" hidden="1" customHeight="1">
      <c r="B1174" s="77">
        <v>9</v>
      </c>
      <c r="C1174" s="78" t="s">
        <v>1693</v>
      </c>
      <c r="D1174" s="79" t="s">
        <v>2191</v>
      </c>
      <c r="E1174" s="80" t="s">
        <v>2192</v>
      </c>
      <c r="F1174" s="81">
        <v>55.86</v>
      </c>
      <c r="G1174" s="222">
        <v>31</v>
      </c>
      <c r="H1174" s="186"/>
      <c r="I1174" s="186"/>
      <c r="J1174" s="308"/>
      <c r="K1174" s="227"/>
      <c r="L1174" s="82">
        <f t="shared" si="504"/>
        <v>31</v>
      </c>
      <c r="M1174" s="331">
        <v>31</v>
      </c>
      <c r="N1174" s="161">
        <f t="shared" si="506"/>
        <v>1731.66</v>
      </c>
      <c r="O1174" s="161">
        <f t="shared" si="507"/>
        <v>1731.66</v>
      </c>
      <c r="P1174" s="187">
        <f t="shared" si="508"/>
        <v>0</v>
      </c>
      <c r="Q1174" s="161">
        <f t="shared" si="509"/>
        <v>0</v>
      </c>
      <c r="R1174" s="85"/>
      <c r="S1174" s="86">
        <f t="shared" si="510"/>
        <v>21</v>
      </c>
      <c r="T1174" s="87">
        <f t="shared" si="505"/>
        <v>10</v>
      </c>
      <c r="U1174">
        <v>10</v>
      </c>
      <c r="Y1174">
        <v>11</v>
      </c>
    </row>
    <row r="1175" spans="2:25" ht="20.100000000000001" hidden="1" customHeight="1">
      <c r="B1175" s="77">
        <v>9</v>
      </c>
      <c r="C1175" s="78" t="s">
        <v>1693</v>
      </c>
      <c r="D1175" s="79" t="s">
        <v>2193</v>
      </c>
      <c r="E1175" s="80" t="s">
        <v>2194</v>
      </c>
      <c r="F1175" s="81">
        <v>18.64</v>
      </c>
      <c r="G1175" s="222">
        <v>62</v>
      </c>
      <c r="H1175" s="186"/>
      <c r="I1175" s="186"/>
      <c r="J1175" s="308"/>
      <c r="K1175" s="227">
        <v>2</v>
      </c>
      <c r="L1175" s="82">
        <f t="shared" si="504"/>
        <v>60</v>
      </c>
      <c r="M1175" s="331">
        <v>60</v>
      </c>
      <c r="N1175" s="161">
        <f t="shared" si="506"/>
        <v>1118.4000000000001</v>
      </c>
      <c r="O1175" s="161">
        <f t="shared" si="507"/>
        <v>1118.4000000000001</v>
      </c>
      <c r="P1175" s="187">
        <f t="shared" si="508"/>
        <v>0</v>
      </c>
      <c r="Q1175" s="161">
        <f t="shared" si="509"/>
        <v>0</v>
      </c>
      <c r="R1175" s="85"/>
      <c r="S1175" s="86">
        <f t="shared" si="510"/>
        <v>59</v>
      </c>
      <c r="T1175" s="87">
        <f t="shared" si="505"/>
        <v>1</v>
      </c>
      <c r="U1175">
        <v>59</v>
      </c>
    </row>
    <row r="1176" spans="2:25" ht="20.100000000000001" hidden="1" customHeight="1">
      <c r="B1176" s="77">
        <v>9</v>
      </c>
      <c r="C1176" s="78" t="s">
        <v>1693</v>
      </c>
      <c r="D1176" s="79" t="s">
        <v>2195</v>
      </c>
      <c r="E1176" s="80" t="s">
        <v>2196</v>
      </c>
      <c r="F1176" s="81">
        <v>19.61</v>
      </c>
      <c r="G1176" s="222">
        <v>11</v>
      </c>
      <c r="H1176" s="186"/>
      <c r="I1176" s="186"/>
      <c r="J1176" s="308"/>
      <c r="K1176" s="227">
        <v>2</v>
      </c>
      <c r="L1176" s="82">
        <f t="shared" si="504"/>
        <v>9</v>
      </c>
      <c r="M1176" s="331">
        <v>9</v>
      </c>
      <c r="N1176" s="161">
        <f t="shared" si="506"/>
        <v>176.49</v>
      </c>
      <c r="O1176" s="161">
        <f t="shared" si="507"/>
        <v>176.49</v>
      </c>
      <c r="P1176" s="187">
        <f t="shared" si="508"/>
        <v>0</v>
      </c>
      <c r="Q1176" s="161">
        <f t="shared" si="509"/>
        <v>0</v>
      </c>
      <c r="R1176" s="85"/>
      <c r="S1176" s="86">
        <f t="shared" si="510"/>
        <v>15</v>
      </c>
      <c r="T1176" s="87">
        <f t="shared" si="505"/>
        <v>-6</v>
      </c>
      <c r="U1176">
        <v>15</v>
      </c>
    </row>
    <row r="1177" spans="2:25" ht="20.100000000000001" hidden="1" customHeight="1">
      <c r="B1177" s="77">
        <v>9</v>
      </c>
      <c r="C1177" s="78" t="s">
        <v>1693</v>
      </c>
      <c r="D1177" s="79" t="s">
        <v>2197</v>
      </c>
      <c r="E1177" s="80" t="s">
        <v>2198</v>
      </c>
      <c r="F1177" s="81">
        <v>36.840000000000003</v>
      </c>
      <c r="G1177" s="222">
        <v>35</v>
      </c>
      <c r="H1177" s="186"/>
      <c r="I1177" s="186"/>
      <c r="J1177" s="308"/>
      <c r="K1177" s="227"/>
      <c r="L1177" s="82">
        <f t="shared" si="504"/>
        <v>35</v>
      </c>
      <c r="M1177" s="331">
        <v>35</v>
      </c>
      <c r="N1177" s="161">
        <f t="shared" si="506"/>
        <v>1289.4000000000001</v>
      </c>
      <c r="O1177" s="161">
        <f t="shared" si="507"/>
        <v>1289.4000000000001</v>
      </c>
      <c r="P1177" s="187">
        <f t="shared" si="508"/>
        <v>0</v>
      </c>
      <c r="Q1177" s="161">
        <f t="shared" si="509"/>
        <v>0</v>
      </c>
      <c r="R1177" s="85"/>
      <c r="S1177" s="86">
        <f t="shared" si="510"/>
        <v>35</v>
      </c>
      <c r="T1177" s="87">
        <f t="shared" si="505"/>
        <v>0</v>
      </c>
      <c r="U1177">
        <v>35</v>
      </c>
    </row>
    <row r="1178" spans="2:25" ht="20.100000000000001" hidden="1" customHeight="1">
      <c r="B1178" s="77">
        <v>9</v>
      </c>
      <c r="C1178" s="78" t="s">
        <v>1693</v>
      </c>
      <c r="D1178" s="79" t="s">
        <v>2199</v>
      </c>
      <c r="E1178" s="80" t="s">
        <v>2200</v>
      </c>
      <c r="F1178" s="81">
        <v>28.17</v>
      </c>
      <c r="G1178" s="222">
        <v>72</v>
      </c>
      <c r="H1178" s="186"/>
      <c r="I1178" s="186"/>
      <c r="J1178" s="308"/>
      <c r="K1178" s="227"/>
      <c r="L1178" s="82">
        <f t="shared" si="504"/>
        <v>72</v>
      </c>
      <c r="M1178" s="331">
        <v>72</v>
      </c>
      <c r="N1178" s="161">
        <f t="shared" si="506"/>
        <v>2028.2400000000002</v>
      </c>
      <c r="O1178" s="161">
        <f t="shared" si="507"/>
        <v>2028.2400000000002</v>
      </c>
      <c r="P1178" s="187">
        <f t="shared" si="508"/>
        <v>0</v>
      </c>
      <c r="Q1178" s="161">
        <f t="shared" si="509"/>
        <v>0</v>
      </c>
      <c r="R1178" s="85"/>
      <c r="S1178" s="86">
        <f t="shared" si="510"/>
        <v>72</v>
      </c>
      <c r="T1178" s="87">
        <f t="shared" si="505"/>
        <v>0</v>
      </c>
      <c r="Y1178">
        <v>72</v>
      </c>
    </row>
    <row r="1179" spans="2:25" ht="20.100000000000001" hidden="1" customHeight="1">
      <c r="B1179" s="77">
        <v>9</v>
      </c>
      <c r="C1179" s="78" t="s">
        <v>1693</v>
      </c>
      <c r="D1179" s="79" t="s">
        <v>2201</v>
      </c>
      <c r="E1179" s="80" t="s">
        <v>2202</v>
      </c>
      <c r="F1179" s="81">
        <v>19.600000000000001</v>
      </c>
      <c r="G1179" s="222">
        <v>30</v>
      </c>
      <c r="H1179" s="186"/>
      <c r="I1179" s="186"/>
      <c r="J1179" s="308"/>
      <c r="K1179" s="227">
        <v>1</v>
      </c>
      <c r="L1179" s="82">
        <f t="shared" si="504"/>
        <v>29</v>
      </c>
      <c r="M1179" s="331">
        <v>29</v>
      </c>
      <c r="N1179" s="161">
        <f t="shared" si="506"/>
        <v>568.40000000000009</v>
      </c>
      <c r="O1179" s="161">
        <f t="shared" si="507"/>
        <v>568.40000000000009</v>
      </c>
      <c r="P1179" s="187">
        <f t="shared" si="508"/>
        <v>0</v>
      </c>
      <c r="Q1179" s="161">
        <f t="shared" si="509"/>
        <v>0</v>
      </c>
      <c r="R1179" s="85"/>
      <c r="S1179" s="86">
        <f t="shared" si="510"/>
        <v>6</v>
      </c>
      <c r="T1179" s="87">
        <f t="shared" si="505"/>
        <v>23</v>
      </c>
      <c r="U1179">
        <v>6</v>
      </c>
    </row>
    <row r="1180" spans="2:25" ht="20.100000000000001" hidden="1" customHeight="1">
      <c r="B1180" s="77">
        <v>9</v>
      </c>
      <c r="C1180" s="78" t="s">
        <v>1693</v>
      </c>
      <c r="D1180" s="79" t="s">
        <v>2203</v>
      </c>
      <c r="E1180" s="80" t="s">
        <v>2204</v>
      </c>
      <c r="F1180" s="81">
        <v>60.75</v>
      </c>
      <c r="G1180" s="222"/>
      <c r="H1180" s="186"/>
      <c r="I1180" s="186"/>
      <c r="J1180" s="308"/>
      <c r="K1180" s="227"/>
      <c r="L1180" s="82">
        <f t="shared" si="504"/>
        <v>0</v>
      </c>
      <c r="M1180" s="331"/>
      <c r="N1180" s="161">
        <f t="shared" si="506"/>
        <v>0</v>
      </c>
      <c r="O1180" s="161">
        <f t="shared" si="507"/>
        <v>0</v>
      </c>
      <c r="P1180" s="187">
        <f t="shared" si="508"/>
        <v>0</v>
      </c>
      <c r="Q1180" s="161">
        <f t="shared" si="509"/>
        <v>0</v>
      </c>
      <c r="R1180" s="85"/>
      <c r="S1180" s="86">
        <f t="shared" si="510"/>
        <v>0</v>
      </c>
      <c r="T1180" s="87">
        <f t="shared" si="505"/>
        <v>0</v>
      </c>
    </row>
    <row r="1181" spans="2:25" ht="20.100000000000001" hidden="1" customHeight="1">
      <c r="B1181" s="77">
        <v>9</v>
      </c>
      <c r="C1181" s="78" t="s">
        <v>1693</v>
      </c>
      <c r="D1181" s="79" t="s">
        <v>2205</v>
      </c>
      <c r="E1181" s="80" t="s">
        <v>2206</v>
      </c>
      <c r="F1181" s="81">
        <v>279.75</v>
      </c>
      <c r="G1181" s="222">
        <v>48</v>
      </c>
      <c r="H1181" s="186"/>
      <c r="I1181" s="186"/>
      <c r="J1181" s="308"/>
      <c r="K1181" s="227">
        <v>48</v>
      </c>
      <c r="L1181" s="82">
        <f t="shared" si="504"/>
        <v>0</v>
      </c>
      <c r="M1181" s="331"/>
      <c r="N1181" s="161">
        <f t="shared" si="506"/>
        <v>0</v>
      </c>
      <c r="O1181" s="161">
        <f t="shared" si="507"/>
        <v>0</v>
      </c>
      <c r="P1181" s="187">
        <f t="shared" si="508"/>
        <v>0</v>
      </c>
      <c r="Q1181" s="161">
        <f t="shared" si="509"/>
        <v>0</v>
      </c>
      <c r="R1181" s="85"/>
      <c r="S1181" s="86">
        <f t="shared" si="510"/>
        <v>39</v>
      </c>
      <c r="T1181" s="87">
        <f t="shared" si="505"/>
        <v>-39</v>
      </c>
      <c r="U1181">
        <v>7</v>
      </c>
      <c r="Y1181">
        <v>32</v>
      </c>
    </row>
    <row r="1182" spans="2:25" ht="20.100000000000001" hidden="1" customHeight="1">
      <c r="B1182" s="77">
        <v>9</v>
      </c>
      <c r="C1182" s="78" t="s">
        <v>1693</v>
      </c>
      <c r="D1182" s="79" t="s">
        <v>2207</v>
      </c>
      <c r="E1182" s="80" t="s">
        <v>2208</v>
      </c>
      <c r="F1182" s="81">
        <v>30.9</v>
      </c>
      <c r="G1182" s="222">
        <v>9</v>
      </c>
      <c r="H1182" s="186"/>
      <c r="I1182" s="186"/>
      <c r="J1182" s="308"/>
      <c r="K1182" s="227">
        <v>1</v>
      </c>
      <c r="L1182" s="82">
        <f t="shared" si="504"/>
        <v>8</v>
      </c>
      <c r="M1182" s="331">
        <v>8</v>
      </c>
      <c r="N1182" s="161">
        <f t="shared" si="506"/>
        <v>247.2</v>
      </c>
      <c r="O1182" s="161">
        <f t="shared" si="507"/>
        <v>247.2</v>
      </c>
      <c r="P1182" s="187">
        <f t="shared" si="508"/>
        <v>0</v>
      </c>
      <c r="Q1182" s="161">
        <f t="shared" si="509"/>
        <v>0</v>
      </c>
      <c r="R1182" s="85"/>
      <c r="S1182" s="86">
        <f t="shared" si="510"/>
        <v>13</v>
      </c>
      <c r="T1182" s="87">
        <f t="shared" si="505"/>
        <v>-5</v>
      </c>
      <c r="U1182">
        <v>13</v>
      </c>
    </row>
    <row r="1183" spans="2:25" ht="20.100000000000001" hidden="1" customHeight="1">
      <c r="B1183" s="77">
        <v>9</v>
      </c>
      <c r="C1183" s="78" t="s">
        <v>1693</v>
      </c>
      <c r="D1183" s="79" t="s">
        <v>2209</v>
      </c>
      <c r="E1183" s="80" t="s">
        <v>2210</v>
      </c>
      <c r="F1183" s="81">
        <v>20.48</v>
      </c>
      <c r="G1183" s="222"/>
      <c r="H1183" s="186"/>
      <c r="I1183" s="186"/>
      <c r="J1183" s="308"/>
      <c r="K1183" s="227"/>
      <c r="L1183" s="82">
        <f t="shared" si="504"/>
        <v>0</v>
      </c>
      <c r="M1183" s="331"/>
      <c r="N1183" s="161">
        <f t="shared" si="506"/>
        <v>0</v>
      </c>
      <c r="O1183" s="161">
        <f t="shared" si="507"/>
        <v>0</v>
      </c>
      <c r="P1183" s="187">
        <f t="shared" si="508"/>
        <v>0</v>
      </c>
      <c r="Q1183" s="161">
        <f t="shared" si="509"/>
        <v>0</v>
      </c>
      <c r="R1183" s="232"/>
      <c r="S1183" s="86">
        <f t="shared" si="510"/>
        <v>1</v>
      </c>
      <c r="T1183" s="87">
        <f t="shared" si="505"/>
        <v>-1</v>
      </c>
      <c r="U1183">
        <v>1</v>
      </c>
    </row>
    <row r="1184" spans="2:25" ht="20.100000000000001" hidden="1" customHeight="1">
      <c r="B1184" s="77">
        <v>9</v>
      </c>
      <c r="C1184" s="78" t="s">
        <v>1693</v>
      </c>
      <c r="D1184" s="79" t="s">
        <v>2211</v>
      </c>
      <c r="E1184" s="80" t="s">
        <v>2212</v>
      </c>
      <c r="F1184" s="81">
        <v>17.059999999999999</v>
      </c>
      <c r="G1184" s="222">
        <v>91</v>
      </c>
      <c r="H1184" s="186"/>
      <c r="I1184" s="186"/>
      <c r="J1184" s="308"/>
      <c r="K1184" s="227">
        <v>5</v>
      </c>
      <c r="L1184" s="82">
        <f t="shared" si="504"/>
        <v>86</v>
      </c>
      <c r="M1184" s="331">
        <v>86</v>
      </c>
      <c r="N1184" s="161">
        <f t="shared" si="506"/>
        <v>1467.1599999999999</v>
      </c>
      <c r="O1184" s="161">
        <f t="shared" si="507"/>
        <v>1467.1599999999999</v>
      </c>
      <c r="P1184" s="187">
        <f t="shared" si="508"/>
        <v>0</v>
      </c>
      <c r="Q1184" s="161">
        <f t="shared" si="509"/>
        <v>0</v>
      </c>
      <c r="R1184" s="232"/>
      <c r="S1184" s="86">
        <f t="shared" si="510"/>
        <v>102</v>
      </c>
      <c r="T1184" s="87">
        <f t="shared" si="505"/>
        <v>-16</v>
      </c>
      <c r="U1184">
        <v>102</v>
      </c>
    </row>
    <row r="1185" spans="2:25" ht="20.100000000000001" hidden="1" customHeight="1">
      <c r="B1185" s="77">
        <v>9</v>
      </c>
      <c r="C1185" s="78" t="s">
        <v>1693</v>
      </c>
      <c r="D1185" s="79" t="s">
        <v>2213</v>
      </c>
      <c r="E1185" s="80" t="s">
        <v>2214</v>
      </c>
      <c r="F1185" s="81">
        <v>20.75</v>
      </c>
      <c r="G1185" s="222">
        <v>5</v>
      </c>
      <c r="H1185" s="186"/>
      <c r="I1185" s="186"/>
      <c r="J1185" s="308"/>
      <c r="K1185" s="227"/>
      <c r="L1185" s="82">
        <f t="shared" si="504"/>
        <v>5</v>
      </c>
      <c r="M1185" s="331">
        <v>5</v>
      </c>
      <c r="N1185" s="161">
        <f t="shared" si="506"/>
        <v>103.75</v>
      </c>
      <c r="O1185" s="161">
        <f t="shared" si="507"/>
        <v>103.75</v>
      </c>
      <c r="P1185" s="187">
        <f t="shared" si="508"/>
        <v>0</v>
      </c>
      <c r="Q1185" s="161">
        <f t="shared" si="509"/>
        <v>0</v>
      </c>
      <c r="R1185" s="85"/>
      <c r="S1185" s="86">
        <f t="shared" si="510"/>
        <v>5</v>
      </c>
      <c r="T1185" s="87">
        <f t="shared" si="505"/>
        <v>0</v>
      </c>
      <c r="U1185">
        <v>5</v>
      </c>
    </row>
    <row r="1186" spans="2:25" ht="20.100000000000001" hidden="1" customHeight="1">
      <c r="B1186" s="77">
        <v>9</v>
      </c>
      <c r="C1186" s="78" t="s">
        <v>1693</v>
      </c>
      <c r="D1186" s="79" t="s">
        <v>2215</v>
      </c>
      <c r="E1186" s="80" t="s">
        <v>2216</v>
      </c>
      <c r="F1186" s="81">
        <v>23.75</v>
      </c>
      <c r="G1186" s="222">
        <v>8</v>
      </c>
      <c r="H1186" s="186"/>
      <c r="I1186" s="186"/>
      <c r="J1186" s="308"/>
      <c r="K1186" s="227">
        <v>1</v>
      </c>
      <c r="L1186" s="82">
        <f t="shared" si="504"/>
        <v>7</v>
      </c>
      <c r="M1186" s="331">
        <v>7</v>
      </c>
      <c r="N1186" s="161">
        <f t="shared" si="506"/>
        <v>166.25</v>
      </c>
      <c r="O1186" s="161">
        <f t="shared" si="507"/>
        <v>166.25</v>
      </c>
      <c r="P1186" s="187">
        <f t="shared" si="508"/>
        <v>0</v>
      </c>
      <c r="Q1186" s="161">
        <f t="shared" si="509"/>
        <v>0</v>
      </c>
      <c r="R1186" s="85"/>
      <c r="S1186" s="86">
        <f t="shared" si="510"/>
        <v>9</v>
      </c>
      <c r="T1186" s="87">
        <f t="shared" si="505"/>
        <v>-2</v>
      </c>
      <c r="U1186">
        <v>9</v>
      </c>
    </row>
    <row r="1187" spans="2:25" ht="20.100000000000001" hidden="1" customHeight="1">
      <c r="B1187" s="77">
        <v>9</v>
      </c>
      <c r="C1187" s="78" t="s">
        <v>1693</v>
      </c>
      <c r="D1187" s="79" t="s">
        <v>2217</v>
      </c>
      <c r="E1187" s="80" t="s">
        <v>2218</v>
      </c>
      <c r="F1187" s="81">
        <v>23</v>
      </c>
      <c r="G1187" s="222">
        <v>3</v>
      </c>
      <c r="H1187" s="186"/>
      <c r="I1187" s="186"/>
      <c r="J1187" s="308"/>
      <c r="K1187" s="227">
        <v>3</v>
      </c>
      <c r="L1187" s="82">
        <f t="shared" si="504"/>
        <v>0</v>
      </c>
      <c r="M1187" s="331"/>
      <c r="N1187" s="161">
        <f t="shared" si="506"/>
        <v>0</v>
      </c>
      <c r="O1187" s="161">
        <f t="shared" si="507"/>
        <v>0</v>
      </c>
      <c r="P1187" s="187">
        <f t="shared" si="508"/>
        <v>0</v>
      </c>
      <c r="Q1187" s="161">
        <f t="shared" si="509"/>
        <v>0</v>
      </c>
      <c r="R1187" s="85"/>
      <c r="S1187" s="86">
        <f t="shared" si="510"/>
        <v>8</v>
      </c>
      <c r="T1187" s="87">
        <f t="shared" si="505"/>
        <v>-8</v>
      </c>
      <c r="U1187">
        <v>8</v>
      </c>
    </row>
    <row r="1188" spans="2:25" ht="20.100000000000001" hidden="1" customHeight="1">
      <c r="B1188" s="77">
        <v>9</v>
      </c>
      <c r="C1188" s="78" t="s">
        <v>1693</v>
      </c>
      <c r="D1188" s="79" t="s">
        <v>2219</v>
      </c>
      <c r="E1188" s="80" t="s">
        <v>2220</v>
      </c>
      <c r="F1188" s="81">
        <v>30</v>
      </c>
      <c r="G1188" s="222">
        <v>6</v>
      </c>
      <c r="H1188" s="186"/>
      <c r="I1188" s="186"/>
      <c r="J1188" s="308"/>
      <c r="K1188" s="227">
        <v>2</v>
      </c>
      <c r="L1188" s="82">
        <f t="shared" si="504"/>
        <v>4</v>
      </c>
      <c r="M1188" s="331">
        <v>4</v>
      </c>
      <c r="N1188" s="161">
        <f t="shared" si="506"/>
        <v>120</v>
      </c>
      <c r="O1188" s="161">
        <f t="shared" si="507"/>
        <v>120</v>
      </c>
      <c r="P1188" s="187">
        <f t="shared" si="508"/>
        <v>0</v>
      </c>
      <c r="Q1188" s="161">
        <f t="shared" si="509"/>
        <v>0</v>
      </c>
      <c r="R1188" s="85"/>
      <c r="S1188" s="86">
        <f t="shared" si="510"/>
        <v>7</v>
      </c>
      <c r="T1188" s="87">
        <f t="shared" si="505"/>
        <v>-3</v>
      </c>
      <c r="U1188">
        <v>7</v>
      </c>
      <c r="V1188" s="88" t="s">
        <v>2221</v>
      </c>
    </row>
    <row r="1189" spans="2:25" ht="20.100000000000001" hidden="1" customHeight="1">
      <c r="B1189" s="77">
        <v>9</v>
      </c>
      <c r="C1189" s="78" t="s">
        <v>1693</v>
      </c>
      <c r="D1189" s="79" t="s">
        <v>2222</v>
      </c>
      <c r="E1189" s="80" t="s">
        <v>2223</v>
      </c>
      <c r="F1189" s="81">
        <v>18.25</v>
      </c>
      <c r="G1189" s="222">
        <v>2</v>
      </c>
      <c r="H1189" s="186"/>
      <c r="I1189" s="186"/>
      <c r="J1189" s="308"/>
      <c r="K1189" s="227">
        <v>1</v>
      </c>
      <c r="L1189" s="82">
        <f t="shared" si="504"/>
        <v>1</v>
      </c>
      <c r="M1189" s="331">
        <v>1</v>
      </c>
      <c r="N1189" s="161">
        <f t="shared" si="506"/>
        <v>18.25</v>
      </c>
      <c r="O1189" s="161">
        <f t="shared" si="507"/>
        <v>18.25</v>
      </c>
      <c r="P1189" s="187">
        <f t="shared" si="508"/>
        <v>0</v>
      </c>
      <c r="Q1189" s="161">
        <f t="shared" si="509"/>
        <v>0</v>
      </c>
      <c r="R1189" s="85"/>
      <c r="S1189" s="86">
        <f t="shared" si="510"/>
        <v>4</v>
      </c>
      <c r="T1189" s="87">
        <f t="shared" si="505"/>
        <v>-3</v>
      </c>
      <c r="U1189">
        <v>4</v>
      </c>
    </row>
    <row r="1190" spans="2:25" ht="20.100000000000001" hidden="1" customHeight="1">
      <c r="B1190" s="77">
        <v>9</v>
      </c>
      <c r="C1190" s="78" t="s">
        <v>1693</v>
      </c>
      <c r="D1190" s="79" t="s">
        <v>2224</v>
      </c>
      <c r="E1190" s="80" t="s">
        <v>2225</v>
      </c>
      <c r="F1190" s="81">
        <v>26.5</v>
      </c>
      <c r="G1190" s="222"/>
      <c r="H1190" s="186"/>
      <c r="I1190" s="186"/>
      <c r="J1190" s="308"/>
      <c r="K1190" s="227"/>
      <c r="L1190" s="82">
        <f t="shared" si="504"/>
        <v>0</v>
      </c>
      <c r="M1190" s="331"/>
      <c r="N1190" s="161">
        <f t="shared" si="506"/>
        <v>0</v>
      </c>
      <c r="O1190" s="161">
        <f t="shared" si="507"/>
        <v>0</v>
      </c>
      <c r="P1190" s="187">
        <f t="shared" si="508"/>
        <v>0</v>
      </c>
      <c r="Q1190" s="161">
        <f t="shared" si="509"/>
        <v>0</v>
      </c>
      <c r="R1190" s="85"/>
      <c r="S1190" s="86">
        <f t="shared" si="510"/>
        <v>0</v>
      </c>
      <c r="T1190" s="87">
        <f t="shared" si="505"/>
        <v>0</v>
      </c>
    </row>
    <row r="1191" spans="2:25" ht="20.100000000000001" hidden="1" customHeight="1">
      <c r="B1191" s="77">
        <v>9</v>
      </c>
      <c r="C1191" s="78" t="s">
        <v>1693</v>
      </c>
      <c r="D1191" s="79" t="s">
        <v>2226</v>
      </c>
      <c r="E1191" s="80" t="s">
        <v>2227</v>
      </c>
      <c r="F1191" s="81">
        <v>26.5</v>
      </c>
      <c r="G1191" s="222"/>
      <c r="H1191" s="186"/>
      <c r="I1191" s="186"/>
      <c r="J1191" s="308"/>
      <c r="K1191" s="227"/>
      <c r="L1191" s="82">
        <f t="shared" si="504"/>
        <v>0</v>
      </c>
      <c r="M1191" s="331"/>
      <c r="N1191" s="161">
        <f t="shared" si="506"/>
        <v>0</v>
      </c>
      <c r="O1191" s="161">
        <f t="shared" si="507"/>
        <v>0</v>
      </c>
      <c r="P1191" s="187">
        <f t="shared" si="508"/>
        <v>0</v>
      </c>
      <c r="Q1191" s="161">
        <f t="shared" si="509"/>
        <v>0</v>
      </c>
      <c r="R1191" s="85"/>
      <c r="S1191" s="86">
        <f t="shared" si="510"/>
        <v>0</v>
      </c>
      <c r="T1191" s="87">
        <f t="shared" si="505"/>
        <v>0</v>
      </c>
    </row>
    <row r="1192" spans="2:25" ht="20.100000000000001" hidden="1" customHeight="1">
      <c r="B1192" s="77">
        <v>9</v>
      </c>
      <c r="C1192" s="78" t="s">
        <v>1693</v>
      </c>
      <c r="D1192" s="79" t="s">
        <v>2228</v>
      </c>
      <c r="E1192" s="80" t="s">
        <v>2229</v>
      </c>
      <c r="F1192" s="81">
        <v>18.25</v>
      </c>
      <c r="G1192" s="222">
        <v>12</v>
      </c>
      <c r="H1192" s="186"/>
      <c r="I1192" s="186"/>
      <c r="J1192" s="308"/>
      <c r="K1192" s="227"/>
      <c r="L1192" s="82">
        <f t="shared" si="504"/>
        <v>12</v>
      </c>
      <c r="M1192" s="331">
        <v>12</v>
      </c>
      <c r="N1192" s="161">
        <f t="shared" si="506"/>
        <v>219</v>
      </c>
      <c r="O1192" s="161">
        <f t="shared" si="507"/>
        <v>219</v>
      </c>
      <c r="P1192" s="187">
        <f t="shared" si="508"/>
        <v>0</v>
      </c>
      <c r="Q1192" s="161">
        <f t="shared" si="509"/>
        <v>0</v>
      </c>
      <c r="R1192" s="85"/>
      <c r="S1192" s="86">
        <f t="shared" si="510"/>
        <v>13</v>
      </c>
      <c r="T1192" s="87">
        <f t="shared" si="505"/>
        <v>-1</v>
      </c>
      <c r="U1192">
        <v>13</v>
      </c>
    </row>
    <row r="1193" spans="2:25" ht="20.100000000000001" hidden="1" customHeight="1">
      <c r="B1193" s="77">
        <v>9</v>
      </c>
      <c r="C1193" s="78" t="s">
        <v>1693</v>
      </c>
      <c r="D1193" s="79" t="s">
        <v>2230</v>
      </c>
      <c r="E1193" s="80" t="s">
        <v>2231</v>
      </c>
      <c r="F1193" s="81">
        <v>9.5</v>
      </c>
      <c r="G1193" s="222">
        <v>15</v>
      </c>
      <c r="H1193" s="186"/>
      <c r="I1193" s="186"/>
      <c r="J1193" s="308"/>
      <c r="K1193" s="69">
        <v>1</v>
      </c>
      <c r="L1193" s="82">
        <f t="shared" si="504"/>
        <v>14</v>
      </c>
      <c r="M1193" s="331">
        <v>14</v>
      </c>
      <c r="N1193" s="161">
        <f t="shared" si="506"/>
        <v>133</v>
      </c>
      <c r="O1193" s="161">
        <f t="shared" si="507"/>
        <v>133</v>
      </c>
      <c r="P1193" s="187">
        <f t="shared" si="508"/>
        <v>0</v>
      </c>
      <c r="Q1193" s="161">
        <f t="shared" si="509"/>
        <v>0</v>
      </c>
      <c r="R1193" s="85"/>
      <c r="S1193" s="86">
        <f t="shared" si="510"/>
        <v>18</v>
      </c>
      <c r="T1193" s="87">
        <f t="shared" si="505"/>
        <v>-4</v>
      </c>
      <c r="U1193">
        <v>18</v>
      </c>
    </row>
    <row r="1194" spans="2:25" ht="20.100000000000001" hidden="1" customHeight="1">
      <c r="B1194" s="77">
        <v>9</v>
      </c>
      <c r="C1194" s="78" t="s">
        <v>1693</v>
      </c>
      <c r="D1194" s="79" t="s">
        <v>2232</v>
      </c>
      <c r="E1194" s="80" t="s">
        <v>2233</v>
      </c>
      <c r="F1194" s="81">
        <v>31.25</v>
      </c>
      <c r="G1194" s="222">
        <v>11</v>
      </c>
      <c r="H1194" s="186"/>
      <c r="I1194" s="186"/>
      <c r="J1194" s="308"/>
      <c r="K1194" s="227"/>
      <c r="L1194" s="82">
        <f t="shared" ref="L1194:L1257" si="525">G1194+I1194-J1194-K1194+H1194</f>
        <v>11</v>
      </c>
      <c r="M1194" s="331">
        <v>11</v>
      </c>
      <c r="N1194" s="161">
        <f t="shared" si="506"/>
        <v>343.75</v>
      </c>
      <c r="O1194" s="161">
        <f t="shared" si="507"/>
        <v>343.75</v>
      </c>
      <c r="P1194" s="187">
        <f t="shared" si="508"/>
        <v>0</v>
      </c>
      <c r="Q1194" s="161">
        <f t="shared" si="509"/>
        <v>0</v>
      </c>
      <c r="R1194" s="85"/>
      <c r="S1194" s="86">
        <f t="shared" si="510"/>
        <v>11</v>
      </c>
      <c r="T1194" s="87">
        <f t="shared" si="505"/>
        <v>0</v>
      </c>
      <c r="U1194">
        <v>11</v>
      </c>
    </row>
    <row r="1195" spans="2:25" ht="20.100000000000001" hidden="1" customHeight="1">
      <c r="B1195" s="77">
        <v>9</v>
      </c>
      <c r="C1195" s="78" t="s">
        <v>1693</v>
      </c>
      <c r="D1195" s="79" t="s">
        <v>2234</v>
      </c>
      <c r="E1195" s="80" t="s">
        <v>2235</v>
      </c>
      <c r="F1195" s="81">
        <v>26.5</v>
      </c>
      <c r="G1195" s="222">
        <v>1</v>
      </c>
      <c r="H1195" s="186"/>
      <c r="I1195" s="186"/>
      <c r="J1195" s="308"/>
      <c r="K1195" s="227"/>
      <c r="L1195" s="82">
        <f t="shared" si="525"/>
        <v>1</v>
      </c>
      <c r="M1195" s="331">
        <v>1</v>
      </c>
      <c r="N1195" s="161">
        <f t="shared" si="506"/>
        <v>26.5</v>
      </c>
      <c r="O1195" s="161">
        <f t="shared" si="507"/>
        <v>26.5</v>
      </c>
      <c r="P1195" s="187">
        <f t="shared" si="508"/>
        <v>0</v>
      </c>
      <c r="Q1195" s="161">
        <f t="shared" si="509"/>
        <v>0</v>
      </c>
      <c r="R1195" s="85"/>
      <c r="S1195" s="86">
        <f t="shared" si="510"/>
        <v>1</v>
      </c>
      <c r="T1195" s="87">
        <f t="shared" si="505"/>
        <v>0</v>
      </c>
      <c r="U1195">
        <v>1</v>
      </c>
      <c r="V1195" s="88" t="s">
        <v>2236</v>
      </c>
    </row>
    <row r="1196" spans="2:25" ht="20.100000000000001" hidden="1" customHeight="1">
      <c r="B1196" s="77">
        <v>9</v>
      </c>
      <c r="C1196" s="78" t="s">
        <v>1693</v>
      </c>
      <c r="D1196" s="79" t="s">
        <v>2237</v>
      </c>
      <c r="E1196" s="80" t="s">
        <v>2238</v>
      </c>
      <c r="F1196" s="81">
        <v>47.5</v>
      </c>
      <c r="G1196" s="222">
        <v>3</v>
      </c>
      <c r="H1196" s="186"/>
      <c r="I1196" s="186"/>
      <c r="J1196" s="308"/>
      <c r="K1196" s="227">
        <v>3</v>
      </c>
      <c r="L1196" s="82">
        <f t="shared" si="525"/>
        <v>0</v>
      </c>
      <c r="M1196" s="331"/>
      <c r="N1196" s="161">
        <f t="shared" si="506"/>
        <v>0</v>
      </c>
      <c r="O1196" s="161">
        <f t="shared" si="507"/>
        <v>0</v>
      </c>
      <c r="P1196" s="187">
        <f t="shared" si="508"/>
        <v>0</v>
      </c>
      <c r="Q1196" s="161">
        <f t="shared" si="509"/>
        <v>0</v>
      </c>
      <c r="R1196" s="85"/>
      <c r="S1196" s="86">
        <f t="shared" si="510"/>
        <v>10</v>
      </c>
      <c r="T1196" s="87">
        <f t="shared" si="505"/>
        <v>-10</v>
      </c>
      <c r="U1196">
        <v>10</v>
      </c>
    </row>
    <row r="1197" spans="2:25" ht="20.100000000000001" hidden="1" customHeight="1">
      <c r="B1197" s="77">
        <v>9</v>
      </c>
      <c r="C1197" s="78" t="s">
        <v>1693</v>
      </c>
      <c r="D1197" s="79" t="s">
        <v>2239</v>
      </c>
      <c r="E1197" s="80" t="s">
        <v>2240</v>
      </c>
      <c r="F1197" s="81">
        <v>22.75</v>
      </c>
      <c r="G1197" s="222"/>
      <c r="H1197" s="186"/>
      <c r="I1197" s="186"/>
      <c r="J1197" s="308"/>
      <c r="K1197" s="227"/>
      <c r="L1197" s="82">
        <f t="shared" si="525"/>
        <v>0</v>
      </c>
      <c r="M1197" s="331"/>
      <c r="N1197" s="161">
        <f t="shared" si="506"/>
        <v>0</v>
      </c>
      <c r="O1197" s="161">
        <f t="shared" si="507"/>
        <v>0</v>
      </c>
      <c r="P1197" s="187">
        <f t="shared" si="508"/>
        <v>0</v>
      </c>
      <c r="Q1197" s="161">
        <f t="shared" si="509"/>
        <v>0</v>
      </c>
      <c r="R1197" s="384"/>
      <c r="S1197" s="86">
        <f t="shared" si="510"/>
        <v>0</v>
      </c>
      <c r="T1197" s="87">
        <f t="shared" si="505"/>
        <v>0</v>
      </c>
    </row>
    <row r="1198" spans="2:25" ht="20.100000000000001" hidden="1" customHeight="1">
      <c r="B1198" s="77">
        <v>9</v>
      </c>
      <c r="C1198" s="78" t="s">
        <v>1693</v>
      </c>
      <c r="D1198" s="79" t="s">
        <v>2241</v>
      </c>
      <c r="E1198" s="80" t="s">
        <v>2242</v>
      </c>
      <c r="F1198" s="81">
        <v>127.35</v>
      </c>
      <c r="G1198" s="222">
        <v>1</v>
      </c>
      <c r="H1198" s="186"/>
      <c r="I1198" s="186"/>
      <c r="J1198" s="308"/>
      <c r="K1198" s="227">
        <v>1</v>
      </c>
      <c r="L1198" s="82">
        <f t="shared" si="525"/>
        <v>0</v>
      </c>
      <c r="M1198" s="331"/>
      <c r="N1198" s="161">
        <f t="shared" si="506"/>
        <v>0</v>
      </c>
      <c r="O1198" s="161">
        <f t="shared" si="507"/>
        <v>0</v>
      </c>
      <c r="P1198" s="187">
        <f t="shared" si="508"/>
        <v>0</v>
      </c>
      <c r="Q1198" s="161">
        <f t="shared" si="509"/>
        <v>0</v>
      </c>
      <c r="R1198" s="384"/>
      <c r="S1198" s="86">
        <f t="shared" si="510"/>
        <v>1</v>
      </c>
      <c r="T1198" s="87">
        <f t="shared" ref="T1198:T1261" si="526">M1198-S1198</f>
        <v>-1</v>
      </c>
      <c r="U1198">
        <v>1</v>
      </c>
    </row>
    <row r="1199" spans="2:25" ht="20.100000000000001" hidden="1" customHeight="1">
      <c r="B1199" s="77">
        <v>9</v>
      </c>
      <c r="C1199" s="78" t="s">
        <v>1693</v>
      </c>
      <c r="D1199" s="79" t="s">
        <v>2243</v>
      </c>
      <c r="E1199" s="80" t="s">
        <v>2244</v>
      </c>
      <c r="F1199" s="81">
        <v>71.3</v>
      </c>
      <c r="G1199" s="222">
        <v>2</v>
      </c>
      <c r="H1199" s="186"/>
      <c r="I1199" s="186"/>
      <c r="J1199" s="308"/>
      <c r="K1199" s="227"/>
      <c r="L1199" s="82">
        <f t="shared" si="525"/>
        <v>2</v>
      </c>
      <c r="M1199" s="331">
        <v>2</v>
      </c>
      <c r="N1199" s="161">
        <f t="shared" ref="N1199:N1262" si="527">F1199*L1199</f>
        <v>142.6</v>
      </c>
      <c r="O1199" s="161">
        <f t="shared" ref="O1199:O1262" si="528">M1199*F1199</f>
        <v>142.6</v>
      </c>
      <c r="P1199" s="187">
        <f t="shared" ref="P1199:P1262" si="529">L1199-M1199</f>
        <v>0</v>
      </c>
      <c r="Q1199" s="161">
        <f t="shared" ref="Q1199:Q1262" si="530">N1199-O1199</f>
        <v>0</v>
      </c>
      <c r="R1199" s="85"/>
      <c r="S1199" s="86">
        <f t="shared" ref="S1199:S1262" si="531">U1199+Y1199+W1199+AA1199</f>
        <v>5</v>
      </c>
      <c r="T1199" s="87">
        <f t="shared" si="526"/>
        <v>-3</v>
      </c>
      <c r="U1199">
        <v>5</v>
      </c>
    </row>
    <row r="1200" spans="2:25" ht="20.100000000000001" hidden="1" customHeight="1">
      <c r="B1200" s="77">
        <v>9</v>
      </c>
      <c r="C1200" s="78" t="s">
        <v>1693</v>
      </c>
      <c r="D1200" s="79" t="s">
        <v>3804</v>
      </c>
      <c r="E1200" s="80" t="s">
        <v>3790</v>
      </c>
      <c r="F1200" s="81">
        <v>8.75</v>
      </c>
      <c r="G1200" s="222">
        <v>24</v>
      </c>
      <c r="H1200" s="186"/>
      <c r="I1200" s="186"/>
      <c r="J1200" s="308"/>
      <c r="K1200" s="227">
        <v>6</v>
      </c>
      <c r="L1200" s="82">
        <f t="shared" si="525"/>
        <v>18</v>
      </c>
      <c r="M1200" s="331">
        <v>18</v>
      </c>
      <c r="N1200" s="161">
        <f t="shared" ref="N1200" si="532">F1200*L1200</f>
        <v>157.5</v>
      </c>
      <c r="O1200" s="161">
        <f t="shared" ref="O1200" si="533">M1200*F1200</f>
        <v>157.5</v>
      </c>
      <c r="P1200" s="187">
        <f t="shared" ref="P1200" si="534">L1200-M1200</f>
        <v>0</v>
      </c>
      <c r="Q1200" s="161">
        <f t="shared" ref="Q1200" si="535">N1200-O1200</f>
        <v>0</v>
      </c>
      <c r="R1200" s="85"/>
      <c r="S1200" s="86">
        <f t="shared" ref="S1200" si="536">U1200+Y1200+W1200+AA1200</f>
        <v>48</v>
      </c>
      <c r="T1200" s="87">
        <f t="shared" ref="T1200" si="537">M1200-S1200</f>
        <v>-30</v>
      </c>
      <c r="Y1200">
        <v>48</v>
      </c>
    </row>
    <row r="1201" spans="2:31" ht="20.100000000000001" hidden="1" customHeight="1">
      <c r="B1201" s="77">
        <v>9</v>
      </c>
      <c r="C1201" s="78" t="s">
        <v>1693</v>
      </c>
      <c r="D1201" s="79" t="s">
        <v>3745</v>
      </c>
      <c r="E1201" s="80" t="s">
        <v>3746</v>
      </c>
      <c r="F1201" s="81">
        <v>14.5</v>
      </c>
      <c r="G1201" s="222">
        <v>17</v>
      </c>
      <c r="H1201" s="186"/>
      <c r="I1201" s="186"/>
      <c r="J1201" s="308"/>
      <c r="K1201" s="227">
        <v>4</v>
      </c>
      <c r="L1201" s="82">
        <f t="shared" si="525"/>
        <v>13</v>
      </c>
      <c r="M1201" s="331">
        <v>13</v>
      </c>
      <c r="N1201" s="161">
        <f t="shared" ref="N1201" si="538">F1201*L1201</f>
        <v>188.5</v>
      </c>
      <c r="O1201" s="161">
        <f t="shared" ref="O1201" si="539">M1201*F1201</f>
        <v>188.5</v>
      </c>
      <c r="P1201" s="187">
        <f t="shared" ref="P1201" si="540">L1201-M1201</f>
        <v>0</v>
      </c>
      <c r="Q1201" s="161">
        <f t="shared" ref="Q1201" si="541">N1201-O1201</f>
        <v>0</v>
      </c>
      <c r="R1201" s="85"/>
      <c r="S1201" s="86">
        <f t="shared" ref="S1201" si="542">U1201+Y1201+W1201+AA1201</f>
        <v>48</v>
      </c>
      <c r="T1201" s="87">
        <f t="shared" ref="T1201" si="543">M1201-S1201</f>
        <v>-35</v>
      </c>
      <c r="Y1201">
        <v>48</v>
      </c>
    </row>
    <row r="1202" spans="2:31" ht="20.100000000000001" hidden="1" customHeight="1">
      <c r="B1202" s="77">
        <v>9</v>
      </c>
      <c r="C1202" s="78" t="s">
        <v>1693</v>
      </c>
      <c r="D1202" s="79" t="s">
        <v>2245</v>
      </c>
      <c r="E1202" s="80" t="s">
        <v>2246</v>
      </c>
      <c r="F1202" s="81">
        <v>63.95</v>
      </c>
      <c r="G1202" s="222">
        <v>48</v>
      </c>
      <c r="H1202" s="186"/>
      <c r="I1202" s="186"/>
      <c r="J1202" s="308"/>
      <c r="K1202" s="227"/>
      <c r="L1202" s="82">
        <f t="shared" si="525"/>
        <v>48</v>
      </c>
      <c r="M1202" s="331">
        <v>48</v>
      </c>
      <c r="N1202" s="161">
        <f t="shared" si="527"/>
        <v>3069.6000000000004</v>
      </c>
      <c r="O1202" s="161">
        <f t="shared" si="528"/>
        <v>3069.6000000000004</v>
      </c>
      <c r="P1202" s="187">
        <f t="shared" si="529"/>
        <v>0</v>
      </c>
      <c r="Q1202" s="161">
        <f t="shared" si="530"/>
        <v>0</v>
      </c>
      <c r="R1202" s="232"/>
      <c r="S1202" s="86">
        <f t="shared" si="531"/>
        <v>48</v>
      </c>
      <c r="T1202" s="87">
        <f t="shared" si="526"/>
        <v>0</v>
      </c>
      <c r="Y1202">
        <v>48</v>
      </c>
    </row>
    <row r="1203" spans="2:31" ht="20.100000000000001" hidden="1" customHeight="1">
      <c r="B1203" s="77">
        <v>9</v>
      </c>
      <c r="C1203" s="78" t="s">
        <v>1693</v>
      </c>
      <c r="D1203" s="79" t="s">
        <v>2247</v>
      </c>
      <c r="E1203" s="80" t="s">
        <v>2248</v>
      </c>
      <c r="F1203" s="81">
        <v>5.92</v>
      </c>
      <c r="G1203" s="222">
        <v>400</v>
      </c>
      <c r="H1203" s="186"/>
      <c r="I1203" s="186"/>
      <c r="J1203" s="308"/>
      <c r="K1203" s="227"/>
      <c r="L1203" s="82">
        <f t="shared" si="525"/>
        <v>400</v>
      </c>
      <c r="M1203" s="331">
        <v>400</v>
      </c>
      <c r="N1203" s="161">
        <f t="shared" si="527"/>
        <v>2368</v>
      </c>
      <c r="O1203" s="161">
        <f t="shared" si="528"/>
        <v>2368</v>
      </c>
      <c r="P1203" s="187">
        <f t="shared" si="529"/>
        <v>0</v>
      </c>
      <c r="Q1203" s="161">
        <f t="shared" si="530"/>
        <v>0</v>
      </c>
      <c r="R1203" s="85"/>
      <c r="S1203" s="86">
        <f t="shared" si="531"/>
        <v>406</v>
      </c>
      <c r="T1203" s="87">
        <f t="shared" si="526"/>
        <v>-6</v>
      </c>
      <c r="U1203">
        <f>10+6+126</f>
        <v>142</v>
      </c>
      <c r="Y1203">
        <v>264</v>
      </c>
    </row>
    <row r="1204" spans="2:31" ht="20.100000000000001" hidden="1" customHeight="1">
      <c r="B1204" s="77">
        <v>9</v>
      </c>
      <c r="C1204" s="78" t="s">
        <v>1693</v>
      </c>
      <c r="D1204" s="79" t="s">
        <v>2249</v>
      </c>
      <c r="E1204" s="80" t="s">
        <v>2250</v>
      </c>
      <c r="F1204" s="81">
        <v>63.95</v>
      </c>
      <c r="G1204" s="222">
        <v>147</v>
      </c>
      <c r="H1204" s="186"/>
      <c r="I1204" s="186"/>
      <c r="J1204" s="308"/>
      <c r="K1204" s="227"/>
      <c r="L1204" s="82">
        <f t="shared" si="525"/>
        <v>147</v>
      </c>
      <c r="M1204" s="331">
        <v>147</v>
      </c>
      <c r="N1204" s="161">
        <f t="shared" si="527"/>
        <v>9400.65</v>
      </c>
      <c r="O1204" s="161">
        <f t="shared" si="528"/>
        <v>9400.65</v>
      </c>
      <c r="P1204" s="187">
        <f t="shared" si="529"/>
        <v>0</v>
      </c>
      <c r="Q1204" s="161">
        <f t="shared" si="530"/>
        <v>0</v>
      </c>
      <c r="R1204" s="232"/>
      <c r="S1204" s="86">
        <f t="shared" si="531"/>
        <v>78</v>
      </c>
      <c r="T1204" s="87">
        <f t="shared" si="526"/>
        <v>69</v>
      </c>
      <c r="U1204">
        <v>8</v>
      </c>
      <c r="Y1204">
        <f>24+46</f>
        <v>70</v>
      </c>
    </row>
    <row r="1205" spans="2:31" ht="20.100000000000001" hidden="1" customHeight="1">
      <c r="B1205" s="77">
        <v>9</v>
      </c>
      <c r="C1205" s="78" t="s">
        <v>1693</v>
      </c>
      <c r="D1205" s="79" t="s">
        <v>2251</v>
      </c>
      <c r="E1205" s="80" t="s">
        <v>2252</v>
      </c>
      <c r="F1205" s="81">
        <v>5.92</v>
      </c>
      <c r="G1205" s="222">
        <v>585</v>
      </c>
      <c r="H1205" s="186"/>
      <c r="I1205" s="186"/>
      <c r="J1205" s="308"/>
      <c r="K1205" s="227"/>
      <c r="L1205" s="82">
        <f t="shared" si="525"/>
        <v>585</v>
      </c>
      <c r="M1205" s="331">
        <v>585</v>
      </c>
      <c r="N1205" s="161">
        <f t="shared" si="527"/>
        <v>3463.2</v>
      </c>
      <c r="O1205" s="161">
        <f t="shared" si="528"/>
        <v>3463.2</v>
      </c>
      <c r="P1205" s="187">
        <f t="shared" si="529"/>
        <v>0</v>
      </c>
      <c r="Q1205" s="161">
        <f t="shared" si="530"/>
        <v>0</v>
      </c>
      <c r="R1205" s="85"/>
      <c r="S1205" s="86">
        <f t="shared" si="531"/>
        <v>584</v>
      </c>
      <c r="T1205" s="87">
        <f t="shared" si="526"/>
        <v>1</v>
      </c>
      <c r="U1205">
        <v>4</v>
      </c>
      <c r="Y1205">
        <v>576</v>
      </c>
      <c r="AA1205">
        <v>4</v>
      </c>
      <c r="AB1205" t="s">
        <v>888</v>
      </c>
      <c r="AD1205">
        <f>AA1205</f>
        <v>4</v>
      </c>
      <c r="AE1205" s="89">
        <f>AD1205*F1205</f>
        <v>23.68</v>
      </c>
    </row>
    <row r="1206" spans="2:31" ht="20.100000000000001" hidden="1" customHeight="1">
      <c r="B1206" s="77">
        <v>9</v>
      </c>
      <c r="C1206" s="78" t="s">
        <v>1693</v>
      </c>
      <c r="D1206" s="79" t="s">
        <v>2253</v>
      </c>
      <c r="E1206" s="80" t="s">
        <v>2254</v>
      </c>
      <c r="F1206" s="81">
        <v>4.8</v>
      </c>
      <c r="G1206" s="222">
        <v>3</v>
      </c>
      <c r="H1206" s="186"/>
      <c r="I1206" s="186"/>
      <c r="J1206" s="308"/>
      <c r="K1206" s="227"/>
      <c r="L1206" s="82">
        <f t="shared" si="525"/>
        <v>3</v>
      </c>
      <c r="M1206" s="331">
        <v>3</v>
      </c>
      <c r="N1206" s="161">
        <f t="shared" si="527"/>
        <v>14.399999999999999</v>
      </c>
      <c r="O1206" s="161">
        <f t="shared" si="528"/>
        <v>14.399999999999999</v>
      </c>
      <c r="P1206" s="187">
        <f t="shared" si="529"/>
        <v>0</v>
      </c>
      <c r="Q1206" s="161">
        <f t="shared" si="530"/>
        <v>0</v>
      </c>
      <c r="R1206" s="85"/>
      <c r="S1206" s="86">
        <f t="shared" si="531"/>
        <v>4</v>
      </c>
      <c r="T1206" s="87">
        <f t="shared" si="526"/>
        <v>-1</v>
      </c>
      <c r="U1206">
        <v>1</v>
      </c>
      <c r="AA1206">
        <v>3</v>
      </c>
      <c r="AB1206" t="s">
        <v>888</v>
      </c>
      <c r="AD1206">
        <f>AA1206</f>
        <v>3</v>
      </c>
      <c r="AE1206" s="89">
        <f>AD1206*F1206</f>
        <v>14.399999999999999</v>
      </c>
    </row>
    <row r="1207" spans="2:31" ht="20.100000000000001" hidden="1" customHeight="1">
      <c r="B1207" s="77">
        <v>9</v>
      </c>
      <c r="C1207" s="78" t="s">
        <v>1693</v>
      </c>
      <c r="D1207" s="79" t="s">
        <v>2255</v>
      </c>
      <c r="E1207" s="80" t="s">
        <v>2256</v>
      </c>
      <c r="F1207" s="81">
        <v>4.8</v>
      </c>
      <c r="G1207" s="222">
        <v>13</v>
      </c>
      <c r="H1207" s="186"/>
      <c r="I1207" s="186"/>
      <c r="J1207" s="308"/>
      <c r="K1207" s="227"/>
      <c r="L1207" s="82">
        <f t="shared" si="525"/>
        <v>13</v>
      </c>
      <c r="M1207" s="331">
        <v>13</v>
      </c>
      <c r="N1207" s="161">
        <f t="shared" si="527"/>
        <v>62.4</v>
      </c>
      <c r="O1207" s="161">
        <f t="shared" si="528"/>
        <v>62.4</v>
      </c>
      <c r="P1207" s="187">
        <f t="shared" si="529"/>
        <v>0</v>
      </c>
      <c r="Q1207" s="161">
        <f t="shared" si="530"/>
        <v>0</v>
      </c>
      <c r="R1207" s="85"/>
      <c r="S1207" s="86">
        <f t="shared" si="531"/>
        <v>8</v>
      </c>
      <c r="T1207" s="87">
        <f t="shared" si="526"/>
        <v>5</v>
      </c>
      <c r="U1207">
        <f>1+1</f>
        <v>2</v>
      </c>
      <c r="AA1207">
        <v>6</v>
      </c>
      <c r="AB1207" t="s">
        <v>888</v>
      </c>
      <c r="AD1207">
        <f>AA1207</f>
        <v>6</v>
      </c>
      <c r="AE1207" s="89">
        <f>AD1207*F1207</f>
        <v>28.799999999999997</v>
      </c>
    </row>
    <row r="1208" spans="2:31" ht="20.100000000000001" hidden="1" customHeight="1">
      <c r="B1208" s="77">
        <v>9</v>
      </c>
      <c r="C1208" s="78" t="s">
        <v>1693</v>
      </c>
      <c r="D1208" s="79" t="s">
        <v>2257</v>
      </c>
      <c r="E1208" s="80" t="s">
        <v>2258</v>
      </c>
      <c r="F1208" s="81">
        <v>4.8</v>
      </c>
      <c r="G1208" s="222">
        <v>18</v>
      </c>
      <c r="H1208" s="186"/>
      <c r="I1208" s="186"/>
      <c r="J1208" s="308"/>
      <c r="K1208" s="227"/>
      <c r="L1208" s="82">
        <f t="shared" si="525"/>
        <v>18</v>
      </c>
      <c r="M1208" s="331">
        <f>12+6</f>
        <v>18</v>
      </c>
      <c r="N1208" s="161">
        <f t="shared" si="527"/>
        <v>86.399999999999991</v>
      </c>
      <c r="O1208" s="161">
        <f t="shared" si="528"/>
        <v>86.399999999999991</v>
      </c>
      <c r="P1208" s="187">
        <f t="shared" si="529"/>
        <v>0</v>
      </c>
      <c r="Q1208" s="161">
        <f t="shared" si="530"/>
        <v>0</v>
      </c>
      <c r="R1208" s="85"/>
      <c r="S1208" s="86">
        <f t="shared" si="531"/>
        <v>18</v>
      </c>
      <c r="T1208" s="87">
        <f t="shared" si="526"/>
        <v>0</v>
      </c>
      <c r="U1208">
        <v>18</v>
      </c>
    </row>
    <row r="1209" spans="2:31" ht="20.100000000000001" hidden="1" customHeight="1">
      <c r="B1209" s="77">
        <v>9</v>
      </c>
      <c r="C1209" s="78" t="s">
        <v>1693</v>
      </c>
      <c r="D1209" s="79" t="s">
        <v>2259</v>
      </c>
      <c r="E1209" s="80" t="s">
        <v>2260</v>
      </c>
      <c r="F1209" s="81">
        <v>53.55</v>
      </c>
      <c r="G1209" s="222"/>
      <c r="H1209" s="186"/>
      <c r="I1209" s="186"/>
      <c r="J1209" s="308"/>
      <c r="K1209" s="227"/>
      <c r="L1209" s="82">
        <f t="shared" si="525"/>
        <v>0</v>
      </c>
      <c r="M1209" s="331"/>
      <c r="N1209" s="161">
        <f t="shared" si="527"/>
        <v>0</v>
      </c>
      <c r="O1209" s="161">
        <f t="shared" si="528"/>
        <v>0</v>
      </c>
      <c r="P1209" s="187">
        <f t="shared" si="529"/>
        <v>0</v>
      </c>
      <c r="Q1209" s="161">
        <f t="shared" si="530"/>
        <v>0</v>
      </c>
      <c r="R1209" s="85"/>
      <c r="S1209" s="86">
        <f t="shared" si="531"/>
        <v>0</v>
      </c>
      <c r="T1209" s="87">
        <f t="shared" si="526"/>
        <v>0</v>
      </c>
    </row>
    <row r="1210" spans="2:31" ht="20.100000000000001" hidden="1" customHeight="1">
      <c r="B1210" s="77">
        <v>9</v>
      </c>
      <c r="C1210" s="78" t="s">
        <v>1693</v>
      </c>
      <c r="D1210" s="79" t="s">
        <v>2261</v>
      </c>
      <c r="E1210" s="80" t="s">
        <v>2262</v>
      </c>
      <c r="F1210" s="81">
        <v>46.5</v>
      </c>
      <c r="G1210" s="222"/>
      <c r="H1210" s="186"/>
      <c r="I1210" s="186"/>
      <c r="J1210" s="308"/>
      <c r="K1210" s="227"/>
      <c r="L1210" s="82">
        <f t="shared" si="525"/>
        <v>0</v>
      </c>
      <c r="M1210" s="331"/>
      <c r="N1210" s="161">
        <f t="shared" si="527"/>
        <v>0</v>
      </c>
      <c r="O1210" s="161">
        <f t="shared" si="528"/>
        <v>0</v>
      </c>
      <c r="P1210" s="187">
        <f t="shared" si="529"/>
        <v>0</v>
      </c>
      <c r="Q1210" s="161">
        <f t="shared" si="530"/>
        <v>0</v>
      </c>
      <c r="R1210" s="232"/>
      <c r="S1210" s="86">
        <f t="shared" si="531"/>
        <v>2</v>
      </c>
      <c r="T1210" s="87">
        <f t="shared" si="526"/>
        <v>-2</v>
      </c>
      <c r="U1210">
        <v>2</v>
      </c>
    </row>
    <row r="1211" spans="2:31" ht="20.100000000000001" hidden="1" customHeight="1">
      <c r="B1211" s="77">
        <v>9</v>
      </c>
      <c r="C1211" s="78" t="s">
        <v>1693</v>
      </c>
      <c r="D1211" s="79" t="s">
        <v>2263</v>
      </c>
      <c r="E1211" s="80" t="s">
        <v>2264</v>
      </c>
      <c r="F1211" s="81">
        <v>27</v>
      </c>
      <c r="G1211" s="222">
        <v>6</v>
      </c>
      <c r="H1211" s="186"/>
      <c r="I1211" s="186"/>
      <c r="J1211" s="308"/>
      <c r="K1211" s="227">
        <v>2</v>
      </c>
      <c r="L1211" s="82">
        <f t="shared" si="525"/>
        <v>4</v>
      </c>
      <c r="M1211" s="331">
        <v>4</v>
      </c>
      <c r="N1211" s="161">
        <f t="shared" si="527"/>
        <v>108</v>
      </c>
      <c r="O1211" s="161">
        <f t="shared" si="528"/>
        <v>108</v>
      </c>
      <c r="P1211" s="187">
        <f t="shared" si="529"/>
        <v>0</v>
      </c>
      <c r="Q1211" s="161">
        <f t="shared" si="530"/>
        <v>0</v>
      </c>
      <c r="R1211" s="85"/>
      <c r="S1211" s="86">
        <f t="shared" si="531"/>
        <v>6</v>
      </c>
      <c r="T1211" s="87">
        <f t="shared" si="526"/>
        <v>-2</v>
      </c>
      <c r="U1211">
        <v>6</v>
      </c>
    </row>
    <row r="1212" spans="2:31" ht="20.100000000000001" hidden="1" customHeight="1">
      <c r="B1212" s="77">
        <v>9</v>
      </c>
      <c r="C1212" s="78" t="s">
        <v>1693</v>
      </c>
      <c r="D1212" s="79" t="s">
        <v>2265</v>
      </c>
      <c r="E1212" s="80" t="s">
        <v>2266</v>
      </c>
      <c r="F1212" s="81">
        <v>39.35</v>
      </c>
      <c r="G1212" s="222"/>
      <c r="H1212" s="186"/>
      <c r="I1212" s="186"/>
      <c r="J1212" s="308"/>
      <c r="K1212" s="227"/>
      <c r="L1212" s="82">
        <f t="shared" si="525"/>
        <v>0</v>
      </c>
      <c r="M1212" s="331"/>
      <c r="N1212" s="161">
        <f t="shared" si="527"/>
        <v>0</v>
      </c>
      <c r="O1212" s="161">
        <f t="shared" si="528"/>
        <v>0</v>
      </c>
      <c r="P1212" s="187">
        <f t="shared" si="529"/>
        <v>0</v>
      </c>
      <c r="Q1212" s="161">
        <f t="shared" si="530"/>
        <v>0</v>
      </c>
      <c r="R1212" s="85"/>
      <c r="S1212" s="86">
        <f t="shared" si="531"/>
        <v>0</v>
      </c>
      <c r="T1212" s="87">
        <f t="shared" si="526"/>
        <v>0</v>
      </c>
    </row>
    <row r="1213" spans="2:31" ht="20.100000000000001" hidden="1" customHeight="1">
      <c r="B1213" s="77">
        <v>9</v>
      </c>
      <c r="C1213" s="78" t="s">
        <v>1693</v>
      </c>
      <c r="D1213" s="79" t="s">
        <v>2267</v>
      </c>
      <c r="E1213" s="80" t="s">
        <v>2268</v>
      </c>
      <c r="F1213" s="81">
        <v>27</v>
      </c>
      <c r="G1213" s="222">
        <v>11</v>
      </c>
      <c r="H1213" s="186"/>
      <c r="I1213" s="186"/>
      <c r="J1213" s="308"/>
      <c r="K1213" s="227"/>
      <c r="L1213" s="82">
        <f t="shared" si="525"/>
        <v>11</v>
      </c>
      <c r="M1213" s="331">
        <v>11</v>
      </c>
      <c r="N1213" s="161">
        <f t="shared" si="527"/>
        <v>297</v>
      </c>
      <c r="O1213" s="161">
        <f t="shared" si="528"/>
        <v>297</v>
      </c>
      <c r="P1213" s="187">
        <f t="shared" si="529"/>
        <v>0</v>
      </c>
      <c r="Q1213" s="161">
        <f t="shared" si="530"/>
        <v>0</v>
      </c>
      <c r="R1213" s="85"/>
      <c r="S1213" s="86">
        <f t="shared" si="531"/>
        <v>12</v>
      </c>
      <c r="T1213" s="87">
        <f t="shared" si="526"/>
        <v>-1</v>
      </c>
      <c r="U1213">
        <f>11+1</f>
        <v>12</v>
      </c>
    </row>
    <row r="1214" spans="2:31" ht="20.100000000000001" hidden="1" customHeight="1">
      <c r="B1214" s="77">
        <v>9</v>
      </c>
      <c r="C1214" s="78" t="s">
        <v>1693</v>
      </c>
      <c r="D1214" s="79" t="s">
        <v>2269</v>
      </c>
      <c r="E1214" s="80" t="s">
        <v>2270</v>
      </c>
      <c r="F1214" s="81">
        <v>55</v>
      </c>
      <c r="G1214" s="222">
        <v>1</v>
      </c>
      <c r="H1214" s="186"/>
      <c r="I1214" s="186"/>
      <c r="J1214" s="308"/>
      <c r="K1214" s="227"/>
      <c r="L1214" s="82">
        <f t="shared" si="525"/>
        <v>1</v>
      </c>
      <c r="M1214" s="331">
        <v>1</v>
      </c>
      <c r="N1214" s="161">
        <f t="shared" si="527"/>
        <v>55</v>
      </c>
      <c r="O1214" s="161">
        <f t="shared" si="528"/>
        <v>55</v>
      </c>
      <c r="P1214" s="187">
        <f t="shared" si="529"/>
        <v>0</v>
      </c>
      <c r="Q1214" s="161">
        <f t="shared" si="530"/>
        <v>0</v>
      </c>
      <c r="R1214" s="85"/>
      <c r="S1214" s="86">
        <f t="shared" si="531"/>
        <v>1</v>
      </c>
      <c r="T1214" s="87">
        <f t="shared" si="526"/>
        <v>0</v>
      </c>
      <c r="U1214">
        <v>1</v>
      </c>
    </row>
    <row r="1215" spans="2:31" ht="20.100000000000001" hidden="1" customHeight="1">
      <c r="B1215" s="77">
        <v>9</v>
      </c>
      <c r="C1215" s="78" t="s">
        <v>1693</v>
      </c>
      <c r="D1215" s="79" t="s">
        <v>2271</v>
      </c>
      <c r="E1215" s="80" t="s">
        <v>2272</v>
      </c>
      <c r="F1215" s="81">
        <v>58</v>
      </c>
      <c r="G1215" s="222">
        <v>29</v>
      </c>
      <c r="H1215" s="186"/>
      <c r="I1215" s="186"/>
      <c r="J1215" s="308"/>
      <c r="K1215" s="227">
        <v>1</v>
      </c>
      <c r="L1215" s="82">
        <f t="shared" si="525"/>
        <v>28</v>
      </c>
      <c r="M1215" s="331">
        <v>28</v>
      </c>
      <c r="N1215" s="161">
        <f t="shared" si="527"/>
        <v>1624</v>
      </c>
      <c r="O1215" s="161">
        <f t="shared" si="528"/>
        <v>1624</v>
      </c>
      <c r="P1215" s="187">
        <f t="shared" si="529"/>
        <v>0</v>
      </c>
      <c r="Q1215" s="161">
        <f t="shared" si="530"/>
        <v>0</v>
      </c>
      <c r="R1215" s="85"/>
      <c r="S1215" s="86">
        <f t="shared" si="531"/>
        <v>30</v>
      </c>
      <c r="T1215" s="87">
        <f t="shared" si="526"/>
        <v>-2</v>
      </c>
      <c r="U1215">
        <v>12</v>
      </c>
      <c r="Y1215">
        <v>18</v>
      </c>
    </row>
    <row r="1216" spans="2:31" ht="20.100000000000001" hidden="1" customHeight="1">
      <c r="B1216" s="77">
        <v>9</v>
      </c>
      <c r="C1216" s="78" t="s">
        <v>1693</v>
      </c>
      <c r="D1216" s="79" t="s">
        <v>2273</v>
      </c>
      <c r="E1216" s="80" t="s">
        <v>2274</v>
      </c>
      <c r="F1216" s="81">
        <v>6.15</v>
      </c>
      <c r="G1216" s="222"/>
      <c r="H1216" s="186"/>
      <c r="I1216" s="186"/>
      <c r="J1216" s="308"/>
      <c r="K1216" s="227"/>
      <c r="L1216" s="82">
        <f t="shared" si="525"/>
        <v>0</v>
      </c>
      <c r="M1216" s="331"/>
      <c r="N1216" s="161">
        <f t="shared" si="527"/>
        <v>0</v>
      </c>
      <c r="O1216" s="161">
        <f t="shared" si="528"/>
        <v>0</v>
      </c>
      <c r="P1216" s="187">
        <f t="shared" si="529"/>
        <v>0</v>
      </c>
      <c r="Q1216" s="161">
        <f t="shared" si="530"/>
        <v>0</v>
      </c>
      <c r="R1216" s="85"/>
      <c r="S1216" s="86">
        <f t="shared" si="531"/>
        <v>0</v>
      </c>
      <c r="T1216" s="87">
        <f t="shared" si="526"/>
        <v>0</v>
      </c>
    </row>
    <row r="1217" spans="2:25" ht="20.100000000000001" hidden="1" customHeight="1">
      <c r="B1217" s="77">
        <v>9</v>
      </c>
      <c r="C1217" s="78" t="s">
        <v>1693</v>
      </c>
      <c r="D1217" s="79" t="s">
        <v>2275</v>
      </c>
      <c r="E1217" s="80" t="s">
        <v>2276</v>
      </c>
      <c r="F1217" s="81">
        <v>115.5</v>
      </c>
      <c r="G1217" s="222">
        <v>3</v>
      </c>
      <c r="H1217" s="186"/>
      <c r="I1217" s="186"/>
      <c r="J1217" s="308"/>
      <c r="K1217" s="227"/>
      <c r="L1217" s="82">
        <f t="shared" si="525"/>
        <v>3</v>
      </c>
      <c r="M1217" s="331">
        <v>3</v>
      </c>
      <c r="N1217" s="161">
        <f t="shared" si="527"/>
        <v>346.5</v>
      </c>
      <c r="O1217" s="161">
        <f t="shared" si="528"/>
        <v>346.5</v>
      </c>
      <c r="P1217" s="187">
        <f t="shared" si="529"/>
        <v>0</v>
      </c>
      <c r="Q1217" s="161">
        <f t="shared" si="530"/>
        <v>0</v>
      </c>
      <c r="R1217" s="85"/>
      <c r="S1217" s="86">
        <f t="shared" si="531"/>
        <v>2</v>
      </c>
      <c r="T1217" s="87">
        <f t="shared" si="526"/>
        <v>1</v>
      </c>
      <c r="U1217">
        <v>2</v>
      </c>
    </row>
    <row r="1218" spans="2:25" ht="20.100000000000001" hidden="1" customHeight="1">
      <c r="B1218" s="77">
        <v>9</v>
      </c>
      <c r="C1218" s="78" t="s">
        <v>1693</v>
      </c>
      <c r="D1218" s="79" t="s">
        <v>2277</v>
      </c>
      <c r="E1218" s="80" t="s">
        <v>2278</v>
      </c>
      <c r="F1218" s="81">
        <v>104.5</v>
      </c>
      <c r="G1218" s="222">
        <v>1</v>
      </c>
      <c r="H1218" s="186"/>
      <c r="I1218" s="186"/>
      <c r="J1218" s="308"/>
      <c r="K1218" s="227"/>
      <c r="L1218" s="82">
        <f t="shared" si="525"/>
        <v>1</v>
      </c>
      <c r="M1218" s="331">
        <v>1</v>
      </c>
      <c r="N1218" s="161">
        <f t="shared" si="527"/>
        <v>104.5</v>
      </c>
      <c r="O1218" s="161">
        <f t="shared" si="528"/>
        <v>104.5</v>
      </c>
      <c r="P1218" s="187">
        <f t="shared" si="529"/>
        <v>0</v>
      </c>
      <c r="Q1218" s="161">
        <f t="shared" si="530"/>
        <v>0</v>
      </c>
      <c r="R1218" s="85"/>
      <c r="S1218" s="86">
        <f t="shared" si="531"/>
        <v>1</v>
      </c>
      <c r="T1218" s="87">
        <f t="shared" si="526"/>
        <v>0</v>
      </c>
      <c r="U1218">
        <v>1</v>
      </c>
    </row>
    <row r="1219" spans="2:25" ht="20.100000000000001" hidden="1" customHeight="1">
      <c r="B1219" s="77">
        <v>9</v>
      </c>
      <c r="C1219" s="78" t="s">
        <v>1693</v>
      </c>
      <c r="D1219" s="79" t="s">
        <v>2279</v>
      </c>
      <c r="E1219" s="80" t="s">
        <v>2280</v>
      </c>
      <c r="F1219" s="81">
        <v>132</v>
      </c>
      <c r="G1219" s="222">
        <v>1</v>
      </c>
      <c r="H1219" s="186"/>
      <c r="I1219" s="186"/>
      <c r="J1219" s="308"/>
      <c r="K1219" s="227"/>
      <c r="L1219" s="82">
        <f t="shared" si="525"/>
        <v>1</v>
      </c>
      <c r="M1219" s="331">
        <v>1</v>
      </c>
      <c r="N1219" s="161">
        <f t="shared" si="527"/>
        <v>132</v>
      </c>
      <c r="O1219" s="161">
        <f t="shared" si="528"/>
        <v>132</v>
      </c>
      <c r="P1219" s="187">
        <f t="shared" si="529"/>
        <v>0</v>
      </c>
      <c r="Q1219" s="161">
        <f t="shared" si="530"/>
        <v>0</v>
      </c>
      <c r="R1219" s="85"/>
      <c r="S1219" s="86">
        <f t="shared" si="531"/>
        <v>1</v>
      </c>
      <c r="T1219" s="87">
        <f t="shared" si="526"/>
        <v>0</v>
      </c>
      <c r="U1219">
        <v>1</v>
      </c>
    </row>
    <row r="1220" spans="2:25" ht="20.100000000000001" hidden="1" customHeight="1">
      <c r="B1220" s="77">
        <v>9</v>
      </c>
      <c r="C1220" s="78" t="s">
        <v>1693</v>
      </c>
      <c r="D1220" s="79" t="s">
        <v>2281</v>
      </c>
      <c r="E1220" s="80" t="s">
        <v>2282</v>
      </c>
      <c r="F1220" s="81">
        <v>143.25</v>
      </c>
      <c r="G1220" s="222"/>
      <c r="H1220" s="186"/>
      <c r="I1220" s="186"/>
      <c r="J1220" s="308"/>
      <c r="K1220" s="227"/>
      <c r="L1220" s="82">
        <f t="shared" si="525"/>
        <v>0</v>
      </c>
      <c r="M1220" s="331"/>
      <c r="N1220" s="161">
        <f t="shared" si="527"/>
        <v>0</v>
      </c>
      <c r="O1220" s="161">
        <f t="shared" si="528"/>
        <v>0</v>
      </c>
      <c r="P1220" s="187">
        <f t="shared" si="529"/>
        <v>0</v>
      </c>
      <c r="Q1220" s="161">
        <f t="shared" si="530"/>
        <v>0</v>
      </c>
      <c r="R1220" s="85"/>
      <c r="S1220" s="86">
        <f t="shared" si="531"/>
        <v>0</v>
      </c>
      <c r="T1220" s="87">
        <f t="shared" si="526"/>
        <v>0</v>
      </c>
    </row>
    <row r="1221" spans="2:25" ht="30" hidden="1">
      <c r="B1221" s="77">
        <v>9</v>
      </c>
      <c r="C1221" s="78" t="s">
        <v>1693</v>
      </c>
      <c r="D1221" s="79" t="s">
        <v>2283</v>
      </c>
      <c r="E1221" s="80" t="s">
        <v>2284</v>
      </c>
      <c r="F1221" s="81">
        <v>60.5</v>
      </c>
      <c r="G1221" s="222">
        <v>4</v>
      </c>
      <c r="H1221" s="186"/>
      <c r="I1221" s="186"/>
      <c r="J1221" s="308"/>
      <c r="K1221" s="227"/>
      <c r="L1221" s="82">
        <f t="shared" si="525"/>
        <v>4</v>
      </c>
      <c r="M1221" s="331">
        <v>4</v>
      </c>
      <c r="N1221" s="161">
        <f t="shared" si="527"/>
        <v>242</v>
      </c>
      <c r="O1221" s="161">
        <f t="shared" si="528"/>
        <v>242</v>
      </c>
      <c r="P1221" s="187">
        <f t="shared" si="529"/>
        <v>0</v>
      </c>
      <c r="Q1221" s="161">
        <f t="shared" si="530"/>
        <v>0</v>
      </c>
      <c r="R1221" s="85"/>
      <c r="S1221" s="86">
        <f t="shared" si="531"/>
        <v>48</v>
      </c>
      <c r="T1221" s="87">
        <f t="shared" si="526"/>
        <v>-44</v>
      </c>
      <c r="U1221">
        <v>48</v>
      </c>
    </row>
    <row r="1222" spans="2:25" ht="20.100000000000001" hidden="1" customHeight="1">
      <c r="B1222" s="77">
        <v>9</v>
      </c>
      <c r="C1222" s="78" t="s">
        <v>1693</v>
      </c>
      <c r="D1222" s="79" t="s">
        <v>2285</v>
      </c>
      <c r="E1222" s="80" t="s">
        <v>2286</v>
      </c>
      <c r="F1222" s="81">
        <v>66</v>
      </c>
      <c r="G1222" s="222"/>
      <c r="H1222" s="186"/>
      <c r="I1222" s="186"/>
      <c r="J1222" s="308"/>
      <c r="K1222" s="227"/>
      <c r="L1222" s="82">
        <f t="shared" si="525"/>
        <v>0</v>
      </c>
      <c r="M1222" s="331"/>
      <c r="N1222" s="161">
        <f t="shared" si="527"/>
        <v>0</v>
      </c>
      <c r="O1222" s="161">
        <f t="shared" si="528"/>
        <v>0</v>
      </c>
      <c r="P1222" s="187">
        <f t="shared" si="529"/>
        <v>0</v>
      </c>
      <c r="Q1222" s="161">
        <f t="shared" si="530"/>
        <v>0</v>
      </c>
      <c r="R1222" s="85"/>
      <c r="S1222" s="86">
        <f t="shared" si="531"/>
        <v>0</v>
      </c>
      <c r="T1222" s="87">
        <f t="shared" si="526"/>
        <v>0</v>
      </c>
    </row>
    <row r="1223" spans="2:25" ht="20.100000000000001" hidden="1" customHeight="1">
      <c r="B1223" s="77">
        <v>9</v>
      </c>
      <c r="C1223" s="78" t="s">
        <v>1693</v>
      </c>
      <c r="D1223" s="79" t="s">
        <v>2287</v>
      </c>
      <c r="E1223" s="80" t="s">
        <v>2288</v>
      </c>
      <c r="F1223" s="81">
        <v>6</v>
      </c>
      <c r="G1223" s="222">
        <v>124</v>
      </c>
      <c r="H1223" s="186"/>
      <c r="I1223" s="186"/>
      <c r="J1223" s="308"/>
      <c r="K1223" s="227">
        <v>2</v>
      </c>
      <c r="L1223" s="82">
        <f t="shared" si="525"/>
        <v>122</v>
      </c>
      <c r="M1223" s="331">
        <v>122</v>
      </c>
      <c r="N1223" s="161">
        <f t="shared" si="527"/>
        <v>732</v>
      </c>
      <c r="O1223" s="161">
        <f t="shared" si="528"/>
        <v>732</v>
      </c>
      <c r="P1223" s="187">
        <f t="shared" si="529"/>
        <v>0</v>
      </c>
      <c r="Q1223" s="161">
        <f t="shared" si="530"/>
        <v>0</v>
      </c>
      <c r="R1223" s="85"/>
      <c r="S1223" s="86">
        <f t="shared" si="531"/>
        <v>168</v>
      </c>
      <c r="T1223" s="87">
        <f t="shared" si="526"/>
        <v>-46</v>
      </c>
      <c r="U1223">
        <v>168</v>
      </c>
    </row>
    <row r="1224" spans="2:25" ht="30" hidden="1">
      <c r="B1224" s="77">
        <v>9</v>
      </c>
      <c r="C1224" s="78" t="s">
        <v>1693</v>
      </c>
      <c r="D1224" s="79" t="s">
        <v>2289</v>
      </c>
      <c r="E1224" s="80" t="s">
        <v>2290</v>
      </c>
      <c r="F1224" s="81">
        <v>4.5</v>
      </c>
      <c r="G1224" s="222">
        <v>127</v>
      </c>
      <c r="H1224" s="186"/>
      <c r="I1224" s="186"/>
      <c r="J1224" s="308"/>
      <c r="K1224" s="227"/>
      <c r="L1224" s="82">
        <f t="shared" si="525"/>
        <v>127</v>
      </c>
      <c r="M1224" s="331">
        <f>43+84</f>
        <v>127</v>
      </c>
      <c r="N1224" s="161">
        <f t="shared" si="527"/>
        <v>571.5</v>
      </c>
      <c r="O1224" s="161">
        <f t="shared" si="528"/>
        <v>571.5</v>
      </c>
      <c r="P1224" s="187">
        <f t="shared" si="529"/>
        <v>0</v>
      </c>
      <c r="Q1224" s="161">
        <f t="shared" si="530"/>
        <v>0</v>
      </c>
      <c r="R1224" s="232"/>
      <c r="S1224" s="86">
        <f t="shared" si="531"/>
        <v>126</v>
      </c>
      <c r="T1224" s="87">
        <f t="shared" si="526"/>
        <v>1</v>
      </c>
      <c r="U1224">
        <v>42</v>
      </c>
      <c r="Y1224">
        <v>84</v>
      </c>
    </row>
    <row r="1225" spans="2:25" ht="20.100000000000001" hidden="1" customHeight="1">
      <c r="B1225" s="77">
        <v>9</v>
      </c>
      <c r="C1225" s="78" t="s">
        <v>1693</v>
      </c>
      <c r="D1225" s="79" t="s">
        <v>2291</v>
      </c>
      <c r="E1225" s="80" t="s">
        <v>2292</v>
      </c>
      <c r="F1225" s="81">
        <v>5</v>
      </c>
      <c r="G1225" s="222">
        <v>332</v>
      </c>
      <c r="H1225" s="186"/>
      <c r="I1225" s="186"/>
      <c r="J1225" s="308"/>
      <c r="K1225" s="227"/>
      <c r="L1225" s="82">
        <f t="shared" si="525"/>
        <v>332</v>
      </c>
      <c r="M1225" s="331">
        <f>324+8</f>
        <v>332</v>
      </c>
      <c r="N1225" s="161">
        <f t="shared" si="527"/>
        <v>1660</v>
      </c>
      <c r="O1225" s="161">
        <f t="shared" si="528"/>
        <v>1660</v>
      </c>
      <c r="P1225" s="187">
        <f t="shared" si="529"/>
        <v>0</v>
      </c>
      <c r="Q1225" s="161">
        <f t="shared" si="530"/>
        <v>0</v>
      </c>
      <c r="R1225" s="85"/>
      <c r="S1225" s="86">
        <f t="shared" si="531"/>
        <v>331</v>
      </c>
      <c r="T1225" s="87">
        <f t="shared" si="526"/>
        <v>1</v>
      </c>
      <c r="U1225">
        <v>7</v>
      </c>
      <c r="Y1225">
        <f>180+144</f>
        <v>324</v>
      </c>
    </row>
    <row r="1226" spans="2:25" ht="20.100000000000001" hidden="1" customHeight="1">
      <c r="B1226" s="77">
        <v>9</v>
      </c>
      <c r="C1226" s="78" t="s">
        <v>1693</v>
      </c>
      <c r="D1226" s="79" t="s">
        <v>2293</v>
      </c>
      <c r="E1226" s="80" t="s">
        <v>2294</v>
      </c>
      <c r="F1226" s="81">
        <v>6</v>
      </c>
      <c r="G1226" s="222">
        <v>134</v>
      </c>
      <c r="H1226" s="186"/>
      <c r="I1226" s="186"/>
      <c r="J1226" s="308"/>
      <c r="K1226" s="227"/>
      <c r="L1226" s="82">
        <f t="shared" si="525"/>
        <v>134</v>
      </c>
      <c r="M1226" s="331">
        <v>134</v>
      </c>
      <c r="N1226" s="161">
        <f t="shared" si="527"/>
        <v>804</v>
      </c>
      <c r="O1226" s="161">
        <f t="shared" si="528"/>
        <v>804</v>
      </c>
      <c r="P1226" s="187">
        <f t="shared" si="529"/>
        <v>0</v>
      </c>
      <c r="Q1226" s="161">
        <f t="shared" si="530"/>
        <v>0</v>
      </c>
      <c r="R1226" s="85"/>
      <c r="S1226" s="86">
        <f t="shared" si="531"/>
        <v>134</v>
      </c>
      <c r="T1226" s="87">
        <f t="shared" si="526"/>
        <v>0</v>
      </c>
      <c r="U1226">
        <v>2</v>
      </c>
      <c r="Y1226">
        <v>132</v>
      </c>
    </row>
    <row r="1227" spans="2:25" ht="20.100000000000001" hidden="1" customHeight="1">
      <c r="B1227" s="77">
        <v>9</v>
      </c>
      <c r="C1227" s="78" t="s">
        <v>1693</v>
      </c>
      <c r="D1227" s="79" t="s">
        <v>2295</v>
      </c>
      <c r="E1227" s="80" t="s">
        <v>2296</v>
      </c>
      <c r="F1227" s="81">
        <v>45</v>
      </c>
      <c r="G1227" s="222"/>
      <c r="H1227" s="186"/>
      <c r="I1227" s="186"/>
      <c r="J1227" s="308"/>
      <c r="K1227" s="227"/>
      <c r="L1227" s="82">
        <f t="shared" si="525"/>
        <v>0</v>
      </c>
      <c r="M1227" s="331"/>
      <c r="N1227" s="161">
        <f t="shared" si="527"/>
        <v>0</v>
      </c>
      <c r="O1227" s="161">
        <f t="shared" si="528"/>
        <v>0</v>
      </c>
      <c r="P1227" s="187">
        <f t="shared" si="529"/>
        <v>0</v>
      </c>
      <c r="Q1227" s="161">
        <f t="shared" si="530"/>
        <v>0</v>
      </c>
      <c r="R1227" s="232"/>
      <c r="S1227" s="86">
        <f t="shared" si="531"/>
        <v>0</v>
      </c>
      <c r="T1227" s="87">
        <f t="shared" si="526"/>
        <v>0</v>
      </c>
    </row>
    <row r="1228" spans="2:25" ht="20.100000000000001" hidden="1" customHeight="1">
      <c r="B1228" s="77">
        <v>9</v>
      </c>
      <c r="C1228" s="78" t="s">
        <v>1693</v>
      </c>
      <c r="D1228" s="79" t="s">
        <v>2297</v>
      </c>
      <c r="E1228" s="80" t="s">
        <v>2298</v>
      </c>
      <c r="F1228" s="81">
        <v>4.3499999999999996</v>
      </c>
      <c r="G1228" s="222">
        <v>1</v>
      </c>
      <c r="H1228" s="186"/>
      <c r="I1228" s="186"/>
      <c r="J1228" s="308"/>
      <c r="K1228" s="227"/>
      <c r="L1228" s="82">
        <f t="shared" si="525"/>
        <v>1</v>
      </c>
      <c r="M1228" s="331">
        <v>1</v>
      </c>
      <c r="N1228" s="161">
        <f t="shared" si="527"/>
        <v>4.3499999999999996</v>
      </c>
      <c r="O1228" s="161">
        <f t="shared" si="528"/>
        <v>4.3499999999999996</v>
      </c>
      <c r="P1228" s="187">
        <f t="shared" si="529"/>
        <v>0</v>
      </c>
      <c r="Q1228" s="161">
        <f t="shared" si="530"/>
        <v>0</v>
      </c>
      <c r="R1228" s="232"/>
      <c r="S1228" s="86">
        <f t="shared" si="531"/>
        <v>2</v>
      </c>
      <c r="T1228" s="87">
        <f t="shared" si="526"/>
        <v>-1</v>
      </c>
      <c r="U1228">
        <v>2</v>
      </c>
    </row>
    <row r="1229" spans="2:25" ht="20.100000000000001" hidden="1" customHeight="1">
      <c r="B1229" s="77">
        <v>9</v>
      </c>
      <c r="C1229" s="78" t="s">
        <v>1693</v>
      </c>
      <c r="D1229" s="79" t="s">
        <v>2299</v>
      </c>
      <c r="E1229" s="80" t="s">
        <v>2300</v>
      </c>
      <c r="F1229" s="81">
        <v>26.86</v>
      </c>
      <c r="G1229" s="222"/>
      <c r="H1229" s="186"/>
      <c r="I1229" s="186"/>
      <c r="J1229" s="308"/>
      <c r="K1229" s="227"/>
      <c r="L1229" s="82">
        <f t="shared" si="525"/>
        <v>0</v>
      </c>
      <c r="M1229" s="331"/>
      <c r="N1229" s="161">
        <f t="shared" si="527"/>
        <v>0</v>
      </c>
      <c r="O1229" s="161">
        <f t="shared" si="528"/>
        <v>0</v>
      </c>
      <c r="P1229" s="187">
        <f t="shared" si="529"/>
        <v>0</v>
      </c>
      <c r="Q1229" s="161">
        <f t="shared" si="530"/>
        <v>0</v>
      </c>
      <c r="R1229" s="85"/>
      <c r="S1229" s="86">
        <f t="shared" si="531"/>
        <v>0</v>
      </c>
      <c r="T1229" s="87">
        <f t="shared" si="526"/>
        <v>0</v>
      </c>
    </row>
    <row r="1230" spans="2:25" ht="20.100000000000001" hidden="1" customHeight="1">
      <c r="B1230" s="77">
        <v>9</v>
      </c>
      <c r="C1230" s="78" t="s">
        <v>1693</v>
      </c>
      <c r="D1230" s="79" t="s">
        <v>2301</v>
      </c>
      <c r="E1230" s="80" t="s">
        <v>2302</v>
      </c>
      <c r="F1230" s="81">
        <v>46.08</v>
      </c>
      <c r="G1230" s="222"/>
      <c r="H1230" s="186"/>
      <c r="I1230" s="186"/>
      <c r="J1230" s="308"/>
      <c r="K1230" s="227"/>
      <c r="L1230" s="82">
        <f t="shared" si="525"/>
        <v>0</v>
      </c>
      <c r="M1230" s="331"/>
      <c r="N1230" s="161">
        <f t="shared" si="527"/>
        <v>0</v>
      </c>
      <c r="O1230" s="161">
        <f t="shared" si="528"/>
        <v>0</v>
      </c>
      <c r="P1230" s="187">
        <f t="shared" si="529"/>
        <v>0</v>
      </c>
      <c r="Q1230" s="161">
        <f t="shared" si="530"/>
        <v>0</v>
      </c>
      <c r="R1230" s="85"/>
      <c r="S1230" s="86">
        <f t="shared" si="531"/>
        <v>0</v>
      </c>
      <c r="T1230" s="87">
        <f t="shared" si="526"/>
        <v>0</v>
      </c>
    </row>
    <row r="1231" spans="2:25" ht="20.100000000000001" hidden="1" customHeight="1">
      <c r="B1231" s="77">
        <v>9</v>
      </c>
      <c r="C1231" s="78" t="s">
        <v>1693</v>
      </c>
      <c r="D1231" s="79" t="s">
        <v>2303</v>
      </c>
      <c r="E1231" s="80" t="s">
        <v>2304</v>
      </c>
      <c r="F1231" s="81">
        <v>56.66</v>
      </c>
      <c r="G1231" s="222">
        <v>5</v>
      </c>
      <c r="H1231" s="186"/>
      <c r="I1231" s="186"/>
      <c r="J1231" s="308"/>
      <c r="K1231" s="227">
        <v>2</v>
      </c>
      <c r="L1231" s="82">
        <f t="shared" si="525"/>
        <v>3</v>
      </c>
      <c r="M1231" s="331">
        <v>3</v>
      </c>
      <c r="N1231" s="161">
        <f t="shared" si="527"/>
        <v>169.98</v>
      </c>
      <c r="O1231" s="161">
        <f t="shared" si="528"/>
        <v>169.98</v>
      </c>
      <c r="P1231" s="187">
        <f t="shared" si="529"/>
        <v>0</v>
      </c>
      <c r="Q1231" s="161">
        <f t="shared" si="530"/>
        <v>0</v>
      </c>
      <c r="R1231" s="232"/>
      <c r="S1231" s="86">
        <f t="shared" si="531"/>
        <v>60</v>
      </c>
      <c r="T1231" s="87">
        <f t="shared" si="526"/>
        <v>-57</v>
      </c>
      <c r="U1231">
        <v>60</v>
      </c>
    </row>
    <row r="1232" spans="2:25" ht="20.100000000000001" hidden="1" customHeight="1">
      <c r="B1232" s="77">
        <v>9</v>
      </c>
      <c r="C1232" s="78" t="s">
        <v>1693</v>
      </c>
      <c r="D1232" s="79" t="s">
        <v>2305</v>
      </c>
      <c r="E1232" s="80" t="s">
        <v>2306</v>
      </c>
      <c r="F1232" s="81">
        <v>5.15</v>
      </c>
      <c r="G1232" s="222">
        <v>114</v>
      </c>
      <c r="H1232" s="186"/>
      <c r="I1232" s="186"/>
      <c r="J1232" s="308"/>
      <c r="K1232" s="227">
        <v>4</v>
      </c>
      <c r="L1232" s="82">
        <f t="shared" si="525"/>
        <v>110</v>
      </c>
      <c r="M1232" s="331">
        <v>110</v>
      </c>
      <c r="N1232" s="161">
        <f t="shared" si="527"/>
        <v>566.5</v>
      </c>
      <c r="O1232" s="161">
        <f t="shared" si="528"/>
        <v>566.5</v>
      </c>
      <c r="P1232" s="187">
        <f t="shared" si="529"/>
        <v>0</v>
      </c>
      <c r="Q1232" s="161">
        <f t="shared" si="530"/>
        <v>0</v>
      </c>
      <c r="R1232" s="232"/>
      <c r="S1232" s="86">
        <f t="shared" si="531"/>
        <v>115</v>
      </c>
      <c r="T1232" s="87">
        <f t="shared" si="526"/>
        <v>-5</v>
      </c>
      <c r="U1232">
        <v>7</v>
      </c>
      <c r="Y1232">
        <v>108</v>
      </c>
    </row>
    <row r="1233" spans="2:31" ht="20.100000000000001" hidden="1" customHeight="1">
      <c r="B1233" s="77">
        <v>9</v>
      </c>
      <c r="C1233" s="78" t="s">
        <v>1693</v>
      </c>
      <c r="D1233" s="79" t="s">
        <v>2307</v>
      </c>
      <c r="E1233" s="80" t="s">
        <v>2308</v>
      </c>
      <c r="F1233" s="81">
        <v>5.15</v>
      </c>
      <c r="G1233" s="222">
        <v>156</v>
      </c>
      <c r="H1233" s="186"/>
      <c r="I1233" s="186"/>
      <c r="J1233" s="308"/>
      <c r="K1233" s="227"/>
      <c r="L1233" s="82">
        <f t="shared" si="525"/>
        <v>156</v>
      </c>
      <c r="M1233" s="331">
        <v>156</v>
      </c>
      <c r="N1233" s="161">
        <f t="shared" si="527"/>
        <v>803.40000000000009</v>
      </c>
      <c r="O1233" s="161">
        <f t="shared" si="528"/>
        <v>803.40000000000009</v>
      </c>
      <c r="P1233" s="187">
        <f t="shared" si="529"/>
        <v>0</v>
      </c>
      <c r="Q1233" s="161">
        <f t="shared" si="530"/>
        <v>0</v>
      </c>
      <c r="R1233" s="85"/>
      <c r="S1233" s="86">
        <f t="shared" si="531"/>
        <v>157</v>
      </c>
      <c r="T1233" s="87">
        <f t="shared" si="526"/>
        <v>-1</v>
      </c>
      <c r="U1233">
        <v>1</v>
      </c>
      <c r="Y1233">
        <v>156</v>
      </c>
    </row>
    <row r="1234" spans="2:31" ht="20.100000000000001" hidden="1" customHeight="1">
      <c r="B1234" s="77">
        <v>9</v>
      </c>
      <c r="C1234" s="78" t="s">
        <v>1693</v>
      </c>
      <c r="D1234" s="79" t="s">
        <v>2309</v>
      </c>
      <c r="E1234" s="80" t="s">
        <v>2310</v>
      </c>
      <c r="F1234" s="81">
        <v>25</v>
      </c>
      <c r="G1234" s="222">
        <v>2</v>
      </c>
      <c r="H1234" s="186"/>
      <c r="I1234" s="186"/>
      <c r="J1234" s="308"/>
      <c r="K1234" s="227"/>
      <c r="L1234" s="82">
        <f t="shared" si="525"/>
        <v>2</v>
      </c>
      <c r="M1234" s="331">
        <v>2</v>
      </c>
      <c r="N1234" s="161">
        <f t="shared" si="527"/>
        <v>50</v>
      </c>
      <c r="O1234" s="161">
        <f t="shared" si="528"/>
        <v>50</v>
      </c>
      <c r="P1234" s="187">
        <f t="shared" si="529"/>
        <v>0</v>
      </c>
      <c r="Q1234" s="161">
        <f t="shared" si="530"/>
        <v>0</v>
      </c>
      <c r="R1234" s="85" t="s">
        <v>2150</v>
      </c>
      <c r="S1234" s="86">
        <f t="shared" si="531"/>
        <v>2</v>
      </c>
      <c r="T1234" s="87">
        <f t="shared" si="526"/>
        <v>0</v>
      </c>
      <c r="U1234">
        <v>2</v>
      </c>
      <c r="V1234" s="88" t="s">
        <v>45</v>
      </c>
      <c r="AD1234" s="17">
        <f>M1234</f>
        <v>2</v>
      </c>
      <c r="AE1234" s="89">
        <f>AD1234*F1234</f>
        <v>50</v>
      </c>
    </row>
    <row r="1235" spans="2:31" ht="20.100000000000001" hidden="1" customHeight="1">
      <c r="B1235" s="77">
        <v>10</v>
      </c>
      <c r="C1235" s="78" t="s">
        <v>2311</v>
      </c>
      <c r="D1235" s="79" t="s">
        <v>2312</v>
      </c>
      <c r="E1235" s="80" t="s">
        <v>2313</v>
      </c>
      <c r="F1235" s="81">
        <v>55</v>
      </c>
      <c r="G1235" s="222">
        <v>3</v>
      </c>
      <c r="H1235" s="186"/>
      <c r="I1235" s="186"/>
      <c r="J1235" s="308"/>
      <c r="K1235" s="227"/>
      <c r="L1235" s="82">
        <f t="shared" si="525"/>
        <v>3</v>
      </c>
      <c r="M1235" s="331">
        <v>3</v>
      </c>
      <c r="N1235" s="161">
        <f t="shared" si="527"/>
        <v>165</v>
      </c>
      <c r="O1235" s="161">
        <f t="shared" si="528"/>
        <v>165</v>
      </c>
      <c r="P1235" s="187">
        <f t="shared" si="529"/>
        <v>0</v>
      </c>
      <c r="Q1235" s="161">
        <f t="shared" si="530"/>
        <v>0</v>
      </c>
      <c r="R1235" s="85"/>
      <c r="S1235" s="86">
        <f t="shared" si="531"/>
        <v>3</v>
      </c>
      <c r="T1235" s="87">
        <f t="shared" si="526"/>
        <v>0</v>
      </c>
      <c r="U1235">
        <v>3</v>
      </c>
    </row>
    <row r="1236" spans="2:31" ht="20.100000000000001" hidden="1" customHeight="1">
      <c r="B1236" s="77">
        <v>10</v>
      </c>
      <c r="C1236" s="78" t="s">
        <v>2311</v>
      </c>
      <c r="D1236" s="79" t="s">
        <v>2314</v>
      </c>
      <c r="E1236" s="80" t="s">
        <v>2315</v>
      </c>
      <c r="F1236" s="81">
        <v>78</v>
      </c>
      <c r="G1236" s="222">
        <v>3</v>
      </c>
      <c r="H1236" s="186"/>
      <c r="I1236" s="186"/>
      <c r="J1236" s="308"/>
      <c r="K1236" s="227"/>
      <c r="L1236" s="82">
        <f t="shared" si="525"/>
        <v>3</v>
      </c>
      <c r="M1236" s="331">
        <v>3</v>
      </c>
      <c r="N1236" s="161">
        <f t="shared" si="527"/>
        <v>234</v>
      </c>
      <c r="O1236" s="161">
        <f t="shared" si="528"/>
        <v>234</v>
      </c>
      <c r="P1236" s="187">
        <f t="shared" si="529"/>
        <v>0</v>
      </c>
      <c r="Q1236" s="161">
        <f t="shared" si="530"/>
        <v>0</v>
      </c>
      <c r="R1236" s="85"/>
      <c r="S1236" s="86">
        <f t="shared" si="531"/>
        <v>3</v>
      </c>
      <c r="T1236" s="87">
        <f t="shared" si="526"/>
        <v>0</v>
      </c>
      <c r="U1236">
        <v>3</v>
      </c>
    </row>
    <row r="1237" spans="2:31" ht="20.100000000000001" hidden="1" customHeight="1">
      <c r="B1237" s="77">
        <v>10</v>
      </c>
      <c r="C1237" s="78" t="s">
        <v>2311</v>
      </c>
      <c r="D1237" s="79" t="s">
        <v>2316</v>
      </c>
      <c r="E1237" s="80" t="s">
        <v>2317</v>
      </c>
      <c r="F1237" s="81">
        <v>140</v>
      </c>
      <c r="G1237" s="222">
        <v>12</v>
      </c>
      <c r="H1237" s="186"/>
      <c r="I1237" s="186"/>
      <c r="J1237" s="308"/>
      <c r="K1237" s="227"/>
      <c r="L1237" s="82">
        <f t="shared" si="525"/>
        <v>12</v>
      </c>
      <c r="M1237" s="331">
        <v>12</v>
      </c>
      <c r="N1237" s="161">
        <f t="shared" si="527"/>
        <v>1680</v>
      </c>
      <c r="O1237" s="161">
        <f t="shared" si="528"/>
        <v>1680</v>
      </c>
      <c r="P1237" s="187">
        <f t="shared" si="529"/>
        <v>0</v>
      </c>
      <c r="Q1237" s="161">
        <f t="shared" si="530"/>
        <v>0</v>
      </c>
      <c r="R1237" s="85"/>
      <c r="S1237" s="86">
        <f t="shared" si="531"/>
        <v>12</v>
      </c>
      <c r="T1237" s="87">
        <f t="shared" si="526"/>
        <v>0</v>
      </c>
      <c r="U1237">
        <v>12</v>
      </c>
    </row>
    <row r="1238" spans="2:31" ht="20.100000000000001" hidden="1" customHeight="1">
      <c r="B1238" s="77">
        <v>10</v>
      </c>
      <c r="C1238" s="78" t="s">
        <v>2311</v>
      </c>
      <c r="D1238" s="79" t="s">
        <v>2318</v>
      </c>
      <c r="E1238" s="80" t="s">
        <v>2319</v>
      </c>
      <c r="F1238" s="81">
        <v>65</v>
      </c>
      <c r="G1238" s="222">
        <v>12</v>
      </c>
      <c r="H1238" s="186"/>
      <c r="I1238" s="186"/>
      <c r="J1238" s="308"/>
      <c r="K1238" s="227">
        <v>10</v>
      </c>
      <c r="L1238" s="82">
        <f t="shared" si="525"/>
        <v>2</v>
      </c>
      <c r="M1238" s="331">
        <v>2</v>
      </c>
      <c r="N1238" s="161">
        <f t="shared" si="527"/>
        <v>130</v>
      </c>
      <c r="O1238" s="161">
        <f t="shared" si="528"/>
        <v>130</v>
      </c>
      <c r="P1238" s="187">
        <f t="shared" si="529"/>
        <v>0</v>
      </c>
      <c r="Q1238" s="161">
        <f t="shared" si="530"/>
        <v>0</v>
      </c>
      <c r="R1238" s="85"/>
      <c r="S1238" s="86">
        <f t="shared" si="531"/>
        <v>12</v>
      </c>
      <c r="T1238" s="87">
        <f t="shared" si="526"/>
        <v>-10</v>
      </c>
      <c r="U1238">
        <v>12</v>
      </c>
    </row>
    <row r="1239" spans="2:31" ht="20.100000000000001" hidden="1" customHeight="1">
      <c r="B1239" s="77">
        <v>10</v>
      </c>
      <c r="C1239" s="78" t="s">
        <v>2311</v>
      </c>
      <c r="D1239" s="79" t="s">
        <v>2320</v>
      </c>
      <c r="E1239" s="80" t="s">
        <v>2321</v>
      </c>
      <c r="F1239" s="81">
        <v>62.75</v>
      </c>
      <c r="G1239" s="222">
        <v>12</v>
      </c>
      <c r="H1239" s="186"/>
      <c r="I1239" s="186"/>
      <c r="J1239" s="308"/>
      <c r="K1239" s="227"/>
      <c r="L1239" s="82">
        <f t="shared" si="525"/>
        <v>12</v>
      </c>
      <c r="M1239" s="331">
        <v>12</v>
      </c>
      <c r="N1239" s="161">
        <f t="shared" si="527"/>
        <v>753</v>
      </c>
      <c r="O1239" s="161">
        <f t="shared" si="528"/>
        <v>753</v>
      </c>
      <c r="P1239" s="187">
        <f t="shared" si="529"/>
        <v>0</v>
      </c>
      <c r="Q1239" s="161">
        <f t="shared" si="530"/>
        <v>0</v>
      </c>
      <c r="R1239" s="85"/>
      <c r="S1239" s="86">
        <f t="shared" si="531"/>
        <v>12</v>
      </c>
      <c r="T1239" s="87">
        <f t="shared" si="526"/>
        <v>0</v>
      </c>
      <c r="U1239">
        <v>12</v>
      </c>
    </row>
    <row r="1240" spans="2:31" ht="20.100000000000001" hidden="1" customHeight="1">
      <c r="B1240" s="77">
        <v>10</v>
      </c>
      <c r="C1240" s="78" t="s">
        <v>2311</v>
      </c>
      <c r="D1240" s="79" t="s">
        <v>2320</v>
      </c>
      <c r="E1240" s="80" t="s">
        <v>2321</v>
      </c>
      <c r="F1240" s="81">
        <v>65</v>
      </c>
      <c r="G1240" s="222"/>
      <c r="H1240" s="186"/>
      <c r="I1240" s="186"/>
      <c r="J1240" s="308"/>
      <c r="K1240" s="227"/>
      <c r="L1240" s="82">
        <f t="shared" si="525"/>
        <v>0</v>
      </c>
      <c r="M1240" s="331"/>
      <c r="N1240" s="161">
        <f t="shared" si="527"/>
        <v>0</v>
      </c>
      <c r="O1240" s="161">
        <f t="shared" si="528"/>
        <v>0</v>
      </c>
      <c r="P1240" s="187">
        <f t="shared" si="529"/>
        <v>0</v>
      </c>
      <c r="Q1240" s="161">
        <f t="shared" si="530"/>
        <v>0</v>
      </c>
      <c r="R1240" s="85"/>
      <c r="S1240" s="86">
        <f t="shared" si="531"/>
        <v>0</v>
      </c>
      <c r="T1240" s="87">
        <f t="shared" si="526"/>
        <v>0</v>
      </c>
    </row>
    <row r="1241" spans="2:31" ht="20.100000000000001" hidden="1" customHeight="1">
      <c r="B1241" s="77">
        <v>10</v>
      </c>
      <c r="C1241" s="78" t="s">
        <v>2311</v>
      </c>
      <c r="D1241" s="79" t="s">
        <v>2322</v>
      </c>
      <c r="E1241" s="80" t="s">
        <v>2323</v>
      </c>
      <c r="F1241" s="81">
        <v>43.5</v>
      </c>
      <c r="G1241" s="222">
        <v>11</v>
      </c>
      <c r="H1241" s="186"/>
      <c r="I1241" s="186"/>
      <c r="J1241" s="308"/>
      <c r="K1241" s="227"/>
      <c r="L1241" s="82">
        <f t="shared" si="525"/>
        <v>11</v>
      </c>
      <c r="M1241" s="331">
        <v>11</v>
      </c>
      <c r="N1241" s="161">
        <f t="shared" si="527"/>
        <v>478.5</v>
      </c>
      <c r="O1241" s="161">
        <f t="shared" si="528"/>
        <v>478.5</v>
      </c>
      <c r="P1241" s="187">
        <f t="shared" si="529"/>
        <v>0</v>
      </c>
      <c r="Q1241" s="161">
        <f t="shared" si="530"/>
        <v>0</v>
      </c>
      <c r="R1241" s="85"/>
      <c r="S1241" s="86">
        <f t="shared" si="531"/>
        <v>11</v>
      </c>
      <c r="T1241" s="87">
        <f t="shared" si="526"/>
        <v>0</v>
      </c>
      <c r="U1241">
        <v>11</v>
      </c>
    </row>
    <row r="1242" spans="2:31" hidden="1">
      <c r="B1242" s="77">
        <v>10</v>
      </c>
      <c r="C1242" s="78" t="s">
        <v>2311</v>
      </c>
      <c r="D1242" s="79" t="s">
        <v>2324</v>
      </c>
      <c r="E1242" s="80" t="s">
        <v>2325</v>
      </c>
      <c r="F1242" s="81">
        <v>32</v>
      </c>
      <c r="G1242" s="222"/>
      <c r="H1242" s="186"/>
      <c r="I1242" s="186"/>
      <c r="J1242" s="308"/>
      <c r="K1242" s="227"/>
      <c r="L1242" s="82">
        <f t="shared" si="525"/>
        <v>0</v>
      </c>
      <c r="M1242" s="331"/>
      <c r="N1242" s="161">
        <f t="shared" si="527"/>
        <v>0</v>
      </c>
      <c r="O1242" s="161">
        <f t="shared" si="528"/>
        <v>0</v>
      </c>
      <c r="P1242" s="187">
        <f t="shared" si="529"/>
        <v>0</v>
      </c>
      <c r="Q1242" s="161">
        <f t="shared" si="530"/>
        <v>0</v>
      </c>
      <c r="R1242" s="85"/>
      <c r="S1242" s="86">
        <f t="shared" si="531"/>
        <v>0</v>
      </c>
      <c r="T1242" s="87">
        <f t="shared" si="526"/>
        <v>0</v>
      </c>
    </row>
    <row r="1243" spans="2:31" ht="20.100000000000001" hidden="1" customHeight="1">
      <c r="B1243" s="77">
        <v>10</v>
      </c>
      <c r="C1243" s="78" t="s">
        <v>2311</v>
      </c>
      <c r="D1243" s="79" t="s">
        <v>2326</v>
      </c>
      <c r="E1243" s="80" t="s">
        <v>2327</v>
      </c>
      <c r="F1243" s="81">
        <v>43.5</v>
      </c>
      <c r="G1243" s="222">
        <v>12</v>
      </c>
      <c r="H1243" s="186"/>
      <c r="I1243" s="186"/>
      <c r="J1243" s="308"/>
      <c r="K1243" s="227"/>
      <c r="L1243" s="82">
        <f t="shared" si="525"/>
        <v>12</v>
      </c>
      <c r="M1243" s="331">
        <v>12</v>
      </c>
      <c r="N1243" s="161">
        <f t="shared" si="527"/>
        <v>522</v>
      </c>
      <c r="O1243" s="161">
        <f t="shared" si="528"/>
        <v>522</v>
      </c>
      <c r="P1243" s="187">
        <f t="shared" si="529"/>
        <v>0</v>
      </c>
      <c r="Q1243" s="161">
        <f t="shared" si="530"/>
        <v>0</v>
      </c>
      <c r="R1243" s="85"/>
      <c r="S1243" s="86">
        <f t="shared" si="531"/>
        <v>12</v>
      </c>
      <c r="T1243" s="87">
        <f t="shared" si="526"/>
        <v>0</v>
      </c>
      <c r="U1243">
        <v>12</v>
      </c>
    </row>
    <row r="1244" spans="2:31" ht="20.100000000000001" hidden="1" customHeight="1">
      <c r="B1244" s="77">
        <v>10</v>
      </c>
      <c r="C1244" s="78" t="s">
        <v>2311</v>
      </c>
      <c r="D1244" s="79" t="s">
        <v>2328</v>
      </c>
      <c r="E1244" s="80" t="s">
        <v>2329</v>
      </c>
      <c r="F1244" s="81">
        <v>55</v>
      </c>
      <c r="G1244" s="222"/>
      <c r="H1244" s="186"/>
      <c r="I1244" s="186"/>
      <c r="J1244" s="308"/>
      <c r="K1244" s="227"/>
      <c r="L1244" s="82">
        <f t="shared" si="525"/>
        <v>0</v>
      </c>
      <c r="M1244" s="331"/>
      <c r="N1244" s="161">
        <f t="shared" si="527"/>
        <v>0</v>
      </c>
      <c r="O1244" s="161">
        <f t="shared" si="528"/>
        <v>0</v>
      </c>
      <c r="P1244" s="187">
        <f t="shared" si="529"/>
        <v>0</v>
      </c>
      <c r="Q1244" s="161">
        <f t="shared" si="530"/>
        <v>0</v>
      </c>
      <c r="R1244" s="85"/>
      <c r="S1244" s="86">
        <f t="shared" si="531"/>
        <v>0</v>
      </c>
      <c r="T1244" s="87">
        <f t="shared" si="526"/>
        <v>0</v>
      </c>
    </row>
    <row r="1245" spans="2:31" ht="20.100000000000001" hidden="1" customHeight="1">
      <c r="B1245" s="77">
        <v>10</v>
      </c>
      <c r="C1245" s="78" t="s">
        <v>2311</v>
      </c>
      <c r="D1245" s="79" t="s">
        <v>2330</v>
      </c>
      <c r="E1245" s="80" t="s">
        <v>2331</v>
      </c>
      <c r="F1245" s="81">
        <v>32</v>
      </c>
      <c r="G1245" s="222">
        <v>1</v>
      </c>
      <c r="H1245" s="186"/>
      <c r="I1245" s="186"/>
      <c r="J1245" s="308"/>
      <c r="K1245" s="227"/>
      <c r="L1245" s="82">
        <f t="shared" si="525"/>
        <v>1</v>
      </c>
      <c r="M1245" s="331">
        <v>1</v>
      </c>
      <c r="N1245" s="161">
        <f t="shared" si="527"/>
        <v>32</v>
      </c>
      <c r="O1245" s="161">
        <f t="shared" si="528"/>
        <v>32</v>
      </c>
      <c r="P1245" s="187">
        <f t="shared" si="529"/>
        <v>0</v>
      </c>
      <c r="Q1245" s="161">
        <f t="shared" si="530"/>
        <v>0</v>
      </c>
      <c r="R1245" s="85"/>
      <c r="S1245" s="86">
        <f t="shared" si="531"/>
        <v>0</v>
      </c>
      <c r="T1245" s="87">
        <f t="shared" si="526"/>
        <v>1</v>
      </c>
    </row>
    <row r="1246" spans="2:31" ht="20.100000000000001" hidden="1" customHeight="1">
      <c r="B1246" s="77">
        <v>10</v>
      </c>
      <c r="C1246" s="78" t="s">
        <v>2311</v>
      </c>
      <c r="D1246" s="79" t="s">
        <v>2332</v>
      </c>
      <c r="E1246" s="80" t="s">
        <v>2333</v>
      </c>
      <c r="F1246" s="81">
        <v>65</v>
      </c>
      <c r="G1246" s="222">
        <v>2</v>
      </c>
      <c r="H1246" s="186"/>
      <c r="I1246" s="186"/>
      <c r="J1246" s="308"/>
      <c r="K1246" s="227"/>
      <c r="L1246" s="82">
        <f t="shared" si="525"/>
        <v>2</v>
      </c>
      <c r="M1246" s="331">
        <f>1+1</f>
        <v>2</v>
      </c>
      <c r="N1246" s="161">
        <f t="shared" si="527"/>
        <v>130</v>
      </c>
      <c r="O1246" s="161">
        <f t="shared" si="528"/>
        <v>130</v>
      </c>
      <c r="P1246" s="187">
        <f t="shared" si="529"/>
        <v>0</v>
      </c>
      <c r="Q1246" s="161">
        <f t="shared" si="530"/>
        <v>0</v>
      </c>
      <c r="R1246" s="85"/>
      <c r="S1246" s="86">
        <f t="shared" si="531"/>
        <v>12</v>
      </c>
      <c r="T1246" s="87">
        <f t="shared" si="526"/>
        <v>-10</v>
      </c>
      <c r="U1246">
        <v>12</v>
      </c>
    </row>
    <row r="1247" spans="2:31" ht="20.100000000000001" hidden="1" customHeight="1">
      <c r="B1247" s="77">
        <v>10</v>
      </c>
      <c r="C1247" s="78" t="s">
        <v>2311</v>
      </c>
      <c r="D1247" s="79" t="s">
        <v>2334</v>
      </c>
      <c r="E1247" s="80" t="s">
        <v>2335</v>
      </c>
      <c r="F1247" s="81">
        <v>43.5</v>
      </c>
      <c r="G1247" s="222"/>
      <c r="H1247" s="186"/>
      <c r="I1247" s="186"/>
      <c r="J1247" s="308"/>
      <c r="K1247" s="227"/>
      <c r="L1247" s="82">
        <f t="shared" si="525"/>
        <v>0</v>
      </c>
      <c r="M1247" s="331"/>
      <c r="N1247" s="161">
        <f t="shared" si="527"/>
        <v>0</v>
      </c>
      <c r="O1247" s="161">
        <f t="shared" si="528"/>
        <v>0</v>
      </c>
      <c r="P1247" s="187">
        <f t="shared" si="529"/>
        <v>0</v>
      </c>
      <c r="Q1247" s="161">
        <f t="shared" si="530"/>
        <v>0</v>
      </c>
      <c r="R1247" s="85"/>
      <c r="S1247" s="86">
        <f t="shared" si="531"/>
        <v>11</v>
      </c>
      <c r="T1247" s="87">
        <f t="shared" si="526"/>
        <v>-11</v>
      </c>
      <c r="U1247">
        <v>11</v>
      </c>
    </row>
    <row r="1248" spans="2:31" ht="20.100000000000001" hidden="1" customHeight="1">
      <c r="B1248" s="77">
        <v>10</v>
      </c>
      <c r="C1248" s="78" t="s">
        <v>2311</v>
      </c>
      <c r="D1248" s="79" t="s">
        <v>2336</v>
      </c>
      <c r="E1248" s="80" t="s">
        <v>2337</v>
      </c>
      <c r="F1248" s="81">
        <v>32</v>
      </c>
      <c r="G1248" s="222"/>
      <c r="H1248" s="186"/>
      <c r="I1248" s="186"/>
      <c r="J1248" s="308"/>
      <c r="K1248" s="227"/>
      <c r="L1248" s="82">
        <f t="shared" si="525"/>
        <v>0</v>
      </c>
      <c r="M1248" s="331"/>
      <c r="N1248" s="161">
        <f t="shared" si="527"/>
        <v>0</v>
      </c>
      <c r="O1248" s="161">
        <f t="shared" si="528"/>
        <v>0</v>
      </c>
      <c r="P1248" s="187">
        <f t="shared" si="529"/>
        <v>0</v>
      </c>
      <c r="Q1248" s="161">
        <f t="shared" si="530"/>
        <v>0</v>
      </c>
      <c r="R1248" s="85"/>
      <c r="S1248" s="86">
        <f t="shared" si="531"/>
        <v>0</v>
      </c>
      <c r="T1248" s="87">
        <f t="shared" si="526"/>
        <v>0</v>
      </c>
    </row>
    <row r="1249" spans="2:31" ht="20.100000000000001" hidden="1" customHeight="1">
      <c r="B1249" s="77">
        <v>10</v>
      </c>
      <c r="C1249" s="78" t="s">
        <v>2311</v>
      </c>
      <c r="D1249" s="79" t="s">
        <v>2338</v>
      </c>
      <c r="E1249" s="80" t="s">
        <v>2339</v>
      </c>
      <c r="F1249" s="81">
        <v>62.75</v>
      </c>
      <c r="G1249" s="222"/>
      <c r="H1249" s="186"/>
      <c r="I1249" s="186"/>
      <c r="J1249" s="308"/>
      <c r="K1249" s="227"/>
      <c r="L1249" s="82">
        <f t="shared" si="525"/>
        <v>0</v>
      </c>
      <c r="M1249" s="331"/>
      <c r="N1249" s="161">
        <f t="shared" si="527"/>
        <v>0</v>
      </c>
      <c r="O1249" s="161">
        <f t="shared" si="528"/>
        <v>0</v>
      </c>
      <c r="P1249" s="187">
        <f t="shared" si="529"/>
        <v>0</v>
      </c>
      <c r="Q1249" s="161">
        <f t="shared" si="530"/>
        <v>0</v>
      </c>
      <c r="R1249" s="85"/>
      <c r="S1249" s="86">
        <f t="shared" si="531"/>
        <v>0</v>
      </c>
      <c r="T1249" s="87">
        <f t="shared" si="526"/>
        <v>0</v>
      </c>
    </row>
    <row r="1250" spans="2:31" ht="20.100000000000001" hidden="1" customHeight="1">
      <c r="B1250" s="77">
        <v>10</v>
      </c>
      <c r="C1250" s="78" t="s">
        <v>2311</v>
      </c>
      <c r="D1250" s="79" t="s">
        <v>2340</v>
      </c>
      <c r="E1250" s="80" t="s">
        <v>2341</v>
      </c>
      <c r="F1250" s="81">
        <v>41.5</v>
      </c>
      <c r="G1250" s="222"/>
      <c r="H1250" s="186"/>
      <c r="I1250" s="186"/>
      <c r="J1250" s="308"/>
      <c r="K1250" s="227"/>
      <c r="L1250" s="82">
        <f t="shared" si="525"/>
        <v>0</v>
      </c>
      <c r="M1250" s="331"/>
      <c r="N1250" s="161">
        <f t="shared" si="527"/>
        <v>0</v>
      </c>
      <c r="O1250" s="161">
        <f t="shared" si="528"/>
        <v>0</v>
      </c>
      <c r="P1250" s="187">
        <f t="shared" si="529"/>
        <v>0</v>
      </c>
      <c r="Q1250" s="161">
        <f t="shared" si="530"/>
        <v>0</v>
      </c>
      <c r="R1250" s="85"/>
      <c r="S1250" s="86">
        <f t="shared" si="531"/>
        <v>0</v>
      </c>
      <c r="T1250" s="87">
        <f t="shared" si="526"/>
        <v>0</v>
      </c>
    </row>
    <row r="1251" spans="2:31" ht="20.100000000000001" hidden="1" customHeight="1">
      <c r="B1251" s="77">
        <v>10</v>
      </c>
      <c r="C1251" s="78" t="s">
        <v>2311</v>
      </c>
      <c r="D1251" s="79" t="s">
        <v>2340</v>
      </c>
      <c r="E1251" s="80" t="s">
        <v>2341</v>
      </c>
      <c r="F1251" s="81">
        <v>41.5</v>
      </c>
      <c r="G1251" s="222"/>
      <c r="H1251" s="186"/>
      <c r="I1251" s="186"/>
      <c r="J1251" s="308"/>
      <c r="K1251" s="227"/>
      <c r="L1251" s="82">
        <f t="shared" ref="L1251" si="544">G1251+I1251-J1251-K1251+H1251</f>
        <v>0</v>
      </c>
      <c r="M1251" s="331"/>
      <c r="N1251" s="161">
        <f t="shared" ref="N1251" si="545">F1251*L1251</f>
        <v>0</v>
      </c>
      <c r="O1251" s="161">
        <f t="shared" ref="O1251" si="546">M1251*F1251</f>
        <v>0</v>
      </c>
      <c r="P1251" s="187">
        <f t="shared" ref="P1251" si="547">L1251-M1251</f>
        <v>0</v>
      </c>
      <c r="Q1251" s="161">
        <f t="shared" ref="Q1251" si="548">N1251-O1251</f>
        <v>0</v>
      </c>
      <c r="R1251" s="85"/>
      <c r="S1251" s="86">
        <f t="shared" ref="S1251" si="549">U1251+Y1251+W1251+AA1251</f>
        <v>0</v>
      </c>
      <c r="T1251" s="87">
        <f t="shared" ref="T1251" si="550">M1251-S1251</f>
        <v>0</v>
      </c>
    </row>
    <row r="1252" spans="2:31" ht="20.100000000000001" hidden="1" customHeight="1">
      <c r="B1252" s="77">
        <v>10</v>
      </c>
      <c r="C1252" s="78" t="s">
        <v>2311</v>
      </c>
      <c r="D1252" s="79" t="s">
        <v>2344</v>
      </c>
      <c r="E1252" s="80" t="s">
        <v>2345</v>
      </c>
      <c r="F1252" s="81">
        <v>27.25</v>
      </c>
      <c r="G1252" s="222"/>
      <c r="H1252" s="186"/>
      <c r="I1252" s="186"/>
      <c r="J1252" s="308"/>
      <c r="K1252" s="227"/>
      <c r="L1252" s="82">
        <f t="shared" si="525"/>
        <v>0</v>
      </c>
      <c r="M1252" s="331"/>
      <c r="N1252" s="161">
        <f t="shared" si="527"/>
        <v>0</v>
      </c>
      <c r="O1252" s="161">
        <f t="shared" si="528"/>
        <v>0</v>
      </c>
      <c r="P1252" s="187">
        <f t="shared" si="529"/>
        <v>0</v>
      </c>
      <c r="Q1252" s="161">
        <f t="shared" si="530"/>
        <v>0</v>
      </c>
      <c r="R1252" s="85"/>
      <c r="S1252" s="86">
        <f t="shared" si="531"/>
        <v>0</v>
      </c>
      <c r="T1252" s="87">
        <f t="shared" si="526"/>
        <v>0</v>
      </c>
    </row>
    <row r="1253" spans="2:31" ht="20.100000000000001" hidden="1" customHeight="1">
      <c r="B1253" s="77">
        <v>10</v>
      </c>
      <c r="C1253" s="78" t="s">
        <v>2311</v>
      </c>
      <c r="D1253" s="79" t="s">
        <v>2346</v>
      </c>
      <c r="E1253" s="80" t="s">
        <v>2345</v>
      </c>
      <c r="F1253" s="81">
        <v>43.5</v>
      </c>
      <c r="G1253" s="222">
        <v>12</v>
      </c>
      <c r="H1253" s="186"/>
      <c r="I1253" s="186"/>
      <c r="J1253" s="308"/>
      <c r="K1253" s="227"/>
      <c r="L1253" s="82">
        <f t="shared" si="525"/>
        <v>12</v>
      </c>
      <c r="M1253" s="331">
        <v>12</v>
      </c>
      <c r="N1253" s="161">
        <f t="shared" si="527"/>
        <v>522</v>
      </c>
      <c r="O1253" s="161">
        <f t="shared" si="528"/>
        <v>522</v>
      </c>
      <c r="P1253" s="187">
        <f t="shared" si="529"/>
        <v>0</v>
      </c>
      <c r="Q1253" s="161">
        <f t="shared" si="530"/>
        <v>0</v>
      </c>
      <c r="R1253" s="85"/>
      <c r="S1253" s="86">
        <f t="shared" si="531"/>
        <v>12</v>
      </c>
      <c r="T1253" s="87">
        <f t="shared" si="526"/>
        <v>0</v>
      </c>
      <c r="U1253">
        <v>12</v>
      </c>
    </row>
    <row r="1254" spans="2:31" ht="20.100000000000001" hidden="1" customHeight="1">
      <c r="B1254" s="77">
        <v>10</v>
      </c>
      <c r="C1254" s="78" t="s">
        <v>2311</v>
      </c>
      <c r="D1254" s="79" t="s">
        <v>2347</v>
      </c>
      <c r="E1254" s="80" t="s">
        <v>2348</v>
      </c>
      <c r="F1254" s="81">
        <v>65</v>
      </c>
      <c r="G1254" s="222">
        <v>6</v>
      </c>
      <c r="H1254" s="186"/>
      <c r="I1254" s="186"/>
      <c r="J1254" s="308"/>
      <c r="K1254" s="227"/>
      <c r="L1254" s="82">
        <f t="shared" si="525"/>
        <v>6</v>
      </c>
      <c r="M1254" s="331">
        <v>6</v>
      </c>
      <c r="N1254" s="161">
        <f t="shared" si="527"/>
        <v>390</v>
      </c>
      <c r="O1254" s="161">
        <f t="shared" si="528"/>
        <v>390</v>
      </c>
      <c r="P1254" s="187">
        <f t="shared" si="529"/>
        <v>0</v>
      </c>
      <c r="Q1254" s="161">
        <f t="shared" si="530"/>
        <v>0</v>
      </c>
      <c r="R1254" s="85"/>
      <c r="S1254" s="86">
        <f t="shared" si="531"/>
        <v>11</v>
      </c>
      <c r="T1254" s="87">
        <f t="shared" si="526"/>
        <v>-5</v>
      </c>
      <c r="U1254">
        <v>11</v>
      </c>
    </row>
    <row r="1255" spans="2:31" ht="20.100000000000001" hidden="1" customHeight="1">
      <c r="B1255" s="77">
        <v>10</v>
      </c>
      <c r="C1255" s="78" t="s">
        <v>2311</v>
      </c>
      <c r="D1255" s="79" t="s">
        <v>2349</v>
      </c>
      <c r="E1255" s="80" t="s">
        <v>2350</v>
      </c>
      <c r="F1255" s="81">
        <v>43.5</v>
      </c>
      <c r="G1255" s="222">
        <v>2</v>
      </c>
      <c r="H1255" s="186"/>
      <c r="I1255" s="186"/>
      <c r="J1255" s="308"/>
      <c r="K1255" s="227">
        <v>1</v>
      </c>
      <c r="L1255" s="82">
        <f t="shared" si="525"/>
        <v>1</v>
      </c>
      <c r="M1255" s="331">
        <v>1</v>
      </c>
      <c r="N1255" s="161">
        <f t="shared" si="527"/>
        <v>43.5</v>
      </c>
      <c r="O1255" s="161">
        <f t="shared" si="528"/>
        <v>43.5</v>
      </c>
      <c r="P1255" s="187">
        <f t="shared" si="529"/>
        <v>0</v>
      </c>
      <c r="Q1255" s="161">
        <f t="shared" si="530"/>
        <v>0</v>
      </c>
      <c r="R1255" s="85"/>
      <c r="S1255" s="86">
        <f t="shared" si="531"/>
        <v>12</v>
      </c>
      <c r="T1255" s="87">
        <f t="shared" si="526"/>
        <v>-11</v>
      </c>
      <c r="U1255">
        <v>12</v>
      </c>
    </row>
    <row r="1256" spans="2:31" ht="20.100000000000001" hidden="1" customHeight="1">
      <c r="B1256" s="77">
        <v>10</v>
      </c>
      <c r="C1256" s="78" t="s">
        <v>2311</v>
      </c>
      <c r="D1256" s="79" t="s">
        <v>2351</v>
      </c>
      <c r="E1256" s="80" t="s">
        <v>2352</v>
      </c>
      <c r="F1256" s="81">
        <v>55</v>
      </c>
      <c r="G1256" s="222"/>
      <c r="H1256" s="186"/>
      <c r="I1256" s="186"/>
      <c r="J1256" s="308"/>
      <c r="K1256" s="227"/>
      <c r="L1256" s="82">
        <f t="shared" si="525"/>
        <v>0</v>
      </c>
      <c r="M1256" s="331"/>
      <c r="N1256" s="161">
        <f t="shared" si="527"/>
        <v>0</v>
      </c>
      <c r="O1256" s="161">
        <f t="shared" si="528"/>
        <v>0</v>
      </c>
      <c r="P1256" s="187">
        <f t="shared" si="529"/>
        <v>0</v>
      </c>
      <c r="Q1256" s="161">
        <f t="shared" si="530"/>
        <v>0</v>
      </c>
      <c r="R1256" s="85"/>
      <c r="S1256" s="86">
        <f t="shared" si="531"/>
        <v>0</v>
      </c>
      <c r="T1256" s="87">
        <f t="shared" si="526"/>
        <v>0</v>
      </c>
    </row>
    <row r="1257" spans="2:31" ht="20.100000000000001" hidden="1" customHeight="1">
      <c r="B1257" s="77">
        <v>10</v>
      </c>
      <c r="C1257" s="78" t="s">
        <v>2311</v>
      </c>
      <c r="D1257" s="79" t="s">
        <v>2353</v>
      </c>
      <c r="E1257" s="80" t="s">
        <v>2354</v>
      </c>
      <c r="F1257" s="81">
        <v>32</v>
      </c>
      <c r="G1257" s="222"/>
      <c r="H1257" s="186"/>
      <c r="I1257" s="186"/>
      <c r="J1257" s="308"/>
      <c r="K1257" s="227"/>
      <c r="L1257" s="82">
        <f t="shared" si="525"/>
        <v>0</v>
      </c>
      <c r="M1257" s="331"/>
      <c r="N1257" s="161">
        <f t="shared" si="527"/>
        <v>0</v>
      </c>
      <c r="O1257" s="161">
        <f t="shared" si="528"/>
        <v>0</v>
      </c>
      <c r="P1257" s="187">
        <f t="shared" si="529"/>
        <v>0</v>
      </c>
      <c r="Q1257" s="161">
        <f t="shared" si="530"/>
        <v>0</v>
      </c>
      <c r="R1257" s="85"/>
      <c r="S1257" s="86">
        <f t="shared" si="531"/>
        <v>0</v>
      </c>
      <c r="T1257" s="87">
        <f t="shared" si="526"/>
        <v>0</v>
      </c>
    </row>
    <row r="1258" spans="2:31" ht="20.100000000000001" hidden="1" customHeight="1">
      <c r="B1258" s="77">
        <v>10</v>
      </c>
      <c r="C1258" s="78" t="s">
        <v>2311</v>
      </c>
      <c r="D1258" s="79" t="s">
        <v>2355</v>
      </c>
      <c r="E1258" s="80" t="s">
        <v>2356</v>
      </c>
      <c r="F1258" s="81">
        <v>65</v>
      </c>
      <c r="G1258" s="222">
        <v>11</v>
      </c>
      <c r="H1258" s="186"/>
      <c r="I1258" s="186"/>
      <c r="J1258" s="308"/>
      <c r="K1258" s="227">
        <v>10</v>
      </c>
      <c r="L1258" s="82">
        <f t="shared" ref="L1258:L1326" si="551">G1258+I1258-J1258-K1258+H1258</f>
        <v>1</v>
      </c>
      <c r="M1258" s="331">
        <v>1</v>
      </c>
      <c r="N1258" s="161">
        <f t="shared" si="527"/>
        <v>65</v>
      </c>
      <c r="O1258" s="161">
        <f t="shared" si="528"/>
        <v>65</v>
      </c>
      <c r="P1258" s="187">
        <f t="shared" si="529"/>
        <v>0</v>
      </c>
      <c r="Q1258" s="161">
        <f t="shared" si="530"/>
        <v>0</v>
      </c>
      <c r="R1258" s="85"/>
      <c r="S1258" s="86">
        <f t="shared" si="531"/>
        <v>11</v>
      </c>
      <c r="T1258" s="87">
        <f t="shared" si="526"/>
        <v>-10</v>
      </c>
      <c r="U1258">
        <v>11</v>
      </c>
    </row>
    <row r="1259" spans="2:31" ht="20.100000000000001" hidden="1" customHeight="1">
      <c r="B1259" s="77">
        <v>10</v>
      </c>
      <c r="C1259" s="78" t="s">
        <v>2311</v>
      </c>
      <c r="D1259" s="79" t="s">
        <v>2357</v>
      </c>
      <c r="E1259" s="80" t="s">
        <v>2358</v>
      </c>
      <c r="F1259" s="81">
        <v>43.5</v>
      </c>
      <c r="G1259" s="222">
        <v>8</v>
      </c>
      <c r="H1259" s="186"/>
      <c r="I1259" s="186"/>
      <c r="J1259" s="308"/>
      <c r="K1259" s="227">
        <v>1</v>
      </c>
      <c r="L1259" s="82">
        <f t="shared" si="551"/>
        <v>7</v>
      </c>
      <c r="M1259" s="331">
        <v>7</v>
      </c>
      <c r="N1259" s="161">
        <f t="shared" si="527"/>
        <v>304.5</v>
      </c>
      <c r="O1259" s="161">
        <f t="shared" si="528"/>
        <v>304.5</v>
      </c>
      <c r="P1259" s="187">
        <f t="shared" si="529"/>
        <v>0</v>
      </c>
      <c r="Q1259" s="161">
        <f t="shared" si="530"/>
        <v>0</v>
      </c>
      <c r="R1259" s="85"/>
      <c r="S1259" s="86">
        <f t="shared" si="531"/>
        <v>12</v>
      </c>
      <c r="T1259" s="87">
        <f t="shared" si="526"/>
        <v>-5</v>
      </c>
      <c r="U1259">
        <v>12</v>
      </c>
    </row>
    <row r="1260" spans="2:31" ht="20.100000000000001" hidden="1" customHeight="1">
      <c r="B1260" s="77">
        <v>10</v>
      </c>
      <c r="C1260" s="78" t="s">
        <v>2311</v>
      </c>
      <c r="D1260" s="79" t="s">
        <v>2359</v>
      </c>
      <c r="E1260" s="80" t="s">
        <v>2360</v>
      </c>
      <c r="F1260" s="81">
        <v>32</v>
      </c>
      <c r="G1260" s="222"/>
      <c r="H1260" s="186"/>
      <c r="I1260" s="186"/>
      <c r="J1260" s="308"/>
      <c r="K1260" s="227"/>
      <c r="L1260" s="82">
        <f t="shared" si="551"/>
        <v>0</v>
      </c>
      <c r="M1260" s="331"/>
      <c r="N1260" s="161">
        <f t="shared" si="527"/>
        <v>0</v>
      </c>
      <c r="O1260" s="161">
        <f t="shared" si="528"/>
        <v>0</v>
      </c>
      <c r="P1260" s="187">
        <f t="shared" si="529"/>
        <v>0</v>
      </c>
      <c r="Q1260" s="161">
        <f t="shared" si="530"/>
        <v>0</v>
      </c>
      <c r="R1260" s="85"/>
      <c r="S1260" s="86">
        <f t="shared" si="531"/>
        <v>0</v>
      </c>
      <c r="T1260" s="87">
        <f t="shared" si="526"/>
        <v>0</v>
      </c>
    </row>
    <row r="1261" spans="2:31" ht="20.100000000000001" hidden="1" customHeight="1">
      <c r="B1261" s="77">
        <v>10</v>
      </c>
      <c r="C1261" s="78" t="s">
        <v>2311</v>
      </c>
      <c r="D1261" s="79" t="s">
        <v>2361</v>
      </c>
      <c r="E1261" s="80" t="s">
        <v>2362</v>
      </c>
      <c r="F1261" s="81">
        <v>18.75</v>
      </c>
      <c r="G1261" s="222"/>
      <c r="H1261" s="186"/>
      <c r="I1261" s="186"/>
      <c r="J1261" s="308"/>
      <c r="K1261" s="227"/>
      <c r="L1261" s="82">
        <f t="shared" si="551"/>
        <v>0</v>
      </c>
      <c r="M1261" s="331"/>
      <c r="N1261" s="161">
        <f t="shared" si="527"/>
        <v>0</v>
      </c>
      <c r="O1261" s="161">
        <f t="shared" si="528"/>
        <v>0</v>
      </c>
      <c r="P1261" s="187">
        <f t="shared" si="529"/>
        <v>0</v>
      </c>
      <c r="Q1261" s="161">
        <f t="shared" si="530"/>
        <v>0</v>
      </c>
      <c r="R1261" s="85"/>
      <c r="S1261" s="86">
        <f t="shared" si="531"/>
        <v>0</v>
      </c>
      <c r="T1261" s="87">
        <f t="shared" si="526"/>
        <v>0</v>
      </c>
    </row>
    <row r="1262" spans="2:31" ht="20.100000000000001" hidden="1" customHeight="1">
      <c r="B1262" s="77">
        <v>10</v>
      </c>
      <c r="C1262" s="78" t="s">
        <v>2311</v>
      </c>
      <c r="D1262" s="79" t="s">
        <v>2363</v>
      </c>
      <c r="E1262" s="80" t="s">
        <v>2364</v>
      </c>
      <c r="F1262" s="81">
        <v>206.95</v>
      </c>
      <c r="G1262" s="222">
        <v>22</v>
      </c>
      <c r="H1262" s="186"/>
      <c r="I1262" s="186"/>
      <c r="J1262" s="308"/>
      <c r="K1262" s="227"/>
      <c r="L1262" s="82">
        <f t="shared" si="551"/>
        <v>22</v>
      </c>
      <c r="M1262" s="331">
        <v>22</v>
      </c>
      <c r="N1262" s="161">
        <f t="shared" si="527"/>
        <v>4552.8999999999996</v>
      </c>
      <c r="O1262" s="161">
        <f t="shared" si="528"/>
        <v>4552.8999999999996</v>
      </c>
      <c r="P1262" s="187">
        <f t="shared" si="529"/>
        <v>0</v>
      </c>
      <c r="Q1262" s="161">
        <f t="shared" si="530"/>
        <v>0</v>
      </c>
      <c r="R1262" s="85"/>
      <c r="S1262" s="86">
        <f t="shared" si="531"/>
        <v>22</v>
      </c>
      <c r="T1262" s="87">
        <f t="shared" ref="T1262:T1329" si="552">M1262-S1262</f>
        <v>0</v>
      </c>
      <c r="Y1262">
        <v>22</v>
      </c>
      <c r="Z1262" s="88" t="s">
        <v>2365</v>
      </c>
      <c r="AD1262">
        <f>Y1262</f>
        <v>22</v>
      </c>
      <c r="AE1262" s="89">
        <f>AD1262*F1262</f>
        <v>4552.8999999999996</v>
      </c>
    </row>
    <row r="1263" spans="2:31" ht="20.100000000000001" customHeight="1">
      <c r="B1263" s="77">
        <v>10</v>
      </c>
      <c r="C1263" s="78" t="s">
        <v>2311</v>
      </c>
      <c r="D1263" s="79" t="s">
        <v>2366</v>
      </c>
      <c r="E1263" s="80" t="s">
        <v>2367</v>
      </c>
      <c r="F1263" s="81">
        <v>14.42</v>
      </c>
      <c r="G1263" s="222">
        <v>293</v>
      </c>
      <c r="H1263" s="186"/>
      <c r="I1263" s="186"/>
      <c r="J1263" s="308"/>
      <c r="K1263" s="227">
        <v>6</v>
      </c>
      <c r="L1263" s="82">
        <f t="shared" ref="L1263" si="553">G1263+I1263-J1263-K1263+H1263</f>
        <v>287</v>
      </c>
      <c r="M1263" s="331">
        <f>290-6</f>
        <v>284</v>
      </c>
      <c r="N1263" s="161">
        <f t="shared" ref="N1263" si="554">F1263*L1263</f>
        <v>4138.54</v>
      </c>
      <c r="O1263" s="161">
        <f t="shared" ref="O1263" si="555">M1263*F1263</f>
        <v>4095.28</v>
      </c>
      <c r="P1263" s="187">
        <f t="shared" ref="P1263" si="556">L1263-M1263</f>
        <v>3</v>
      </c>
      <c r="Q1263" s="161">
        <f t="shared" ref="Q1263" si="557">N1263-O1263</f>
        <v>43.259999999999764</v>
      </c>
      <c r="R1263" s="232" t="s">
        <v>3841</v>
      </c>
      <c r="S1263" s="86">
        <f t="shared" ref="S1263" si="558">U1263+Y1263+W1263+AA1263</f>
        <v>320</v>
      </c>
      <c r="T1263" s="87">
        <f t="shared" ref="T1263" si="559">M1263-S1263</f>
        <v>-36</v>
      </c>
      <c r="U1263">
        <f>2+90</f>
        <v>92</v>
      </c>
      <c r="Y1263">
        <v>228</v>
      </c>
    </row>
    <row r="1264" spans="2:31" ht="20.100000000000001" hidden="1" customHeight="1">
      <c r="B1264" s="77">
        <v>10</v>
      </c>
      <c r="C1264" s="78" t="s">
        <v>2311</v>
      </c>
      <c r="D1264" s="79" t="s">
        <v>2366</v>
      </c>
      <c r="E1264" s="80" t="s">
        <v>2367</v>
      </c>
      <c r="F1264" s="277">
        <v>14.917999999999999</v>
      </c>
      <c r="G1264" s="222"/>
      <c r="H1264" s="186"/>
      <c r="I1264" s="186">
        <v>6</v>
      </c>
      <c r="J1264" s="308"/>
      <c r="K1264" s="227"/>
      <c r="L1264" s="82">
        <f t="shared" si="551"/>
        <v>6</v>
      </c>
      <c r="M1264" s="331">
        <v>6</v>
      </c>
      <c r="N1264" s="161">
        <f t="shared" ref="N1264:N1330" si="560">F1264*L1264</f>
        <v>89.507999999999996</v>
      </c>
      <c r="O1264" s="161">
        <f t="shared" ref="O1264:O1330" si="561">M1264*F1264</f>
        <v>89.507999999999996</v>
      </c>
      <c r="P1264" s="187">
        <f t="shared" ref="P1264:P1330" si="562">L1264-M1264</f>
        <v>0</v>
      </c>
      <c r="Q1264" s="161">
        <f t="shared" ref="Q1264:Q1330" si="563">N1264-O1264</f>
        <v>0</v>
      </c>
      <c r="R1264" s="232" t="s">
        <v>3841</v>
      </c>
      <c r="S1264" s="86">
        <f t="shared" ref="S1264:S1330" si="564">U1264+Y1264+W1264+AA1264</f>
        <v>320</v>
      </c>
      <c r="T1264" s="87">
        <f t="shared" si="552"/>
        <v>-314</v>
      </c>
      <c r="U1264">
        <f>2+90</f>
        <v>92</v>
      </c>
      <c r="Y1264">
        <v>228</v>
      </c>
    </row>
    <row r="1265" spans="2:25" ht="20.100000000000001" hidden="1" customHeight="1">
      <c r="B1265" s="77">
        <v>10</v>
      </c>
      <c r="C1265" s="78" t="s">
        <v>2311</v>
      </c>
      <c r="D1265" s="79" t="s">
        <v>2368</v>
      </c>
      <c r="E1265" s="80" t="s">
        <v>2369</v>
      </c>
      <c r="F1265" s="81">
        <v>14.91</v>
      </c>
      <c r="G1265" s="222">
        <v>545</v>
      </c>
      <c r="H1265" s="186"/>
      <c r="I1265" s="186">
        <v>6</v>
      </c>
      <c r="J1265" s="308"/>
      <c r="K1265" s="227">
        <v>4</v>
      </c>
      <c r="L1265" s="82">
        <f t="shared" si="551"/>
        <v>547</v>
      </c>
      <c r="M1265" s="331">
        <v>547</v>
      </c>
      <c r="N1265" s="161">
        <f t="shared" si="560"/>
        <v>8155.77</v>
      </c>
      <c r="O1265" s="161">
        <f t="shared" si="561"/>
        <v>8155.77</v>
      </c>
      <c r="P1265" s="187">
        <f t="shared" si="562"/>
        <v>0</v>
      </c>
      <c r="Q1265" s="161">
        <f t="shared" si="563"/>
        <v>0</v>
      </c>
      <c r="R1265" s="85"/>
      <c r="S1265" s="86">
        <f t="shared" si="564"/>
        <v>530</v>
      </c>
      <c r="T1265" s="87">
        <f t="shared" si="552"/>
        <v>17</v>
      </c>
      <c r="U1265">
        <f>67+29+8</f>
        <v>104</v>
      </c>
      <c r="Y1265">
        <v>426</v>
      </c>
    </row>
    <row r="1266" spans="2:25" ht="20.100000000000001" customHeight="1">
      <c r="B1266" s="77">
        <v>10</v>
      </c>
      <c r="C1266" s="78" t="s">
        <v>2311</v>
      </c>
      <c r="D1266" s="79" t="s">
        <v>2370</v>
      </c>
      <c r="E1266" s="80" t="s">
        <v>2371</v>
      </c>
      <c r="F1266" s="81">
        <v>19.47</v>
      </c>
      <c r="G1266" s="222">
        <v>26</v>
      </c>
      <c r="H1266" s="186"/>
      <c r="I1266" s="186"/>
      <c r="J1266" s="308"/>
      <c r="K1266" s="227"/>
      <c r="L1266" s="82">
        <f t="shared" si="551"/>
        <v>26</v>
      </c>
      <c r="M1266" s="331">
        <v>25</v>
      </c>
      <c r="N1266" s="161">
        <f t="shared" si="560"/>
        <v>506.21999999999997</v>
      </c>
      <c r="O1266" s="161">
        <f t="shared" si="561"/>
        <v>486.75</v>
      </c>
      <c r="P1266" s="187">
        <f t="shared" si="562"/>
        <v>1</v>
      </c>
      <c r="Q1266" s="161">
        <f t="shared" si="563"/>
        <v>19.46999999999997</v>
      </c>
      <c r="R1266" s="85"/>
      <c r="S1266" s="86">
        <f t="shared" si="564"/>
        <v>27</v>
      </c>
      <c r="T1266" s="87">
        <f t="shared" si="552"/>
        <v>-2</v>
      </c>
      <c r="U1266">
        <v>27</v>
      </c>
    </row>
    <row r="1267" spans="2:25" ht="20.100000000000001" hidden="1" customHeight="1">
      <c r="B1267" s="77">
        <v>10</v>
      </c>
      <c r="C1267" s="78" t="s">
        <v>2311</v>
      </c>
      <c r="D1267" s="79" t="s">
        <v>2372</v>
      </c>
      <c r="E1267" s="80" t="s">
        <v>2373</v>
      </c>
      <c r="F1267" s="81">
        <v>14.42</v>
      </c>
      <c r="G1267" s="222">
        <v>66</v>
      </c>
      <c r="H1267" s="186"/>
      <c r="I1267" s="186"/>
      <c r="J1267" s="308"/>
      <c r="K1267" s="227">
        <v>1</v>
      </c>
      <c r="L1267" s="82">
        <f t="shared" ref="L1267" si="565">G1267+I1267-J1267-K1267+H1267</f>
        <v>65</v>
      </c>
      <c r="M1267" s="331">
        <v>65</v>
      </c>
      <c r="N1267" s="161">
        <f t="shared" ref="N1267" si="566">F1267*L1267</f>
        <v>937.3</v>
      </c>
      <c r="O1267" s="161">
        <f t="shared" ref="O1267" si="567">M1267*F1267</f>
        <v>937.3</v>
      </c>
      <c r="P1267" s="187">
        <f t="shared" ref="P1267" si="568">L1267-M1267</f>
        <v>0</v>
      </c>
      <c r="Q1267" s="161">
        <f t="shared" ref="Q1267" si="569">N1267-O1267</f>
        <v>0</v>
      </c>
      <c r="R1267" s="232"/>
      <c r="S1267" s="86">
        <f t="shared" ref="S1267" si="570">U1267+Y1267+W1267+AA1267</f>
        <v>65</v>
      </c>
      <c r="T1267" s="87">
        <f t="shared" ref="T1267" si="571">M1267-S1267</f>
        <v>0</v>
      </c>
      <c r="U1267">
        <v>65</v>
      </c>
    </row>
    <row r="1268" spans="2:25" ht="20.100000000000001" hidden="1" customHeight="1">
      <c r="B1268" s="77">
        <v>10</v>
      </c>
      <c r="C1268" s="78" t="s">
        <v>2311</v>
      </c>
      <c r="D1268" s="79" t="s">
        <v>2372</v>
      </c>
      <c r="E1268" s="80" t="s">
        <v>2373</v>
      </c>
      <c r="F1268" s="277">
        <v>14.917999999999999</v>
      </c>
      <c r="G1268" s="222"/>
      <c r="H1268" s="186"/>
      <c r="I1268" s="186">
        <v>6</v>
      </c>
      <c r="J1268" s="308"/>
      <c r="K1268" s="227"/>
      <c r="L1268" s="82">
        <f t="shared" si="551"/>
        <v>6</v>
      </c>
      <c r="M1268" s="331">
        <v>6</v>
      </c>
      <c r="N1268" s="161">
        <f t="shared" si="560"/>
        <v>89.507999999999996</v>
      </c>
      <c r="O1268" s="161">
        <f t="shared" si="561"/>
        <v>89.507999999999996</v>
      </c>
      <c r="P1268" s="187">
        <f t="shared" si="562"/>
        <v>0</v>
      </c>
      <c r="Q1268" s="161">
        <f t="shared" si="563"/>
        <v>0</v>
      </c>
      <c r="R1268" s="232"/>
      <c r="S1268" s="86">
        <f t="shared" si="564"/>
        <v>65</v>
      </c>
      <c r="T1268" s="87">
        <f t="shared" si="552"/>
        <v>-59</v>
      </c>
      <c r="U1268">
        <v>65</v>
      </c>
    </row>
    <row r="1269" spans="2:25" ht="20.100000000000001" hidden="1" customHeight="1">
      <c r="B1269" s="77">
        <v>10</v>
      </c>
      <c r="C1269" s="78" t="s">
        <v>2311</v>
      </c>
      <c r="D1269" s="79" t="s">
        <v>2374</v>
      </c>
      <c r="E1269" s="80" t="s">
        <v>2375</v>
      </c>
      <c r="F1269" s="81">
        <v>279.33999999999997</v>
      </c>
      <c r="G1269" s="222"/>
      <c r="H1269" s="186"/>
      <c r="I1269" s="186"/>
      <c r="J1269" s="308"/>
      <c r="K1269" s="227"/>
      <c r="L1269" s="82">
        <f t="shared" si="551"/>
        <v>0</v>
      </c>
      <c r="M1269" s="331"/>
      <c r="N1269" s="161">
        <f t="shared" si="560"/>
        <v>0</v>
      </c>
      <c r="O1269" s="161">
        <f t="shared" si="561"/>
        <v>0</v>
      </c>
      <c r="P1269" s="187">
        <f t="shared" si="562"/>
        <v>0</v>
      </c>
      <c r="Q1269" s="161">
        <f t="shared" si="563"/>
        <v>0</v>
      </c>
      <c r="R1269" s="85"/>
      <c r="S1269" s="86">
        <f t="shared" si="564"/>
        <v>0</v>
      </c>
      <c r="T1269" s="87">
        <f t="shared" si="552"/>
        <v>0</v>
      </c>
    </row>
    <row r="1270" spans="2:25" ht="20.100000000000001" hidden="1" customHeight="1">
      <c r="B1270" s="77">
        <v>10</v>
      </c>
      <c r="C1270" s="78" t="s">
        <v>2311</v>
      </c>
      <c r="D1270" s="79" t="s">
        <v>2376</v>
      </c>
      <c r="E1270" s="80" t="s">
        <v>2377</v>
      </c>
      <c r="F1270" s="81">
        <v>20.2</v>
      </c>
      <c r="G1270" s="222">
        <v>49</v>
      </c>
      <c r="H1270" s="186"/>
      <c r="I1270" s="186"/>
      <c r="J1270" s="308"/>
      <c r="K1270" s="227"/>
      <c r="L1270" s="82">
        <f t="shared" si="551"/>
        <v>49</v>
      </c>
      <c r="M1270" s="331">
        <v>49</v>
      </c>
      <c r="N1270" s="161">
        <f t="shared" si="560"/>
        <v>989.8</v>
      </c>
      <c r="O1270" s="161">
        <f t="shared" si="561"/>
        <v>989.8</v>
      </c>
      <c r="P1270" s="187">
        <f t="shared" si="562"/>
        <v>0</v>
      </c>
      <c r="Q1270" s="161">
        <f t="shared" si="563"/>
        <v>0</v>
      </c>
      <c r="R1270" s="85"/>
      <c r="S1270" s="86">
        <f t="shared" si="564"/>
        <v>49</v>
      </c>
      <c r="T1270" s="87">
        <f t="shared" si="552"/>
        <v>0</v>
      </c>
      <c r="U1270">
        <v>49</v>
      </c>
    </row>
    <row r="1271" spans="2:25" ht="20.100000000000001" hidden="1" customHeight="1">
      <c r="B1271" s="77">
        <v>10</v>
      </c>
      <c r="C1271" s="78" t="s">
        <v>2311</v>
      </c>
      <c r="D1271" s="79" t="s">
        <v>2378</v>
      </c>
      <c r="E1271" s="80" t="s">
        <v>2379</v>
      </c>
      <c r="F1271" s="81">
        <v>296.10000000000002</v>
      </c>
      <c r="G1271" s="222">
        <v>4</v>
      </c>
      <c r="H1271" s="186"/>
      <c r="I1271" s="186"/>
      <c r="J1271" s="308"/>
      <c r="K1271" s="227">
        <v>1</v>
      </c>
      <c r="L1271" s="82">
        <f t="shared" si="551"/>
        <v>3</v>
      </c>
      <c r="M1271" s="331">
        <v>3</v>
      </c>
      <c r="N1271" s="161">
        <f t="shared" si="560"/>
        <v>888.30000000000007</v>
      </c>
      <c r="O1271" s="161">
        <f t="shared" si="561"/>
        <v>888.30000000000007</v>
      </c>
      <c r="P1271" s="187">
        <f t="shared" si="562"/>
        <v>0</v>
      </c>
      <c r="Q1271" s="161">
        <f t="shared" si="563"/>
        <v>0</v>
      </c>
      <c r="R1271" s="85"/>
      <c r="S1271" s="86">
        <f t="shared" si="564"/>
        <v>0</v>
      </c>
      <c r="T1271" s="87">
        <f t="shared" si="552"/>
        <v>3</v>
      </c>
    </row>
    <row r="1272" spans="2:25" ht="20.100000000000001" hidden="1" customHeight="1">
      <c r="B1272" s="77">
        <v>10</v>
      </c>
      <c r="C1272" s="78" t="s">
        <v>2311</v>
      </c>
      <c r="D1272" s="79" t="s">
        <v>2380</v>
      </c>
      <c r="E1272" s="80" t="s">
        <v>2381</v>
      </c>
      <c r="F1272" s="81">
        <v>360.65</v>
      </c>
      <c r="G1272" s="222">
        <v>8</v>
      </c>
      <c r="H1272" s="186"/>
      <c r="I1272" s="186"/>
      <c r="J1272" s="308"/>
      <c r="K1272" s="227"/>
      <c r="L1272" s="82">
        <f t="shared" si="551"/>
        <v>8</v>
      </c>
      <c r="M1272" s="331">
        <v>8</v>
      </c>
      <c r="N1272" s="161">
        <f t="shared" si="560"/>
        <v>2885.2</v>
      </c>
      <c r="O1272" s="161">
        <f t="shared" si="561"/>
        <v>2885.2</v>
      </c>
      <c r="P1272" s="187">
        <f t="shared" si="562"/>
        <v>0</v>
      </c>
      <c r="Q1272" s="161">
        <f t="shared" si="563"/>
        <v>0</v>
      </c>
      <c r="R1272" s="85"/>
      <c r="S1272" s="86">
        <f t="shared" si="564"/>
        <v>0</v>
      </c>
      <c r="T1272" s="87">
        <f t="shared" si="552"/>
        <v>8</v>
      </c>
    </row>
    <row r="1273" spans="2:25" ht="20.100000000000001" hidden="1" customHeight="1">
      <c r="B1273" s="77">
        <v>10</v>
      </c>
      <c r="C1273" s="78" t="s">
        <v>2311</v>
      </c>
      <c r="D1273" s="79" t="s">
        <v>2382</v>
      </c>
      <c r="E1273" s="80" t="s">
        <v>2383</v>
      </c>
      <c r="F1273" s="81">
        <v>360.65</v>
      </c>
      <c r="G1273" s="222">
        <v>9</v>
      </c>
      <c r="H1273" s="186"/>
      <c r="I1273" s="186"/>
      <c r="J1273" s="308"/>
      <c r="K1273" s="227"/>
      <c r="L1273" s="82">
        <f t="shared" si="551"/>
        <v>9</v>
      </c>
      <c r="M1273" s="331">
        <v>9</v>
      </c>
      <c r="N1273" s="161">
        <f t="shared" si="560"/>
        <v>3245.85</v>
      </c>
      <c r="O1273" s="161">
        <f t="shared" si="561"/>
        <v>3245.85</v>
      </c>
      <c r="P1273" s="187">
        <f t="shared" si="562"/>
        <v>0</v>
      </c>
      <c r="Q1273" s="161">
        <f t="shared" si="563"/>
        <v>0</v>
      </c>
      <c r="R1273" s="85"/>
      <c r="S1273" s="86">
        <f t="shared" si="564"/>
        <v>15</v>
      </c>
      <c r="T1273" s="87">
        <f t="shared" si="552"/>
        <v>-6</v>
      </c>
      <c r="U1273">
        <v>15</v>
      </c>
    </row>
    <row r="1274" spans="2:25" ht="20.100000000000001" hidden="1" customHeight="1">
      <c r="B1274" s="77">
        <v>10</v>
      </c>
      <c r="C1274" s="78" t="s">
        <v>2311</v>
      </c>
      <c r="D1274" s="79" t="s">
        <v>2384</v>
      </c>
      <c r="E1274" s="80" t="s">
        <v>2385</v>
      </c>
      <c r="F1274" s="81">
        <v>333.8</v>
      </c>
      <c r="G1274" s="222">
        <v>16</v>
      </c>
      <c r="H1274" s="186"/>
      <c r="I1274" s="186"/>
      <c r="J1274" s="308"/>
      <c r="K1274" s="227"/>
      <c r="L1274" s="82">
        <f t="shared" si="551"/>
        <v>16</v>
      </c>
      <c r="M1274" s="331">
        <v>16</v>
      </c>
      <c r="N1274" s="161">
        <f t="shared" si="560"/>
        <v>5340.8</v>
      </c>
      <c r="O1274" s="161">
        <f t="shared" si="561"/>
        <v>5340.8</v>
      </c>
      <c r="P1274" s="187">
        <f t="shared" si="562"/>
        <v>0</v>
      </c>
      <c r="Q1274" s="161">
        <f t="shared" si="563"/>
        <v>0</v>
      </c>
      <c r="R1274" s="85"/>
      <c r="S1274" s="86">
        <f t="shared" si="564"/>
        <v>13</v>
      </c>
      <c r="T1274" s="87">
        <f t="shared" si="552"/>
        <v>3</v>
      </c>
      <c r="U1274">
        <v>13</v>
      </c>
    </row>
    <row r="1275" spans="2:25" ht="20.100000000000001" hidden="1" customHeight="1">
      <c r="B1275" s="77">
        <v>10</v>
      </c>
      <c r="C1275" s="78" t="s">
        <v>2311</v>
      </c>
      <c r="D1275" s="79" t="s">
        <v>2386</v>
      </c>
      <c r="E1275" s="80" t="s">
        <v>2387</v>
      </c>
      <c r="F1275" s="81">
        <v>18</v>
      </c>
      <c r="G1275" s="222"/>
      <c r="H1275" s="186"/>
      <c r="I1275" s="186"/>
      <c r="J1275" s="308"/>
      <c r="K1275" s="227"/>
      <c r="L1275" s="82">
        <f t="shared" si="551"/>
        <v>0</v>
      </c>
      <c r="M1275" s="331"/>
      <c r="N1275" s="161">
        <f t="shared" si="560"/>
        <v>0</v>
      </c>
      <c r="O1275" s="161">
        <f t="shared" si="561"/>
        <v>0</v>
      </c>
      <c r="P1275" s="187">
        <f t="shared" si="562"/>
        <v>0</v>
      </c>
      <c r="Q1275" s="161">
        <f t="shared" si="563"/>
        <v>0</v>
      </c>
      <c r="R1275" s="85"/>
      <c r="S1275" s="86">
        <f t="shared" si="564"/>
        <v>0</v>
      </c>
      <c r="T1275" s="87">
        <f t="shared" si="552"/>
        <v>0</v>
      </c>
    </row>
    <row r="1276" spans="2:25" ht="20.100000000000001" hidden="1" customHeight="1">
      <c r="B1276" s="77">
        <v>10</v>
      </c>
      <c r="C1276" s="78" t="s">
        <v>2311</v>
      </c>
      <c r="D1276" s="79" t="s">
        <v>2388</v>
      </c>
      <c r="E1276" s="80" t="s">
        <v>2389</v>
      </c>
      <c r="F1276" s="81">
        <v>21</v>
      </c>
      <c r="G1276" s="222"/>
      <c r="H1276" s="186"/>
      <c r="I1276" s="186"/>
      <c r="J1276" s="308"/>
      <c r="K1276" s="227"/>
      <c r="L1276" s="82">
        <f t="shared" si="551"/>
        <v>0</v>
      </c>
      <c r="M1276" s="331"/>
      <c r="N1276" s="161">
        <f t="shared" si="560"/>
        <v>0</v>
      </c>
      <c r="O1276" s="161">
        <f t="shared" si="561"/>
        <v>0</v>
      </c>
      <c r="P1276" s="187">
        <f t="shared" si="562"/>
        <v>0</v>
      </c>
      <c r="Q1276" s="161">
        <f t="shared" si="563"/>
        <v>0</v>
      </c>
      <c r="R1276" s="85"/>
      <c r="S1276" s="86">
        <f t="shared" si="564"/>
        <v>0</v>
      </c>
      <c r="T1276" s="87">
        <f t="shared" si="552"/>
        <v>0</v>
      </c>
    </row>
    <row r="1277" spans="2:25" ht="20.100000000000001" hidden="1" customHeight="1">
      <c r="B1277" s="77">
        <v>10</v>
      </c>
      <c r="C1277" s="78" t="s">
        <v>2311</v>
      </c>
      <c r="D1277" s="79" t="s">
        <v>2390</v>
      </c>
      <c r="E1277" s="80" t="s">
        <v>2391</v>
      </c>
      <c r="F1277" s="81">
        <v>85</v>
      </c>
      <c r="G1277" s="222">
        <v>5</v>
      </c>
      <c r="H1277" s="186"/>
      <c r="I1277" s="186"/>
      <c r="J1277" s="308"/>
      <c r="K1277" s="227"/>
      <c r="L1277" s="82">
        <f t="shared" si="551"/>
        <v>5</v>
      </c>
      <c r="M1277" s="331">
        <v>5</v>
      </c>
      <c r="N1277" s="161">
        <f t="shared" si="560"/>
        <v>425</v>
      </c>
      <c r="O1277" s="161">
        <f t="shared" si="561"/>
        <v>425</v>
      </c>
      <c r="P1277" s="187">
        <f t="shared" si="562"/>
        <v>0</v>
      </c>
      <c r="Q1277" s="161">
        <f t="shared" si="563"/>
        <v>0</v>
      </c>
      <c r="R1277" s="85"/>
      <c r="S1277" s="86">
        <f t="shared" si="564"/>
        <v>5</v>
      </c>
      <c r="T1277" s="87">
        <f t="shared" si="552"/>
        <v>0</v>
      </c>
      <c r="U1277">
        <v>1</v>
      </c>
      <c r="Y1277">
        <v>4</v>
      </c>
    </row>
    <row r="1278" spans="2:25" ht="20.100000000000001" hidden="1" customHeight="1">
      <c r="B1278" s="77">
        <v>10</v>
      </c>
      <c r="C1278" s="78" t="s">
        <v>2311</v>
      </c>
      <c r="D1278" s="79" t="s">
        <v>2392</v>
      </c>
      <c r="E1278" s="80" t="s">
        <v>2393</v>
      </c>
      <c r="F1278" s="81">
        <v>76.19</v>
      </c>
      <c r="G1278" s="222">
        <v>63</v>
      </c>
      <c r="H1278" s="186"/>
      <c r="I1278" s="186"/>
      <c r="J1278" s="308"/>
      <c r="K1278" s="227"/>
      <c r="L1278" s="82">
        <f t="shared" si="551"/>
        <v>63</v>
      </c>
      <c r="M1278" s="331">
        <v>63</v>
      </c>
      <c r="N1278" s="161">
        <f t="shared" si="560"/>
        <v>4799.97</v>
      </c>
      <c r="O1278" s="161">
        <f t="shared" si="561"/>
        <v>4799.97</v>
      </c>
      <c r="P1278" s="187">
        <f t="shared" si="562"/>
        <v>0</v>
      </c>
      <c r="Q1278" s="161">
        <f t="shared" si="563"/>
        <v>0</v>
      </c>
      <c r="R1278" s="85"/>
      <c r="S1278" s="86">
        <f t="shared" si="564"/>
        <v>9</v>
      </c>
      <c r="T1278" s="87">
        <f t="shared" si="552"/>
        <v>54</v>
      </c>
      <c r="U1278">
        <v>9</v>
      </c>
    </row>
    <row r="1279" spans="2:25" ht="20.100000000000001" hidden="1" customHeight="1">
      <c r="B1279" s="77">
        <v>10</v>
      </c>
      <c r="C1279" s="78" t="s">
        <v>2311</v>
      </c>
      <c r="D1279" s="79" t="s">
        <v>2394</v>
      </c>
      <c r="E1279" s="80" t="s">
        <v>2395</v>
      </c>
      <c r="F1279" s="81">
        <v>12.7</v>
      </c>
      <c r="G1279" s="222"/>
      <c r="H1279" s="186"/>
      <c r="I1279" s="186"/>
      <c r="J1279" s="308"/>
      <c r="K1279" s="227"/>
      <c r="L1279" s="82">
        <f t="shared" si="551"/>
        <v>0</v>
      </c>
      <c r="M1279" s="331"/>
      <c r="N1279" s="161">
        <f t="shared" si="560"/>
        <v>0</v>
      </c>
      <c r="O1279" s="161">
        <f t="shared" si="561"/>
        <v>0</v>
      </c>
      <c r="P1279" s="187">
        <f t="shared" si="562"/>
        <v>0</v>
      </c>
      <c r="Q1279" s="161">
        <f t="shared" si="563"/>
        <v>0</v>
      </c>
      <c r="R1279" s="85"/>
      <c r="S1279" s="86">
        <f t="shared" si="564"/>
        <v>0</v>
      </c>
      <c r="T1279" s="87">
        <f t="shared" si="552"/>
        <v>0</v>
      </c>
    </row>
    <row r="1280" spans="2:25" ht="20.100000000000001" hidden="1" customHeight="1">
      <c r="B1280" s="77">
        <v>10</v>
      </c>
      <c r="C1280" s="78" t="s">
        <v>2311</v>
      </c>
      <c r="D1280" s="79" t="s">
        <v>2396</v>
      </c>
      <c r="E1280" s="80" t="s">
        <v>2397</v>
      </c>
      <c r="F1280" s="81">
        <v>76.19</v>
      </c>
      <c r="G1280" s="222">
        <v>18</v>
      </c>
      <c r="H1280" s="186"/>
      <c r="I1280" s="186"/>
      <c r="J1280" s="308"/>
      <c r="K1280" s="227"/>
      <c r="L1280" s="82">
        <f t="shared" si="551"/>
        <v>18</v>
      </c>
      <c r="M1280" s="331">
        <v>18</v>
      </c>
      <c r="N1280" s="161">
        <f t="shared" si="560"/>
        <v>1371.42</v>
      </c>
      <c r="O1280" s="161">
        <f t="shared" si="561"/>
        <v>1371.42</v>
      </c>
      <c r="P1280" s="187">
        <f t="shared" si="562"/>
        <v>0</v>
      </c>
      <c r="Q1280" s="161">
        <f t="shared" si="563"/>
        <v>0</v>
      </c>
      <c r="R1280" s="85"/>
      <c r="S1280" s="86">
        <f t="shared" si="564"/>
        <v>18</v>
      </c>
      <c r="T1280" s="87">
        <f t="shared" si="552"/>
        <v>0</v>
      </c>
      <c r="Y1280">
        <v>18</v>
      </c>
    </row>
    <row r="1281" spans="2:31" ht="20.100000000000001" hidden="1" customHeight="1">
      <c r="B1281" s="77">
        <v>10</v>
      </c>
      <c r="C1281" s="78" t="s">
        <v>2311</v>
      </c>
      <c r="D1281" s="79" t="s">
        <v>2398</v>
      </c>
      <c r="E1281" s="80" t="s">
        <v>2399</v>
      </c>
      <c r="F1281" s="81">
        <v>6.29</v>
      </c>
      <c r="G1281" s="222">
        <v>212</v>
      </c>
      <c r="H1281" s="186"/>
      <c r="I1281" s="186"/>
      <c r="J1281" s="308"/>
      <c r="K1281" s="227"/>
      <c r="L1281" s="82">
        <f t="shared" si="551"/>
        <v>212</v>
      </c>
      <c r="M1281" s="331">
        <f>210+2</f>
        <v>212</v>
      </c>
      <c r="N1281" s="161">
        <f t="shared" si="560"/>
        <v>1333.48</v>
      </c>
      <c r="O1281" s="161">
        <f t="shared" si="561"/>
        <v>1333.48</v>
      </c>
      <c r="P1281" s="187">
        <f t="shared" si="562"/>
        <v>0</v>
      </c>
      <c r="Q1281" s="161">
        <f t="shared" si="563"/>
        <v>0</v>
      </c>
      <c r="R1281" s="85"/>
      <c r="S1281" s="86">
        <f t="shared" si="564"/>
        <v>212</v>
      </c>
      <c r="T1281" s="87">
        <f t="shared" si="552"/>
        <v>0</v>
      </c>
      <c r="U1281">
        <f>1+1</f>
        <v>2</v>
      </c>
      <c r="Y1281">
        <v>210</v>
      </c>
      <c r="Z1281" s="88" t="s">
        <v>2365</v>
      </c>
      <c r="AD1281">
        <f>Y1281</f>
        <v>210</v>
      </c>
      <c r="AE1281" s="89">
        <f>AD1281*F1281</f>
        <v>1320.9</v>
      </c>
    </row>
    <row r="1282" spans="2:31" ht="20.100000000000001" hidden="1" customHeight="1">
      <c r="B1282" s="77">
        <v>10</v>
      </c>
      <c r="C1282" s="78" t="s">
        <v>2311</v>
      </c>
      <c r="D1282" s="79" t="s">
        <v>2400</v>
      </c>
      <c r="E1282" s="80" t="s">
        <v>2401</v>
      </c>
      <c r="F1282" s="81">
        <v>6.29</v>
      </c>
      <c r="G1282" s="222">
        <v>24</v>
      </c>
      <c r="H1282" s="186"/>
      <c r="I1282" s="186"/>
      <c r="J1282" s="308"/>
      <c r="K1282" s="227"/>
      <c r="L1282" s="82">
        <f t="shared" si="551"/>
        <v>24</v>
      </c>
      <c r="M1282" s="331">
        <v>24</v>
      </c>
      <c r="N1282" s="161">
        <f t="shared" si="560"/>
        <v>150.96</v>
      </c>
      <c r="O1282" s="161">
        <f t="shared" si="561"/>
        <v>150.96</v>
      </c>
      <c r="P1282" s="187">
        <f t="shared" si="562"/>
        <v>0</v>
      </c>
      <c r="Q1282" s="161">
        <f t="shared" si="563"/>
        <v>0</v>
      </c>
      <c r="R1282" s="85"/>
      <c r="S1282" s="86">
        <f t="shared" si="564"/>
        <v>48</v>
      </c>
      <c r="T1282" s="87">
        <f t="shared" si="552"/>
        <v>-24</v>
      </c>
      <c r="U1282">
        <v>48</v>
      </c>
    </row>
    <row r="1283" spans="2:31" ht="20.100000000000001" hidden="1" customHeight="1">
      <c r="B1283" s="77">
        <v>10</v>
      </c>
      <c r="C1283" s="78" t="s">
        <v>2311</v>
      </c>
      <c r="D1283" s="79" t="s">
        <v>2402</v>
      </c>
      <c r="E1283" s="80" t="s">
        <v>2403</v>
      </c>
      <c r="F1283" s="81">
        <v>6.29</v>
      </c>
      <c r="G1283" s="222">
        <v>210</v>
      </c>
      <c r="H1283" s="186"/>
      <c r="I1283" s="186"/>
      <c r="J1283" s="308"/>
      <c r="K1283" s="227"/>
      <c r="L1283" s="82">
        <f t="shared" si="551"/>
        <v>210</v>
      </c>
      <c r="M1283" s="331">
        <v>210</v>
      </c>
      <c r="N1283" s="161">
        <f t="shared" si="560"/>
        <v>1320.9</v>
      </c>
      <c r="O1283" s="161">
        <f t="shared" si="561"/>
        <v>1320.9</v>
      </c>
      <c r="P1283" s="187">
        <f t="shared" si="562"/>
        <v>0</v>
      </c>
      <c r="Q1283" s="161">
        <f t="shared" si="563"/>
        <v>0</v>
      </c>
      <c r="R1283" s="85" t="s">
        <v>387</v>
      </c>
      <c r="S1283" s="86">
        <f t="shared" si="564"/>
        <v>210</v>
      </c>
      <c r="T1283" s="87">
        <f t="shared" si="552"/>
        <v>0</v>
      </c>
      <c r="Y1283">
        <v>210</v>
      </c>
      <c r="Z1283" s="88" t="s">
        <v>2365</v>
      </c>
      <c r="AD1283">
        <f>Y1283</f>
        <v>210</v>
      </c>
      <c r="AE1283" s="89">
        <f>AD1283*F1283</f>
        <v>1320.9</v>
      </c>
    </row>
    <row r="1284" spans="2:31" ht="20.100000000000001" hidden="1" customHeight="1">
      <c r="B1284" s="77">
        <v>10</v>
      </c>
      <c r="C1284" s="78" t="s">
        <v>2311</v>
      </c>
      <c r="D1284" s="79" t="s">
        <v>2404</v>
      </c>
      <c r="E1284" s="80" t="s">
        <v>2405</v>
      </c>
      <c r="F1284" s="81">
        <v>22.09</v>
      </c>
      <c r="G1284" s="222">
        <v>144</v>
      </c>
      <c r="H1284" s="186"/>
      <c r="I1284" s="186"/>
      <c r="J1284" s="308"/>
      <c r="K1284" s="227"/>
      <c r="L1284" s="82">
        <f t="shared" si="551"/>
        <v>144</v>
      </c>
      <c r="M1284" s="331">
        <v>144</v>
      </c>
      <c r="N1284" s="161">
        <f t="shared" si="560"/>
        <v>3180.96</v>
      </c>
      <c r="O1284" s="161">
        <f t="shared" si="561"/>
        <v>3180.96</v>
      </c>
      <c r="P1284" s="187">
        <f t="shared" si="562"/>
        <v>0</v>
      </c>
      <c r="Q1284" s="161">
        <f t="shared" si="563"/>
        <v>0</v>
      </c>
      <c r="R1284" s="85"/>
      <c r="S1284" s="86">
        <f t="shared" si="564"/>
        <v>144</v>
      </c>
      <c r="T1284" s="87">
        <f t="shared" si="552"/>
        <v>0</v>
      </c>
      <c r="Y1284">
        <v>144</v>
      </c>
    </row>
    <row r="1285" spans="2:31" ht="20.100000000000001" hidden="1" customHeight="1">
      <c r="B1285" s="77">
        <v>10</v>
      </c>
      <c r="C1285" s="78" t="s">
        <v>2311</v>
      </c>
      <c r="D1285" s="79" t="s">
        <v>2406</v>
      </c>
      <c r="E1285" s="80" t="s">
        <v>2407</v>
      </c>
      <c r="F1285" s="81">
        <v>20.8</v>
      </c>
      <c r="G1285" s="222">
        <v>72</v>
      </c>
      <c r="H1285" s="186"/>
      <c r="I1285" s="186"/>
      <c r="J1285" s="308"/>
      <c r="K1285" s="227"/>
      <c r="L1285" s="82">
        <f t="shared" si="551"/>
        <v>72</v>
      </c>
      <c r="M1285" s="331">
        <v>72</v>
      </c>
      <c r="N1285" s="161">
        <f t="shared" si="560"/>
        <v>1497.6000000000001</v>
      </c>
      <c r="O1285" s="161">
        <f t="shared" si="561"/>
        <v>1497.6000000000001</v>
      </c>
      <c r="P1285" s="187">
        <f t="shared" si="562"/>
        <v>0</v>
      </c>
      <c r="Q1285" s="161">
        <f t="shared" si="563"/>
        <v>0</v>
      </c>
      <c r="R1285" s="85"/>
      <c r="S1285" s="86">
        <f t="shared" si="564"/>
        <v>72</v>
      </c>
      <c r="T1285" s="87">
        <f t="shared" si="552"/>
        <v>0</v>
      </c>
      <c r="Y1285">
        <v>72</v>
      </c>
    </row>
    <row r="1286" spans="2:31" ht="20.100000000000001" hidden="1" customHeight="1">
      <c r="B1286" s="77">
        <v>10</v>
      </c>
      <c r="C1286" s="78" t="s">
        <v>2311</v>
      </c>
      <c r="D1286" s="79" t="s">
        <v>2408</v>
      </c>
      <c r="E1286" s="80" t="s">
        <v>2409</v>
      </c>
      <c r="F1286" s="81">
        <v>21.5</v>
      </c>
      <c r="G1286" s="222">
        <v>40</v>
      </c>
      <c r="H1286" s="186"/>
      <c r="I1286" s="186"/>
      <c r="J1286" s="308"/>
      <c r="K1286" s="227"/>
      <c r="L1286" s="82">
        <f t="shared" si="551"/>
        <v>40</v>
      </c>
      <c r="M1286" s="331">
        <v>40</v>
      </c>
      <c r="N1286" s="161">
        <f t="shared" si="560"/>
        <v>860</v>
      </c>
      <c r="O1286" s="161">
        <f t="shared" si="561"/>
        <v>860</v>
      </c>
      <c r="P1286" s="187">
        <f t="shared" si="562"/>
        <v>0</v>
      </c>
      <c r="Q1286" s="161">
        <f t="shared" si="563"/>
        <v>0</v>
      </c>
      <c r="R1286" s="85"/>
      <c r="S1286" s="86">
        <f t="shared" si="564"/>
        <v>40</v>
      </c>
      <c r="T1286" s="87">
        <f t="shared" si="552"/>
        <v>0</v>
      </c>
      <c r="Y1286">
        <v>40</v>
      </c>
    </row>
    <row r="1287" spans="2:31" ht="20.100000000000001" hidden="1" customHeight="1">
      <c r="B1287" s="77">
        <v>10</v>
      </c>
      <c r="C1287" s="78" t="s">
        <v>2311</v>
      </c>
      <c r="D1287" s="79" t="s">
        <v>2410</v>
      </c>
      <c r="E1287" s="80" t="s">
        <v>2411</v>
      </c>
      <c r="F1287" s="81">
        <v>22.57</v>
      </c>
      <c r="G1287" s="222">
        <v>224</v>
      </c>
      <c r="H1287" s="186"/>
      <c r="I1287" s="186"/>
      <c r="J1287" s="308"/>
      <c r="K1287" s="227"/>
      <c r="L1287" s="82">
        <f t="shared" si="551"/>
        <v>224</v>
      </c>
      <c r="M1287" s="331">
        <v>224</v>
      </c>
      <c r="N1287" s="161">
        <f t="shared" si="560"/>
        <v>5055.68</v>
      </c>
      <c r="O1287" s="161">
        <f t="shared" si="561"/>
        <v>5055.68</v>
      </c>
      <c r="P1287" s="187">
        <f t="shared" si="562"/>
        <v>0</v>
      </c>
      <c r="Q1287" s="161">
        <f t="shared" si="563"/>
        <v>0</v>
      </c>
      <c r="R1287" s="85"/>
      <c r="S1287" s="86">
        <f t="shared" si="564"/>
        <v>224</v>
      </c>
      <c r="T1287" s="87">
        <f t="shared" si="552"/>
        <v>0</v>
      </c>
      <c r="Y1287">
        <v>224</v>
      </c>
    </row>
    <row r="1288" spans="2:31" ht="20.100000000000001" hidden="1" customHeight="1">
      <c r="B1288" s="77">
        <v>10</v>
      </c>
      <c r="C1288" s="78" t="s">
        <v>2311</v>
      </c>
      <c r="D1288" s="79" t="s">
        <v>2412</v>
      </c>
      <c r="E1288" s="80" t="s">
        <v>2413</v>
      </c>
      <c r="F1288" s="81">
        <v>24.42</v>
      </c>
      <c r="G1288" s="222">
        <v>39</v>
      </c>
      <c r="H1288" s="186"/>
      <c r="I1288" s="186"/>
      <c r="J1288" s="308"/>
      <c r="K1288" s="227"/>
      <c r="L1288" s="82">
        <f t="shared" si="551"/>
        <v>39</v>
      </c>
      <c r="M1288" s="331">
        <v>39</v>
      </c>
      <c r="N1288" s="161">
        <f t="shared" si="560"/>
        <v>952.38000000000011</v>
      </c>
      <c r="O1288" s="161">
        <f t="shared" si="561"/>
        <v>952.38000000000011</v>
      </c>
      <c r="P1288" s="187">
        <f t="shared" si="562"/>
        <v>0</v>
      </c>
      <c r="Q1288" s="161">
        <f t="shared" si="563"/>
        <v>0</v>
      </c>
      <c r="R1288" s="85"/>
      <c r="S1288" s="86">
        <f t="shared" si="564"/>
        <v>39</v>
      </c>
      <c r="T1288" s="87">
        <f t="shared" si="552"/>
        <v>0</v>
      </c>
      <c r="Y1288">
        <v>39</v>
      </c>
    </row>
    <row r="1289" spans="2:31" ht="20.100000000000001" hidden="1" customHeight="1">
      <c r="B1289" s="77">
        <v>10</v>
      </c>
      <c r="C1289" s="78" t="s">
        <v>2311</v>
      </c>
      <c r="D1289" s="79" t="s">
        <v>2414</v>
      </c>
      <c r="E1289" s="80" t="s">
        <v>2415</v>
      </c>
      <c r="F1289" s="81">
        <v>5.34</v>
      </c>
      <c r="G1289" s="222">
        <v>385</v>
      </c>
      <c r="H1289" s="186"/>
      <c r="I1289" s="186"/>
      <c r="J1289" s="308"/>
      <c r="K1289" s="227"/>
      <c r="L1289" s="82">
        <f t="shared" si="551"/>
        <v>385</v>
      </c>
      <c r="M1289" s="331">
        <v>385</v>
      </c>
      <c r="N1289" s="161">
        <f t="shared" si="560"/>
        <v>2055.9</v>
      </c>
      <c r="O1289" s="161">
        <f t="shared" si="561"/>
        <v>2055.9</v>
      </c>
      <c r="P1289" s="187">
        <f t="shared" si="562"/>
        <v>0</v>
      </c>
      <c r="Q1289" s="161">
        <f t="shared" si="563"/>
        <v>0</v>
      </c>
      <c r="R1289" s="85"/>
      <c r="S1289" s="86">
        <f t="shared" si="564"/>
        <v>208</v>
      </c>
      <c r="T1289" s="87">
        <f t="shared" si="552"/>
        <v>177</v>
      </c>
      <c r="U1289">
        <v>76</v>
      </c>
      <c r="AA1289">
        <v>132</v>
      </c>
      <c r="AB1289" s="88" t="s">
        <v>2416</v>
      </c>
      <c r="AD1289">
        <f>AA1289</f>
        <v>132</v>
      </c>
      <c r="AE1289" s="89">
        <f>AD1289*F1289</f>
        <v>704.88</v>
      </c>
    </row>
    <row r="1290" spans="2:31" ht="20.100000000000001" hidden="1" customHeight="1">
      <c r="B1290" s="77">
        <v>10</v>
      </c>
      <c r="C1290" s="78" t="s">
        <v>2311</v>
      </c>
      <c r="D1290" s="79" t="s">
        <v>2417</v>
      </c>
      <c r="E1290" s="80" t="s">
        <v>2418</v>
      </c>
      <c r="F1290" s="81">
        <v>5.0199999999999996</v>
      </c>
      <c r="G1290" s="222">
        <v>62</v>
      </c>
      <c r="H1290" s="186"/>
      <c r="I1290" s="186"/>
      <c r="J1290" s="308"/>
      <c r="K1290" s="227"/>
      <c r="L1290" s="82">
        <f t="shared" si="551"/>
        <v>62</v>
      </c>
      <c r="M1290" s="331">
        <v>62</v>
      </c>
      <c r="N1290" s="161">
        <f t="shared" si="560"/>
        <v>311.23999999999995</v>
      </c>
      <c r="O1290" s="161">
        <f t="shared" si="561"/>
        <v>311.23999999999995</v>
      </c>
      <c r="P1290" s="187">
        <f t="shared" si="562"/>
        <v>0</v>
      </c>
      <c r="Q1290" s="161">
        <f t="shared" si="563"/>
        <v>0</v>
      </c>
      <c r="R1290" s="85"/>
      <c r="S1290" s="86">
        <f t="shared" si="564"/>
        <v>62</v>
      </c>
      <c r="T1290" s="87">
        <f t="shared" si="552"/>
        <v>0</v>
      </c>
      <c r="U1290">
        <v>2</v>
      </c>
      <c r="Y1290">
        <v>60</v>
      </c>
    </row>
    <row r="1291" spans="2:31" ht="20.100000000000001" hidden="1" customHeight="1">
      <c r="B1291" s="77">
        <v>10</v>
      </c>
      <c r="C1291" s="78" t="s">
        <v>2311</v>
      </c>
      <c r="D1291" s="79" t="s">
        <v>2419</v>
      </c>
      <c r="E1291" s="80" t="s">
        <v>2420</v>
      </c>
      <c r="F1291" s="81">
        <v>4.79</v>
      </c>
      <c r="G1291" s="222">
        <v>8</v>
      </c>
      <c r="H1291" s="186"/>
      <c r="I1291" s="186"/>
      <c r="J1291" s="308"/>
      <c r="K1291" s="227"/>
      <c r="L1291" s="82">
        <f t="shared" si="551"/>
        <v>8</v>
      </c>
      <c r="M1291" s="331">
        <v>8</v>
      </c>
      <c r="N1291" s="161">
        <f t="shared" si="560"/>
        <v>38.32</v>
      </c>
      <c r="O1291" s="161">
        <f t="shared" si="561"/>
        <v>38.32</v>
      </c>
      <c r="P1291" s="187">
        <f t="shared" si="562"/>
        <v>0</v>
      </c>
      <c r="Q1291" s="161">
        <f t="shared" si="563"/>
        <v>0</v>
      </c>
      <c r="R1291" s="85"/>
      <c r="S1291" s="86">
        <f t="shared" si="564"/>
        <v>8</v>
      </c>
      <c r="T1291" s="87">
        <f t="shared" si="552"/>
        <v>0</v>
      </c>
      <c r="U1291">
        <v>8</v>
      </c>
    </row>
    <row r="1292" spans="2:31" ht="20.100000000000001" hidden="1" customHeight="1">
      <c r="B1292" s="77">
        <v>10</v>
      </c>
      <c r="C1292" s="78" t="s">
        <v>2311</v>
      </c>
      <c r="D1292" s="79" t="s">
        <v>2421</v>
      </c>
      <c r="E1292" s="80" t="s">
        <v>2422</v>
      </c>
      <c r="F1292" s="81">
        <v>5.0199999999999996</v>
      </c>
      <c r="G1292" s="222">
        <v>82</v>
      </c>
      <c r="H1292" s="186"/>
      <c r="I1292" s="186"/>
      <c r="J1292" s="308"/>
      <c r="K1292" s="227">
        <v>2</v>
      </c>
      <c r="L1292" s="82">
        <f t="shared" si="551"/>
        <v>80</v>
      </c>
      <c r="M1292" s="331">
        <v>80</v>
      </c>
      <c r="N1292" s="161">
        <f t="shared" si="560"/>
        <v>401.59999999999997</v>
      </c>
      <c r="O1292" s="161">
        <f t="shared" si="561"/>
        <v>401.59999999999997</v>
      </c>
      <c r="P1292" s="187">
        <f t="shared" si="562"/>
        <v>0</v>
      </c>
      <c r="Q1292" s="161">
        <f t="shared" si="563"/>
        <v>0</v>
      </c>
      <c r="R1292" s="85"/>
      <c r="S1292" s="86">
        <f t="shared" si="564"/>
        <v>84</v>
      </c>
      <c r="T1292" s="87">
        <f t="shared" si="552"/>
        <v>-4</v>
      </c>
      <c r="U1292">
        <f>21+3</f>
        <v>24</v>
      </c>
      <c r="Y1292">
        <v>60</v>
      </c>
    </row>
    <row r="1293" spans="2:31" ht="20.100000000000001" hidden="1" customHeight="1">
      <c r="B1293" s="77">
        <v>10</v>
      </c>
      <c r="C1293" s="78" t="s">
        <v>2311</v>
      </c>
      <c r="D1293" s="79" t="s">
        <v>2423</v>
      </c>
      <c r="E1293" s="80" t="s">
        <v>2424</v>
      </c>
      <c r="F1293" s="81">
        <v>5.34</v>
      </c>
      <c r="G1293" s="222">
        <v>244</v>
      </c>
      <c r="H1293" s="186"/>
      <c r="I1293" s="186"/>
      <c r="J1293" s="308"/>
      <c r="K1293" s="227"/>
      <c r="L1293" s="82">
        <f t="shared" si="551"/>
        <v>244</v>
      </c>
      <c r="M1293" s="331">
        <v>244</v>
      </c>
      <c r="N1293" s="161">
        <f t="shared" si="560"/>
        <v>1302.96</v>
      </c>
      <c r="O1293" s="161">
        <f t="shared" si="561"/>
        <v>1302.96</v>
      </c>
      <c r="P1293" s="187">
        <f t="shared" si="562"/>
        <v>0</v>
      </c>
      <c r="Q1293" s="161">
        <f t="shared" si="563"/>
        <v>0</v>
      </c>
      <c r="R1293" s="85"/>
      <c r="S1293" s="86">
        <f t="shared" si="564"/>
        <v>244</v>
      </c>
      <c r="T1293" s="87">
        <f t="shared" si="552"/>
        <v>0</v>
      </c>
      <c r="U1293">
        <v>101</v>
      </c>
      <c r="AA1293">
        <v>143</v>
      </c>
    </row>
    <row r="1294" spans="2:31" ht="20.100000000000001" hidden="1" customHeight="1">
      <c r="B1294" s="77">
        <v>10</v>
      </c>
      <c r="C1294" s="78" t="s">
        <v>2311</v>
      </c>
      <c r="D1294" s="79" t="s">
        <v>2425</v>
      </c>
      <c r="E1294" s="80" t="s">
        <v>2426</v>
      </c>
      <c r="F1294" s="81">
        <v>12.69</v>
      </c>
      <c r="G1294" s="222">
        <v>73</v>
      </c>
      <c r="H1294" s="186"/>
      <c r="I1294" s="186"/>
      <c r="J1294" s="308"/>
      <c r="K1294" s="227"/>
      <c r="L1294" s="82">
        <f t="shared" si="551"/>
        <v>73</v>
      </c>
      <c r="M1294" s="331">
        <v>73</v>
      </c>
      <c r="N1294" s="161">
        <f t="shared" si="560"/>
        <v>926.37</v>
      </c>
      <c r="O1294" s="161">
        <f t="shared" si="561"/>
        <v>926.37</v>
      </c>
      <c r="P1294" s="187">
        <f t="shared" si="562"/>
        <v>0</v>
      </c>
      <c r="Q1294" s="161">
        <f t="shared" si="563"/>
        <v>0</v>
      </c>
      <c r="R1294" s="85"/>
      <c r="S1294" s="86">
        <f t="shared" si="564"/>
        <v>75</v>
      </c>
      <c r="T1294" s="87">
        <f t="shared" si="552"/>
        <v>-2</v>
      </c>
      <c r="U1294">
        <v>75</v>
      </c>
    </row>
    <row r="1295" spans="2:31" ht="20.100000000000001" hidden="1" customHeight="1">
      <c r="B1295" s="77">
        <v>10</v>
      </c>
      <c r="C1295" s="78" t="s">
        <v>2311</v>
      </c>
      <c r="D1295" s="79" t="s">
        <v>2427</v>
      </c>
      <c r="E1295" s="80" t="s">
        <v>2428</v>
      </c>
      <c r="F1295" s="81">
        <v>44.36</v>
      </c>
      <c r="G1295" s="222">
        <v>2</v>
      </c>
      <c r="H1295" s="186"/>
      <c r="I1295" s="186"/>
      <c r="J1295" s="308"/>
      <c r="K1295" s="227"/>
      <c r="L1295" s="82">
        <f t="shared" si="551"/>
        <v>2</v>
      </c>
      <c r="M1295" s="331">
        <v>2</v>
      </c>
      <c r="N1295" s="161">
        <f t="shared" si="560"/>
        <v>88.72</v>
      </c>
      <c r="O1295" s="161">
        <f t="shared" si="561"/>
        <v>88.72</v>
      </c>
      <c r="P1295" s="187">
        <f t="shared" si="562"/>
        <v>0</v>
      </c>
      <c r="Q1295" s="161">
        <f t="shared" si="563"/>
        <v>0</v>
      </c>
      <c r="R1295" s="85"/>
      <c r="S1295" s="86">
        <f t="shared" si="564"/>
        <v>2</v>
      </c>
      <c r="T1295" s="87">
        <f t="shared" si="552"/>
        <v>0</v>
      </c>
      <c r="U1295">
        <v>2</v>
      </c>
    </row>
    <row r="1296" spans="2:31" ht="20.100000000000001" hidden="1" customHeight="1">
      <c r="B1296" s="77">
        <v>10</v>
      </c>
      <c r="C1296" s="78" t="s">
        <v>2311</v>
      </c>
      <c r="D1296" s="79" t="s">
        <v>2429</v>
      </c>
      <c r="E1296" s="80" t="s">
        <v>2430</v>
      </c>
      <c r="F1296" s="81">
        <v>36.51</v>
      </c>
      <c r="G1296" s="222"/>
      <c r="H1296" s="186"/>
      <c r="I1296" s="186"/>
      <c r="J1296" s="308"/>
      <c r="K1296" s="227"/>
      <c r="L1296" s="82">
        <f t="shared" si="551"/>
        <v>0</v>
      </c>
      <c r="M1296" s="331"/>
      <c r="N1296" s="161">
        <f t="shared" si="560"/>
        <v>0</v>
      </c>
      <c r="O1296" s="161">
        <f t="shared" si="561"/>
        <v>0</v>
      </c>
      <c r="P1296" s="187">
        <f t="shared" si="562"/>
        <v>0</v>
      </c>
      <c r="Q1296" s="161">
        <f t="shared" si="563"/>
        <v>0</v>
      </c>
      <c r="R1296" s="85"/>
      <c r="S1296" s="86">
        <f t="shared" si="564"/>
        <v>0</v>
      </c>
      <c r="T1296" s="87">
        <f t="shared" si="552"/>
        <v>0</v>
      </c>
    </row>
    <row r="1297" spans="2:31" ht="20.100000000000001" hidden="1" customHeight="1">
      <c r="B1297" s="77">
        <v>10</v>
      </c>
      <c r="C1297" s="78" t="s">
        <v>2311</v>
      </c>
      <c r="D1297" s="79" t="s">
        <v>2429</v>
      </c>
      <c r="E1297" s="80" t="s">
        <v>2430</v>
      </c>
      <c r="F1297" s="81">
        <v>36.51</v>
      </c>
      <c r="G1297" s="222">
        <v>83</v>
      </c>
      <c r="H1297" s="186"/>
      <c r="I1297" s="186"/>
      <c r="J1297" s="308"/>
      <c r="K1297" s="227">
        <v>4</v>
      </c>
      <c r="L1297" s="82">
        <f t="shared" si="551"/>
        <v>79</v>
      </c>
      <c r="M1297" s="331">
        <v>79</v>
      </c>
      <c r="N1297" s="161">
        <f t="shared" si="560"/>
        <v>2884.29</v>
      </c>
      <c r="O1297" s="161">
        <f t="shared" si="561"/>
        <v>2884.29</v>
      </c>
      <c r="P1297" s="187">
        <f t="shared" si="562"/>
        <v>0</v>
      </c>
      <c r="Q1297" s="161">
        <f t="shared" si="563"/>
        <v>0</v>
      </c>
      <c r="R1297" s="85"/>
      <c r="S1297" s="86">
        <f t="shared" si="564"/>
        <v>84</v>
      </c>
      <c r="T1297" s="87">
        <f t="shared" si="552"/>
        <v>-5</v>
      </c>
      <c r="U1297">
        <v>84</v>
      </c>
    </row>
    <row r="1298" spans="2:31" ht="20.100000000000001" hidden="1" customHeight="1">
      <c r="B1298" s="77">
        <v>10</v>
      </c>
      <c r="C1298" s="78" t="s">
        <v>2311</v>
      </c>
      <c r="D1298" s="79" t="s">
        <v>2431</v>
      </c>
      <c r="E1298" s="80" t="s">
        <v>2432</v>
      </c>
      <c r="F1298" s="81">
        <v>19.66</v>
      </c>
      <c r="G1298" s="222">
        <v>79</v>
      </c>
      <c r="H1298" s="186"/>
      <c r="I1298" s="186"/>
      <c r="J1298" s="308"/>
      <c r="K1298" s="227">
        <v>16</v>
      </c>
      <c r="L1298" s="82">
        <f t="shared" si="551"/>
        <v>63</v>
      </c>
      <c r="M1298" s="331">
        <v>63</v>
      </c>
      <c r="N1298" s="161">
        <f t="shared" si="560"/>
        <v>1238.58</v>
      </c>
      <c r="O1298" s="161">
        <f t="shared" si="561"/>
        <v>1238.58</v>
      </c>
      <c r="P1298" s="187">
        <f t="shared" si="562"/>
        <v>0</v>
      </c>
      <c r="Q1298" s="161">
        <f t="shared" si="563"/>
        <v>0</v>
      </c>
      <c r="R1298" s="85"/>
      <c r="S1298" s="86">
        <f t="shared" si="564"/>
        <v>80</v>
      </c>
      <c r="T1298" s="87">
        <f t="shared" si="552"/>
        <v>-17</v>
      </c>
      <c r="U1298">
        <v>80</v>
      </c>
    </row>
    <row r="1299" spans="2:31" ht="20.100000000000001" hidden="1" customHeight="1">
      <c r="B1299" s="77">
        <v>10</v>
      </c>
      <c r="C1299" s="78" t="s">
        <v>2311</v>
      </c>
      <c r="D1299" s="79" t="s">
        <v>2431</v>
      </c>
      <c r="E1299" s="80" t="s">
        <v>2432</v>
      </c>
      <c r="F1299" s="81">
        <v>19.66</v>
      </c>
      <c r="G1299" s="222"/>
      <c r="H1299" s="186"/>
      <c r="I1299" s="186"/>
      <c r="J1299" s="308"/>
      <c r="K1299" s="227"/>
      <c r="L1299" s="82">
        <f t="shared" si="551"/>
        <v>0</v>
      </c>
      <c r="M1299" s="331"/>
      <c r="N1299" s="161">
        <f t="shared" si="560"/>
        <v>0</v>
      </c>
      <c r="O1299" s="161">
        <f t="shared" si="561"/>
        <v>0</v>
      </c>
      <c r="P1299" s="187">
        <f t="shared" si="562"/>
        <v>0</v>
      </c>
      <c r="Q1299" s="161">
        <f t="shared" si="563"/>
        <v>0</v>
      </c>
      <c r="R1299" s="85"/>
      <c r="S1299" s="86">
        <f t="shared" si="564"/>
        <v>0</v>
      </c>
      <c r="T1299" s="87">
        <f t="shared" si="552"/>
        <v>0</v>
      </c>
    </row>
    <row r="1300" spans="2:31" ht="20.100000000000001" hidden="1" customHeight="1">
      <c r="B1300" s="77">
        <v>10</v>
      </c>
      <c r="C1300" s="78" t="s">
        <v>2311</v>
      </c>
      <c r="D1300" s="79" t="s">
        <v>2433</v>
      </c>
      <c r="E1300" s="80" t="s">
        <v>2434</v>
      </c>
      <c r="F1300" s="81">
        <v>48</v>
      </c>
      <c r="G1300" s="222">
        <v>3</v>
      </c>
      <c r="H1300" s="186"/>
      <c r="I1300" s="186"/>
      <c r="J1300" s="308"/>
      <c r="K1300" s="227"/>
      <c r="L1300" s="82">
        <f t="shared" si="551"/>
        <v>3</v>
      </c>
      <c r="M1300" s="331">
        <v>3</v>
      </c>
      <c r="N1300" s="161">
        <f t="shared" si="560"/>
        <v>144</v>
      </c>
      <c r="O1300" s="161">
        <f t="shared" si="561"/>
        <v>144</v>
      </c>
      <c r="P1300" s="187">
        <f t="shared" si="562"/>
        <v>0</v>
      </c>
      <c r="Q1300" s="161">
        <f t="shared" si="563"/>
        <v>0</v>
      </c>
      <c r="R1300" s="85"/>
      <c r="S1300" s="86">
        <f t="shared" si="564"/>
        <v>3</v>
      </c>
      <c r="T1300" s="87">
        <f t="shared" si="552"/>
        <v>0</v>
      </c>
      <c r="U1300">
        <v>3</v>
      </c>
    </row>
    <row r="1301" spans="2:31" ht="20.100000000000001" hidden="1" customHeight="1">
      <c r="B1301" s="77">
        <v>10</v>
      </c>
      <c r="C1301" s="78" t="s">
        <v>2311</v>
      </c>
      <c r="D1301" s="79" t="s">
        <v>2435</v>
      </c>
      <c r="E1301" s="80" t="s">
        <v>2436</v>
      </c>
      <c r="F1301" s="81">
        <v>15</v>
      </c>
      <c r="G1301" s="222">
        <v>4</v>
      </c>
      <c r="H1301" s="186"/>
      <c r="I1301" s="186"/>
      <c r="J1301" s="308"/>
      <c r="K1301" s="227"/>
      <c r="L1301" s="82">
        <f t="shared" si="551"/>
        <v>4</v>
      </c>
      <c r="M1301" s="331">
        <v>4</v>
      </c>
      <c r="N1301" s="161">
        <f t="shared" si="560"/>
        <v>60</v>
      </c>
      <c r="O1301" s="161">
        <f t="shared" si="561"/>
        <v>60</v>
      </c>
      <c r="P1301" s="187">
        <f t="shared" si="562"/>
        <v>0</v>
      </c>
      <c r="Q1301" s="161">
        <f t="shared" si="563"/>
        <v>0</v>
      </c>
      <c r="R1301" s="85"/>
      <c r="S1301" s="86">
        <f t="shared" si="564"/>
        <v>4</v>
      </c>
      <c r="T1301" s="87">
        <f t="shared" si="552"/>
        <v>0</v>
      </c>
      <c r="U1301">
        <v>4</v>
      </c>
    </row>
    <row r="1302" spans="2:31" ht="20.100000000000001" hidden="1" customHeight="1">
      <c r="B1302" s="77">
        <v>10</v>
      </c>
      <c r="C1302" s="78" t="s">
        <v>2311</v>
      </c>
      <c r="D1302" s="79" t="s">
        <v>2437</v>
      </c>
      <c r="E1302" s="80" t="s">
        <v>2438</v>
      </c>
      <c r="F1302" s="81">
        <v>3.72</v>
      </c>
      <c r="G1302" s="222">
        <v>161</v>
      </c>
      <c r="H1302" s="186"/>
      <c r="I1302" s="186"/>
      <c r="J1302" s="308"/>
      <c r="K1302" s="227"/>
      <c r="L1302" s="82">
        <f t="shared" si="551"/>
        <v>161</v>
      </c>
      <c r="M1302" s="331">
        <v>161</v>
      </c>
      <c r="N1302" s="161">
        <f t="shared" si="560"/>
        <v>598.92000000000007</v>
      </c>
      <c r="O1302" s="161">
        <f t="shared" si="561"/>
        <v>598.92000000000007</v>
      </c>
      <c r="P1302" s="187">
        <f t="shared" si="562"/>
        <v>0</v>
      </c>
      <c r="Q1302" s="161">
        <f t="shared" si="563"/>
        <v>0</v>
      </c>
      <c r="R1302" s="85"/>
      <c r="S1302" s="86">
        <f t="shared" si="564"/>
        <v>167</v>
      </c>
      <c r="T1302" s="87">
        <f t="shared" si="552"/>
        <v>-6</v>
      </c>
      <c r="U1302">
        <f>120+42+5</f>
        <v>167</v>
      </c>
    </row>
    <row r="1303" spans="2:31" ht="20.100000000000001" customHeight="1">
      <c r="B1303" s="77">
        <v>10</v>
      </c>
      <c r="C1303" s="78" t="s">
        <v>2311</v>
      </c>
      <c r="D1303" s="79" t="s">
        <v>2439</v>
      </c>
      <c r="E1303" s="80" t="s">
        <v>2440</v>
      </c>
      <c r="F1303" s="81">
        <v>3.72</v>
      </c>
      <c r="G1303" s="222">
        <v>534</v>
      </c>
      <c r="H1303" s="186"/>
      <c r="I1303" s="186"/>
      <c r="J1303" s="308"/>
      <c r="K1303" s="227">
        <v>4</v>
      </c>
      <c r="L1303" s="82">
        <f t="shared" si="551"/>
        <v>530</v>
      </c>
      <c r="M1303" s="331">
        <f>1+120+396</f>
        <v>517</v>
      </c>
      <c r="N1303" s="161">
        <f t="shared" si="560"/>
        <v>1971.6000000000001</v>
      </c>
      <c r="O1303" s="161">
        <f t="shared" si="561"/>
        <v>1923.24</v>
      </c>
      <c r="P1303" s="187">
        <f t="shared" si="562"/>
        <v>13</v>
      </c>
      <c r="Q1303" s="161">
        <f t="shared" si="563"/>
        <v>48.360000000000127</v>
      </c>
      <c r="R1303" s="232" t="s">
        <v>3830</v>
      </c>
      <c r="S1303" s="86">
        <f t="shared" si="564"/>
        <v>555</v>
      </c>
      <c r="T1303" s="87">
        <f t="shared" si="552"/>
        <v>-38</v>
      </c>
      <c r="U1303">
        <f>144+3</f>
        <v>147</v>
      </c>
      <c r="Y1303">
        <f>396+12</f>
        <v>408</v>
      </c>
    </row>
    <row r="1304" spans="2:31" ht="20.100000000000001" hidden="1" customHeight="1">
      <c r="B1304" s="77">
        <v>10</v>
      </c>
      <c r="C1304" s="78" t="s">
        <v>2311</v>
      </c>
      <c r="D1304" s="79" t="s">
        <v>2441</v>
      </c>
      <c r="E1304" s="80" t="s">
        <v>2442</v>
      </c>
      <c r="F1304" s="81">
        <v>4.7</v>
      </c>
      <c r="G1304" s="222">
        <v>396</v>
      </c>
      <c r="H1304" s="186"/>
      <c r="I1304" s="186"/>
      <c r="J1304" s="308"/>
      <c r="K1304" s="227"/>
      <c r="L1304" s="82">
        <f t="shared" si="551"/>
        <v>396</v>
      </c>
      <c r="M1304" s="331">
        <v>396</v>
      </c>
      <c r="N1304" s="161">
        <f t="shared" si="560"/>
        <v>1861.2</v>
      </c>
      <c r="O1304" s="161">
        <f t="shared" si="561"/>
        <v>1861.2</v>
      </c>
      <c r="P1304" s="187">
        <f t="shared" si="562"/>
        <v>0</v>
      </c>
      <c r="Q1304" s="161">
        <f t="shared" si="563"/>
        <v>0</v>
      </c>
      <c r="R1304" s="85"/>
      <c r="S1304" s="86">
        <f t="shared" si="564"/>
        <v>413</v>
      </c>
      <c r="T1304" s="87">
        <f t="shared" si="552"/>
        <v>-17</v>
      </c>
      <c r="U1304">
        <v>5</v>
      </c>
      <c r="Y1304">
        <v>408</v>
      </c>
    </row>
    <row r="1305" spans="2:31" ht="20.100000000000001" hidden="1" customHeight="1">
      <c r="B1305" s="77">
        <v>10</v>
      </c>
      <c r="C1305" s="78" t="s">
        <v>2311</v>
      </c>
      <c r="D1305" s="79" t="s">
        <v>2443</v>
      </c>
      <c r="E1305" s="80" t="s">
        <v>2444</v>
      </c>
      <c r="F1305" s="81">
        <v>4.7</v>
      </c>
      <c r="G1305" s="222">
        <v>391</v>
      </c>
      <c r="H1305" s="186"/>
      <c r="I1305" s="186"/>
      <c r="J1305" s="308"/>
      <c r="K1305" s="227"/>
      <c r="L1305" s="82">
        <f t="shared" si="551"/>
        <v>391</v>
      </c>
      <c r="M1305" s="331">
        <v>391</v>
      </c>
      <c r="N1305" s="161">
        <f t="shared" si="560"/>
        <v>1837.7</v>
      </c>
      <c r="O1305" s="161">
        <f t="shared" si="561"/>
        <v>1837.7</v>
      </c>
      <c r="P1305" s="187">
        <f t="shared" si="562"/>
        <v>0</v>
      </c>
      <c r="Q1305" s="161">
        <f t="shared" si="563"/>
        <v>0</v>
      </c>
      <c r="R1305" s="85"/>
      <c r="S1305" s="86">
        <f t="shared" si="564"/>
        <v>395</v>
      </c>
      <c r="T1305" s="87">
        <f t="shared" si="552"/>
        <v>-4</v>
      </c>
      <c r="U1305">
        <f>300+59+36</f>
        <v>395</v>
      </c>
    </row>
    <row r="1306" spans="2:31" ht="20.100000000000001" customHeight="1">
      <c r="B1306" s="77">
        <v>10</v>
      </c>
      <c r="C1306" s="78" t="s">
        <v>2311</v>
      </c>
      <c r="D1306" s="79" t="s">
        <v>2445</v>
      </c>
      <c r="E1306" s="80" t="s">
        <v>2446</v>
      </c>
      <c r="F1306" s="81">
        <v>4.7</v>
      </c>
      <c r="G1306" s="222">
        <v>410</v>
      </c>
      <c r="H1306" s="186"/>
      <c r="I1306" s="186"/>
      <c r="J1306" s="308"/>
      <c r="K1306" s="227"/>
      <c r="L1306" s="82">
        <f t="shared" si="551"/>
        <v>410</v>
      </c>
      <c r="M1306" s="331">
        <v>409</v>
      </c>
      <c r="N1306" s="161">
        <f t="shared" si="560"/>
        <v>1927</v>
      </c>
      <c r="O1306" s="161">
        <f t="shared" si="561"/>
        <v>1922.3000000000002</v>
      </c>
      <c r="P1306" s="187">
        <f t="shared" si="562"/>
        <v>1</v>
      </c>
      <c r="Q1306" s="161">
        <f t="shared" si="563"/>
        <v>4.6999999999998181</v>
      </c>
      <c r="R1306" s="85"/>
      <c r="S1306" s="86">
        <f t="shared" si="564"/>
        <v>410</v>
      </c>
      <c r="T1306" s="87">
        <f t="shared" si="552"/>
        <v>-1</v>
      </c>
      <c r="U1306">
        <v>14</v>
      </c>
      <c r="Y1306">
        <v>396</v>
      </c>
    </row>
    <row r="1307" spans="2:31" ht="20.100000000000001" hidden="1" customHeight="1">
      <c r="B1307" s="77">
        <v>10</v>
      </c>
      <c r="C1307" s="78" t="s">
        <v>2311</v>
      </c>
      <c r="D1307" s="79" t="s">
        <v>2447</v>
      </c>
      <c r="E1307" s="80" t="s">
        <v>2448</v>
      </c>
      <c r="F1307" s="81">
        <v>7.46</v>
      </c>
      <c r="G1307" s="222"/>
      <c r="H1307" s="186"/>
      <c r="I1307" s="186"/>
      <c r="J1307" s="308"/>
      <c r="K1307" s="227"/>
      <c r="L1307" s="82">
        <f t="shared" si="551"/>
        <v>0</v>
      </c>
      <c r="M1307" s="331"/>
      <c r="N1307" s="161">
        <f t="shared" si="560"/>
        <v>0</v>
      </c>
      <c r="O1307" s="161">
        <f t="shared" si="561"/>
        <v>0</v>
      </c>
      <c r="P1307" s="187">
        <f t="shared" si="562"/>
        <v>0</v>
      </c>
      <c r="Q1307" s="161">
        <f t="shared" si="563"/>
        <v>0</v>
      </c>
      <c r="R1307" s="85"/>
      <c r="S1307" s="86">
        <f t="shared" si="564"/>
        <v>0</v>
      </c>
      <c r="T1307" s="87">
        <f t="shared" si="552"/>
        <v>0</v>
      </c>
    </row>
    <row r="1308" spans="2:31" ht="20.100000000000001" hidden="1" customHeight="1">
      <c r="B1308" s="77">
        <v>10</v>
      </c>
      <c r="C1308" s="78" t="s">
        <v>2311</v>
      </c>
      <c r="D1308" s="79" t="s">
        <v>2449</v>
      </c>
      <c r="E1308" s="80" t="s">
        <v>2450</v>
      </c>
      <c r="F1308" s="277">
        <v>6.3448000000000002</v>
      </c>
      <c r="G1308" s="222"/>
      <c r="H1308" s="186"/>
      <c r="I1308" s="186">
        <v>6</v>
      </c>
      <c r="J1308" s="308"/>
      <c r="K1308" s="227"/>
      <c r="L1308" s="82">
        <f t="shared" ref="L1308" si="572">G1308+I1308-J1308-K1308+H1308</f>
        <v>6</v>
      </c>
      <c r="M1308" s="331">
        <v>6</v>
      </c>
      <c r="N1308" s="161">
        <f t="shared" ref="N1308" si="573">F1308*L1308</f>
        <v>38.068800000000003</v>
      </c>
      <c r="O1308" s="161">
        <f t="shared" ref="O1308" si="574">M1308*F1308</f>
        <v>38.068800000000003</v>
      </c>
      <c r="P1308" s="187">
        <f t="shared" ref="P1308" si="575">L1308-M1308</f>
        <v>0</v>
      </c>
      <c r="Q1308" s="161">
        <f t="shared" ref="Q1308" si="576">N1308-O1308</f>
        <v>0</v>
      </c>
      <c r="R1308" s="85"/>
      <c r="S1308" s="86">
        <f t="shared" ref="S1308" si="577">U1308+Y1308+W1308+AA1308</f>
        <v>395</v>
      </c>
      <c r="T1308" s="87">
        <f t="shared" ref="T1308" si="578">M1308-S1308</f>
        <v>-389</v>
      </c>
      <c r="U1308">
        <f>17+18+12</f>
        <v>47</v>
      </c>
      <c r="Y1308">
        <v>348</v>
      </c>
    </row>
    <row r="1309" spans="2:31" ht="20.100000000000001" hidden="1" customHeight="1">
      <c r="B1309" s="77">
        <v>10</v>
      </c>
      <c r="C1309" s="78" t="s">
        <v>2311</v>
      </c>
      <c r="D1309" s="79" t="s">
        <v>2449</v>
      </c>
      <c r="E1309" s="80" t="s">
        <v>2450</v>
      </c>
      <c r="F1309" s="81">
        <v>6.12</v>
      </c>
      <c r="G1309" s="222">
        <v>386</v>
      </c>
      <c r="H1309" s="186"/>
      <c r="I1309" s="186"/>
      <c r="J1309" s="308"/>
      <c r="K1309" s="227"/>
      <c r="L1309" s="82">
        <f t="shared" si="551"/>
        <v>386</v>
      </c>
      <c r="M1309" s="331">
        <v>386</v>
      </c>
      <c r="N1309" s="161">
        <f t="shared" si="560"/>
        <v>2362.3200000000002</v>
      </c>
      <c r="O1309" s="161">
        <f t="shared" si="561"/>
        <v>2362.3200000000002</v>
      </c>
      <c r="P1309" s="187">
        <f t="shared" si="562"/>
        <v>0</v>
      </c>
      <c r="Q1309" s="161">
        <f t="shared" si="563"/>
        <v>0</v>
      </c>
      <c r="R1309" s="85"/>
      <c r="S1309" s="86">
        <f t="shared" si="564"/>
        <v>395</v>
      </c>
      <c r="T1309" s="87">
        <f t="shared" si="552"/>
        <v>-9</v>
      </c>
      <c r="U1309">
        <f>17+18+12</f>
        <v>47</v>
      </c>
      <c r="Y1309">
        <v>348</v>
      </c>
    </row>
    <row r="1310" spans="2:31" ht="20.100000000000001" hidden="1" customHeight="1">
      <c r="B1310" s="77">
        <v>10</v>
      </c>
      <c r="C1310" s="78" t="s">
        <v>2311</v>
      </c>
      <c r="D1310" s="79" t="s">
        <v>2451</v>
      </c>
      <c r="E1310" s="80" t="s">
        <v>2452</v>
      </c>
      <c r="F1310" s="81">
        <v>13.87</v>
      </c>
      <c r="G1310" s="222">
        <v>294</v>
      </c>
      <c r="H1310" s="186"/>
      <c r="I1310" s="186"/>
      <c r="J1310" s="308"/>
      <c r="K1310" s="69"/>
      <c r="L1310" s="82">
        <f t="shared" si="551"/>
        <v>294</v>
      </c>
      <c r="M1310" s="331">
        <v>294</v>
      </c>
      <c r="N1310" s="161">
        <f t="shared" si="560"/>
        <v>4077.7799999999997</v>
      </c>
      <c r="O1310" s="161">
        <f t="shared" si="561"/>
        <v>4077.7799999999997</v>
      </c>
      <c r="P1310" s="187">
        <f t="shared" si="562"/>
        <v>0</v>
      </c>
      <c r="Q1310" s="161">
        <f t="shared" si="563"/>
        <v>0</v>
      </c>
      <c r="R1310" s="85"/>
      <c r="S1310" s="86">
        <f t="shared" si="564"/>
        <v>295</v>
      </c>
      <c r="T1310" s="87">
        <f t="shared" si="552"/>
        <v>-1</v>
      </c>
      <c r="U1310">
        <v>6</v>
      </c>
      <c r="Y1310">
        <f>132+156</f>
        <v>288</v>
      </c>
      <c r="AA1310">
        <v>1</v>
      </c>
      <c r="AB1310" t="s">
        <v>888</v>
      </c>
      <c r="AD1310">
        <f>AA1310</f>
        <v>1</v>
      </c>
      <c r="AE1310" s="89">
        <f>AD1310*F1310</f>
        <v>13.87</v>
      </c>
    </row>
    <row r="1311" spans="2:31" ht="20.100000000000001" hidden="1" customHeight="1">
      <c r="B1311" s="77">
        <v>10</v>
      </c>
      <c r="C1311" s="78" t="s">
        <v>2311</v>
      </c>
      <c r="D1311" s="79" t="s">
        <v>2453</v>
      </c>
      <c r="E1311" s="80" t="s">
        <v>2454</v>
      </c>
      <c r="F1311" s="81">
        <v>5.88</v>
      </c>
      <c r="G1311" s="222"/>
      <c r="H1311" s="186"/>
      <c r="I1311" s="186"/>
      <c r="J1311" s="308"/>
      <c r="K1311" s="227"/>
      <c r="L1311" s="82">
        <f t="shared" si="551"/>
        <v>0</v>
      </c>
      <c r="M1311" s="331"/>
      <c r="N1311" s="161">
        <f t="shared" si="560"/>
        <v>0</v>
      </c>
      <c r="O1311" s="161">
        <f t="shared" si="561"/>
        <v>0</v>
      </c>
      <c r="P1311" s="187">
        <f t="shared" si="562"/>
        <v>0</v>
      </c>
      <c r="Q1311" s="161">
        <f t="shared" si="563"/>
        <v>0</v>
      </c>
      <c r="R1311" s="85"/>
      <c r="S1311" s="86">
        <f t="shared" si="564"/>
        <v>0</v>
      </c>
      <c r="T1311" s="87">
        <f t="shared" si="552"/>
        <v>0</v>
      </c>
    </row>
    <row r="1312" spans="2:31" ht="20.100000000000001" hidden="1" customHeight="1">
      <c r="B1312" s="77">
        <v>10</v>
      </c>
      <c r="C1312" s="78" t="s">
        <v>2311</v>
      </c>
      <c r="D1312" s="79" t="s">
        <v>2453</v>
      </c>
      <c r="E1312" s="80" t="s">
        <v>2454</v>
      </c>
      <c r="F1312" s="81">
        <v>6.12</v>
      </c>
      <c r="G1312" s="222">
        <v>343</v>
      </c>
      <c r="H1312" s="186"/>
      <c r="I1312" s="186"/>
      <c r="J1312" s="308"/>
      <c r="K1312" s="227">
        <v>24</v>
      </c>
      <c r="L1312" s="82">
        <f t="shared" si="551"/>
        <v>319</v>
      </c>
      <c r="M1312" s="331">
        <v>319</v>
      </c>
      <c r="N1312" s="161">
        <f t="shared" si="560"/>
        <v>1952.28</v>
      </c>
      <c r="O1312" s="161">
        <f t="shared" si="561"/>
        <v>1952.28</v>
      </c>
      <c r="P1312" s="187">
        <f t="shared" si="562"/>
        <v>0</v>
      </c>
      <c r="Q1312" s="161">
        <f t="shared" si="563"/>
        <v>0</v>
      </c>
      <c r="R1312" s="85"/>
      <c r="S1312" s="86">
        <f t="shared" si="564"/>
        <v>345</v>
      </c>
      <c r="T1312" s="87">
        <f t="shared" si="552"/>
        <v>-26</v>
      </c>
      <c r="U1312">
        <v>345</v>
      </c>
    </row>
    <row r="1313" spans="2:25" ht="20.100000000000001" hidden="1" customHeight="1">
      <c r="B1313" s="77">
        <v>10</v>
      </c>
      <c r="C1313" s="78" t="s">
        <v>2311</v>
      </c>
      <c r="D1313" s="79" t="s">
        <v>2455</v>
      </c>
      <c r="E1313" s="80" t="s">
        <v>2456</v>
      </c>
      <c r="F1313" s="81">
        <v>150.43</v>
      </c>
      <c r="G1313" s="222">
        <v>7</v>
      </c>
      <c r="H1313" s="186"/>
      <c r="I1313" s="186"/>
      <c r="J1313" s="308"/>
      <c r="K1313" s="227"/>
      <c r="L1313" s="82">
        <f t="shared" si="551"/>
        <v>7</v>
      </c>
      <c r="M1313" s="331">
        <v>7</v>
      </c>
      <c r="N1313" s="161">
        <f t="shared" si="560"/>
        <v>1053.01</v>
      </c>
      <c r="O1313" s="161">
        <f t="shared" si="561"/>
        <v>1053.01</v>
      </c>
      <c r="P1313" s="187">
        <f t="shared" si="562"/>
        <v>0</v>
      </c>
      <c r="Q1313" s="161">
        <f t="shared" si="563"/>
        <v>0</v>
      </c>
      <c r="R1313" s="85"/>
      <c r="S1313" s="86">
        <f t="shared" si="564"/>
        <v>8</v>
      </c>
      <c r="T1313" s="87">
        <f t="shared" si="552"/>
        <v>-1</v>
      </c>
      <c r="U1313">
        <v>8</v>
      </c>
    </row>
    <row r="1314" spans="2:25" ht="20.100000000000001" hidden="1" customHeight="1">
      <c r="B1314" s="77">
        <v>10</v>
      </c>
      <c r="C1314" s="78" t="s">
        <v>2311</v>
      </c>
      <c r="D1314" s="79" t="s">
        <v>2455</v>
      </c>
      <c r="E1314" s="80" t="s">
        <v>2456</v>
      </c>
      <c r="F1314" s="81">
        <v>155.63999999999999</v>
      </c>
      <c r="G1314" s="222"/>
      <c r="H1314" s="186"/>
      <c r="I1314" s="186">
        <v>8</v>
      </c>
      <c r="J1314" s="308"/>
      <c r="K1314" s="227">
        <v>3</v>
      </c>
      <c r="L1314" s="82">
        <f t="shared" si="551"/>
        <v>5</v>
      </c>
      <c r="M1314" s="331">
        <v>5</v>
      </c>
      <c r="N1314" s="161">
        <f t="shared" si="560"/>
        <v>778.19999999999993</v>
      </c>
      <c r="O1314" s="161">
        <f t="shared" si="561"/>
        <v>778.19999999999993</v>
      </c>
      <c r="P1314" s="187">
        <f t="shared" si="562"/>
        <v>0</v>
      </c>
      <c r="Q1314" s="161">
        <f t="shared" si="563"/>
        <v>0</v>
      </c>
      <c r="R1314" s="85"/>
      <c r="S1314" s="86">
        <f t="shared" si="564"/>
        <v>0</v>
      </c>
      <c r="T1314" s="87">
        <f t="shared" si="552"/>
        <v>5</v>
      </c>
    </row>
    <row r="1315" spans="2:25" ht="20.100000000000001" hidden="1" customHeight="1">
      <c r="B1315" s="77">
        <v>10</v>
      </c>
      <c r="C1315" s="78" t="s">
        <v>2311</v>
      </c>
      <c r="D1315" s="79" t="s">
        <v>2457</v>
      </c>
      <c r="E1315" s="80" t="s">
        <v>2458</v>
      </c>
      <c r="F1315" s="81">
        <v>160.51</v>
      </c>
      <c r="G1315" s="222">
        <v>8</v>
      </c>
      <c r="H1315" s="186"/>
      <c r="I1315" s="186"/>
      <c r="J1315" s="308"/>
      <c r="K1315" s="227"/>
      <c r="L1315" s="82">
        <f t="shared" si="551"/>
        <v>8</v>
      </c>
      <c r="M1315" s="331">
        <v>8</v>
      </c>
      <c r="N1315" s="161">
        <f t="shared" si="560"/>
        <v>1284.08</v>
      </c>
      <c r="O1315" s="161">
        <f t="shared" si="561"/>
        <v>1284.08</v>
      </c>
      <c r="P1315" s="187">
        <f t="shared" si="562"/>
        <v>0</v>
      </c>
      <c r="Q1315" s="161">
        <f t="shared" si="563"/>
        <v>0</v>
      </c>
      <c r="R1315" s="85"/>
      <c r="S1315" s="86">
        <f t="shared" si="564"/>
        <v>8</v>
      </c>
      <c r="T1315" s="87">
        <f t="shared" si="552"/>
        <v>0</v>
      </c>
      <c r="U1315">
        <v>8</v>
      </c>
    </row>
    <row r="1316" spans="2:25" ht="20.100000000000001" hidden="1" customHeight="1">
      <c r="B1316" s="77">
        <v>10</v>
      </c>
      <c r="C1316" s="78" t="s">
        <v>2311</v>
      </c>
      <c r="D1316" s="79" t="s">
        <v>2459</v>
      </c>
      <c r="E1316" s="80" t="s">
        <v>2460</v>
      </c>
      <c r="F1316" s="81">
        <v>15.25</v>
      </c>
      <c r="G1316" s="222">
        <v>551</v>
      </c>
      <c r="H1316" s="186"/>
      <c r="I1316" s="186"/>
      <c r="J1316" s="308"/>
      <c r="K1316" s="227">
        <v>18</v>
      </c>
      <c r="L1316" s="82">
        <f t="shared" si="551"/>
        <v>533</v>
      </c>
      <c r="M1316" s="331">
        <v>533</v>
      </c>
      <c r="N1316" s="161">
        <f t="shared" si="560"/>
        <v>8128.25</v>
      </c>
      <c r="O1316" s="161">
        <f t="shared" si="561"/>
        <v>8128.25</v>
      </c>
      <c r="P1316" s="187">
        <f t="shared" si="562"/>
        <v>0</v>
      </c>
      <c r="Q1316" s="161">
        <f t="shared" si="563"/>
        <v>0</v>
      </c>
      <c r="R1316" s="85"/>
      <c r="S1316" s="86">
        <f t="shared" si="564"/>
        <v>561</v>
      </c>
      <c r="T1316" s="87">
        <f t="shared" si="552"/>
        <v>-28</v>
      </c>
      <c r="U1316">
        <f>6+87</f>
        <v>93</v>
      </c>
      <c r="Y1316">
        <v>468</v>
      </c>
    </row>
    <row r="1317" spans="2:25" ht="20.100000000000001" hidden="1" customHeight="1">
      <c r="B1317" s="77">
        <v>10</v>
      </c>
      <c r="C1317" s="78" t="s">
        <v>2311</v>
      </c>
      <c r="D1317" s="79" t="s">
        <v>2461</v>
      </c>
      <c r="E1317" s="80" t="s">
        <v>2462</v>
      </c>
      <c r="F1317" s="81">
        <v>6.12</v>
      </c>
      <c r="G1317" s="222">
        <v>255</v>
      </c>
      <c r="H1317" s="186"/>
      <c r="I1317" s="186"/>
      <c r="J1317" s="308"/>
      <c r="K1317" s="227">
        <v>60</v>
      </c>
      <c r="L1317" s="82">
        <f t="shared" si="551"/>
        <v>195</v>
      </c>
      <c r="M1317" s="331">
        <v>195</v>
      </c>
      <c r="N1317" s="161">
        <f t="shared" si="560"/>
        <v>1193.4000000000001</v>
      </c>
      <c r="O1317" s="161">
        <f t="shared" si="561"/>
        <v>1193.4000000000001</v>
      </c>
      <c r="P1317" s="187">
        <f t="shared" si="562"/>
        <v>0</v>
      </c>
      <c r="Q1317" s="161">
        <f t="shared" si="563"/>
        <v>0</v>
      </c>
      <c r="R1317" s="85"/>
      <c r="S1317" s="86">
        <f t="shared" si="564"/>
        <v>0</v>
      </c>
      <c r="T1317" s="87">
        <f t="shared" si="552"/>
        <v>195</v>
      </c>
    </row>
    <row r="1318" spans="2:25" ht="20.100000000000001" hidden="1" customHeight="1">
      <c r="B1318" s="77">
        <v>10</v>
      </c>
      <c r="C1318" s="78" t="s">
        <v>2311</v>
      </c>
      <c r="D1318" s="79" t="s">
        <v>2461</v>
      </c>
      <c r="E1318" s="80" t="s">
        <v>2462</v>
      </c>
      <c r="F1318" s="277">
        <v>6.3490000000000002</v>
      </c>
      <c r="G1318" s="222"/>
      <c r="H1318" s="186"/>
      <c r="I1318" s="186">
        <v>6</v>
      </c>
      <c r="J1318" s="308"/>
      <c r="K1318" s="227"/>
      <c r="L1318" s="82">
        <f t="shared" si="551"/>
        <v>6</v>
      </c>
      <c r="M1318" s="331">
        <v>6</v>
      </c>
      <c r="N1318" s="161">
        <f t="shared" si="560"/>
        <v>38.094000000000001</v>
      </c>
      <c r="O1318" s="161">
        <f t="shared" si="561"/>
        <v>38.094000000000001</v>
      </c>
      <c r="P1318" s="187">
        <f t="shared" si="562"/>
        <v>0</v>
      </c>
      <c r="Q1318" s="161">
        <f t="shared" si="563"/>
        <v>0</v>
      </c>
      <c r="R1318" s="85"/>
      <c r="S1318" s="86">
        <f t="shared" si="564"/>
        <v>332</v>
      </c>
      <c r="T1318" s="87">
        <f t="shared" si="552"/>
        <v>-326</v>
      </c>
      <c r="U1318">
        <v>332</v>
      </c>
    </row>
    <row r="1319" spans="2:25" ht="20.100000000000001" hidden="1" customHeight="1">
      <c r="B1319" s="77">
        <v>10</v>
      </c>
      <c r="C1319" s="78" t="s">
        <v>2311</v>
      </c>
      <c r="D1319" s="79" t="s">
        <v>2463</v>
      </c>
      <c r="E1319" s="80" t="s">
        <v>2464</v>
      </c>
      <c r="F1319" s="81">
        <v>5.88</v>
      </c>
      <c r="G1319" s="222">
        <v>1</v>
      </c>
      <c r="H1319" s="186"/>
      <c r="I1319" s="186"/>
      <c r="J1319" s="308"/>
      <c r="K1319" s="227"/>
      <c r="L1319" s="82">
        <f t="shared" ref="L1319" si="579">G1319+I1319-J1319-K1319+H1319</f>
        <v>1</v>
      </c>
      <c r="M1319" s="331">
        <v>1</v>
      </c>
      <c r="N1319" s="161">
        <f t="shared" ref="N1319" si="580">F1319*L1319</f>
        <v>5.88</v>
      </c>
      <c r="O1319" s="161">
        <f t="shared" ref="O1319" si="581">M1319*F1319</f>
        <v>5.88</v>
      </c>
      <c r="P1319" s="187">
        <f t="shared" ref="P1319" si="582">L1319-M1319</f>
        <v>0</v>
      </c>
      <c r="Q1319" s="161">
        <f t="shared" ref="Q1319" si="583">N1319-O1319</f>
        <v>0</v>
      </c>
      <c r="R1319" s="85"/>
      <c r="S1319" s="86">
        <f t="shared" ref="S1319" si="584">U1319+Y1319+W1319+AA1319</f>
        <v>0</v>
      </c>
      <c r="T1319" s="87">
        <f t="shared" ref="T1319" si="585">M1319-S1319</f>
        <v>1</v>
      </c>
    </row>
    <row r="1320" spans="2:25" ht="20.100000000000001" hidden="1" customHeight="1">
      <c r="B1320" s="77">
        <v>10</v>
      </c>
      <c r="C1320" s="78" t="s">
        <v>2311</v>
      </c>
      <c r="D1320" s="79" t="s">
        <v>2463</v>
      </c>
      <c r="E1320" s="80" t="s">
        <v>2464</v>
      </c>
      <c r="F1320" s="277">
        <v>6.3490000000000002</v>
      </c>
      <c r="G1320" s="222"/>
      <c r="H1320" s="186"/>
      <c r="I1320" s="186">
        <v>6</v>
      </c>
      <c r="J1320" s="308"/>
      <c r="K1320" s="227"/>
      <c r="L1320" s="82">
        <f t="shared" si="551"/>
        <v>6</v>
      </c>
      <c r="M1320" s="331">
        <v>6</v>
      </c>
      <c r="N1320" s="161">
        <f t="shared" si="560"/>
        <v>38.094000000000001</v>
      </c>
      <c r="O1320" s="161">
        <f t="shared" si="561"/>
        <v>38.094000000000001</v>
      </c>
      <c r="P1320" s="187">
        <f t="shared" si="562"/>
        <v>0</v>
      </c>
      <c r="Q1320" s="161">
        <f t="shared" si="563"/>
        <v>0</v>
      </c>
      <c r="R1320" s="85"/>
      <c r="S1320" s="86">
        <f t="shared" si="564"/>
        <v>0</v>
      </c>
      <c r="T1320" s="87">
        <f t="shared" si="552"/>
        <v>6</v>
      </c>
    </row>
    <row r="1321" spans="2:25" ht="20.100000000000001" hidden="1" customHeight="1">
      <c r="B1321" s="77">
        <v>10</v>
      </c>
      <c r="C1321" s="78" t="s">
        <v>2311</v>
      </c>
      <c r="D1321" s="79" t="s">
        <v>2465</v>
      </c>
      <c r="E1321" s="80" t="s">
        <v>2466</v>
      </c>
      <c r="F1321" s="81">
        <v>152.97</v>
      </c>
      <c r="G1321" s="222">
        <v>6</v>
      </c>
      <c r="H1321" s="186"/>
      <c r="I1321" s="186"/>
      <c r="J1321" s="308"/>
      <c r="K1321" s="227"/>
      <c r="L1321" s="82">
        <f t="shared" si="551"/>
        <v>6</v>
      </c>
      <c r="M1321" s="331">
        <v>6</v>
      </c>
      <c r="N1321" s="161">
        <f t="shared" si="560"/>
        <v>917.81999999999994</v>
      </c>
      <c r="O1321" s="161">
        <f t="shared" si="561"/>
        <v>917.81999999999994</v>
      </c>
      <c r="P1321" s="187">
        <f t="shared" si="562"/>
        <v>0</v>
      </c>
      <c r="Q1321" s="161">
        <f t="shared" si="563"/>
        <v>0</v>
      </c>
      <c r="R1321" s="85"/>
      <c r="S1321" s="86">
        <f t="shared" si="564"/>
        <v>11</v>
      </c>
      <c r="T1321" s="87">
        <f t="shared" si="552"/>
        <v>-5</v>
      </c>
      <c r="U1321">
        <v>11</v>
      </c>
    </row>
    <row r="1322" spans="2:25" ht="20.100000000000001" hidden="1" customHeight="1">
      <c r="B1322" s="77">
        <v>10</v>
      </c>
      <c r="C1322" s="78" t="s">
        <v>2311</v>
      </c>
      <c r="D1322" s="79" t="s">
        <v>2467</v>
      </c>
      <c r="E1322" s="80" t="s">
        <v>2468</v>
      </c>
      <c r="F1322" s="81">
        <v>6.12</v>
      </c>
      <c r="G1322" s="222">
        <v>4</v>
      </c>
      <c r="H1322" s="186"/>
      <c r="I1322" s="186"/>
      <c r="J1322" s="308"/>
      <c r="K1322" s="227"/>
      <c r="L1322" s="82">
        <f t="shared" si="551"/>
        <v>4</v>
      </c>
      <c r="M1322" s="331">
        <v>4</v>
      </c>
      <c r="N1322" s="161">
        <f t="shared" si="560"/>
        <v>24.48</v>
      </c>
      <c r="O1322" s="161">
        <f t="shared" si="561"/>
        <v>24.48</v>
      </c>
      <c r="P1322" s="187">
        <f t="shared" si="562"/>
        <v>0</v>
      </c>
      <c r="Q1322" s="161">
        <f t="shared" si="563"/>
        <v>0</v>
      </c>
      <c r="R1322" s="85"/>
      <c r="S1322" s="86">
        <f t="shared" si="564"/>
        <v>14</v>
      </c>
      <c r="T1322" s="87">
        <f t="shared" si="552"/>
        <v>-10</v>
      </c>
      <c r="U1322">
        <f>7+7</f>
        <v>14</v>
      </c>
    </row>
    <row r="1323" spans="2:25" ht="20.100000000000001" hidden="1" customHeight="1">
      <c r="B1323" s="77">
        <v>10</v>
      </c>
      <c r="C1323" s="78" t="s">
        <v>2311</v>
      </c>
      <c r="D1323" s="79" t="s">
        <v>2469</v>
      </c>
      <c r="E1323" s="80" t="s">
        <v>2470</v>
      </c>
      <c r="F1323" s="81">
        <v>155.6</v>
      </c>
      <c r="G1323" s="222">
        <v>18</v>
      </c>
      <c r="H1323" s="186"/>
      <c r="I1323" s="186"/>
      <c r="J1323" s="308"/>
      <c r="K1323" s="227"/>
      <c r="L1323" s="82">
        <f t="shared" si="551"/>
        <v>18</v>
      </c>
      <c r="M1323" s="331">
        <v>18</v>
      </c>
      <c r="N1323" s="161">
        <f t="shared" si="560"/>
        <v>2800.7999999999997</v>
      </c>
      <c r="O1323" s="161">
        <f t="shared" si="561"/>
        <v>2800.7999999999997</v>
      </c>
      <c r="P1323" s="187">
        <f t="shared" si="562"/>
        <v>0</v>
      </c>
      <c r="Q1323" s="161">
        <f t="shared" si="563"/>
        <v>0</v>
      </c>
      <c r="R1323" s="232" t="s">
        <v>3840</v>
      </c>
      <c r="S1323" s="86">
        <f t="shared" si="564"/>
        <v>8</v>
      </c>
      <c r="T1323" s="87">
        <f t="shared" si="552"/>
        <v>10</v>
      </c>
      <c r="Y1323">
        <v>8</v>
      </c>
    </row>
    <row r="1324" spans="2:25" ht="20.100000000000001" hidden="1" customHeight="1">
      <c r="B1324" s="77">
        <v>10</v>
      </c>
      <c r="C1324" s="78" t="s">
        <v>2311</v>
      </c>
      <c r="D1324" s="79" t="s">
        <v>2469</v>
      </c>
      <c r="E1324" s="80" t="s">
        <v>2470</v>
      </c>
      <c r="F1324" s="81">
        <v>160.51</v>
      </c>
      <c r="G1324" s="222"/>
      <c r="H1324" s="186"/>
      <c r="I1324" s="186">
        <v>16</v>
      </c>
      <c r="J1324" s="308"/>
      <c r="K1324" s="227">
        <v>4</v>
      </c>
      <c r="L1324" s="82">
        <f t="shared" ref="L1324" si="586">G1324+I1324-J1324-K1324+H1324</f>
        <v>12</v>
      </c>
      <c r="M1324" s="331">
        <v>12</v>
      </c>
      <c r="N1324" s="161">
        <f t="shared" ref="N1324" si="587">F1324*L1324</f>
        <v>1926.12</v>
      </c>
      <c r="O1324" s="161">
        <f t="shared" ref="O1324" si="588">M1324*F1324</f>
        <v>1926.12</v>
      </c>
      <c r="P1324" s="187">
        <f t="shared" ref="P1324" si="589">L1324-M1324</f>
        <v>0</v>
      </c>
      <c r="Q1324" s="161">
        <f t="shared" ref="Q1324" si="590">N1324-O1324</f>
        <v>0</v>
      </c>
      <c r="R1324" s="85"/>
      <c r="S1324" s="86">
        <f t="shared" ref="S1324" si="591">U1324+Y1324+W1324+AA1324</f>
        <v>14</v>
      </c>
      <c r="T1324" s="87">
        <f t="shared" ref="T1324" si="592">M1324-S1324</f>
        <v>-2</v>
      </c>
      <c r="U1324">
        <v>14</v>
      </c>
    </row>
    <row r="1325" spans="2:25" ht="20.100000000000001" hidden="1" customHeight="1">
      <c r="B1325" s="77">
        <v>10</v>
      </c>
      <c r="C1325" s="78" t="s">
        <v>2311</v>
      </c>
      <c r="D1325" s="219" t="s">
        <v>4806</v>
      </c>
      <c r="E1325" s="276" t="s">
        <v>4751</v>
      </c>
      <c r="F1325" s="277">
        <v>6.3448000000000002</v>
      </c>
      <c r="G1325" s="222"/>
      <c r="H1325" s="186"/>
      <c r="I1325" s="186">
        <v>6</v>
      </c>
      <c r="J1325" s="308"/>
      <c r="K1325" s="227"/>
      <c r="L1325" s="82">
        <f t="shared" si="551"/>
        <v>6</v>
      </c>
      <c r="M1325" s="331">
        <v>6</v>
      </c>
      <c r="N1325" s="161">
        <f t="shared" si="560"/>
        <v>38.068800000000003</v>
      </c>
      <c r="O1325" s="161">
        <f t="shared" si="561"/>
        <v>38.068800000000003</v>
      </c>
      <c r="P1325" s="187">
        <f t="shared" si="562"/>
        <v>0</v>
      </c>
      <c r="Q1325" s="161">
        <f t="shared" si="563"/>
        <v>0</v>
      </c>
      <c r="R1325" s="85"/>
      <c r="S1325" s="86">
        <f t="shared" si="564"/>
        <v>14</v>
      </c>
      <c r="T1325" s="87">
        <f t="shared" si="552"/>
        <v>-8</v>
      </c>
      <c r="U1325">
        <v>14</v>
      </c>
    </row>
    <row r="1326" spans="2:25" ht="20.100000000000001" hidden="1" customHeight="1">
      <c r="B1326" s="77">
        <v>10</v>
      </c>
      <c r="C1326" s="78" t="s">
        <v>2311</v>
      </c>
      <c r="D1326" s="79" t="s">
        <v>2471</v>
      </c>
      <c r="E1326" s="80" t="s">
        <v>2472</v>
      </c>
      <c r="F1326" s="81">
        <v>13.88</v>
      </c>
      <c r="G1326" s="222"/>
      <c r="H1326" s="186"/>
      <c r="I1326" s="186"/>
      <c r="J1326" s="308"/>
      <c r="K1326" s="227"/>
      <c r="L1326" s="82">
        <f t="shared" si="551"/>
        <v>0</v>
      </c>
      <c r="M1326" s="331"/>
      <c r="N1326" s="161">
        <f t="shared" si="560"/>
        <v>0</v>
      </c>
      <c r="O1326" s="161">
        <f t="shared" si="561"/>
        <v>0</v>
      </c>
      <c r="P1326" s="187">
        <f t="shared" si="562"/>
        <v>0</v>
      </c>
      <c r="Q1326" s="161">
        <f t="shared" si="563"/>
        <v>0</v>
      </c>
      <c r="R1326" s="85"/>
      <c r="S1326" s="86">
        <f t="shared" si="564"/>
        <v>0</v>
      </c>
      <c r="T1326" s="87">
        <f t="shared" si="552"/>
        <v>0</v>
      </c>
    </row>
    <row r="1327" spans="2:25" ht="20.100000000000001" hidden="1" customHeight="1">
      <c r="B1327" s="77">
        <v>10</v>
      </c>
      <c r="C1327" s="78" t="s">
        <v>2311</v>
      </c>
      <c r="D1327" s="79" t="s">
        <v>2473</v>
      </c>
      <c r="E1327" s="80" t="s">
        <v>2474</v>
      </c>
      <c r="F1327" s="81">
        <v>158.25</v>
      </c>
      <c r="G1327" s="222">
        <v>2</v>
      </c>
      <c r="H1327" s="186"/>
      <c r="I1327" s="186"/>
      <c r="J1327" s="308"/>
      <c r="K1327" s="227"/>
      <c r="L1327" s="82">
        <f t="shared" ref="L1327:L1391" si="593">G1327+I1327-J1327-K1327+H1327</f>
        <v>2</v>
      </c>
      <c r="M1327" s="331">
        <v>2</v>
      </c>
      <c r="N1327" s="161">
        <f t="shared" si="560"/>
        <v>316.5</v>
      </c>
      <c r="O1327" s="161">
        <f t="shared" si="561"/>
        <v>316.5</v>
      </c>
      <c r="P1327" s="187">
        <f t="shared" si="562"/>
        <v>0</v>
      </c>
      <c r="Q1327" s="161">
        <f t="shared" si="563"/>
        <v>0</v>
      </c>
      <c r="R1327" s="85"/>
      <c r="S1327" s="86">
        <f t="shared" si="564"/>
        <v>2</v>
      </c>
      <c r="T1327" s="87">
        <f t="shared" si="552"/>
        <v>0</v>
      </c>
      <c r="U1327">
        <v>2</v>
      </c>
    </row>
    <row r="1328" spans="2:25" ht="20.100000000000001" hidden="1" customHeight="1">
      <c r="B1328" s="77">
        <v>10</v>
      </c>
      <c r="C1328" s="78" t="s">
        <v>2311</v>
      </c>
      <c r="D1328" s="79">
        <v>9555222610649</v>
      </c>
      <c r="E1328" s="80" t="s">
        <v>2475</v>
      </c>
      <c r="F1328" s="81">
        <v>242.5</v>
      </c>
      <c r="G1328" s="222">
        <v>3</v>
      </c>
      <c r="H1328" s="186"/>
      <c r="I1328" s="186"/>
      <c r="J1328" s="308"/>
      <c r="K1328" s="227"/>
      <c r="L1328" s="82">
        <f t="shared" si="593"/>
        <v>3</v>
      </c>
      <c r="M1328" s="331">
        <v>3</v>
      </c>
      <c r="N1328" s="161">
        <f t="shared" si="560"/>
        <v>727.5</v>
      </c>
      <c r="O1328" s="161">
        <f t="shared" si="561"/>
        <v>727.5</v>
      </c>
      <c r="P1328" s="187">
        <f t="shared" si="562"/>
        <v>0</v>
      </c>
      <c r="Q1328" s="161">
        <f t="shared" si="563"/>
        <v>0</v>
      </c>
      <c r="R1328" s="85"/>
      <c r="S1328" s="86">
        <f t="shared" si="564"/>
        <v>30</v>
      </c>
      <c r="T1328" s="87">
        <f t="shared" si="552"/>
        <v>-27</v>
      </c>
      <c r="U1328">
        <v>30</v>
      </c>
    </row>
    <row r="1329" spans="2:31" ht="20.100000000000001" hidden="1" customHeight="1">
      <c r="B1329" s="77">
        <v>10</v>
      </c>
      <c r="C1329" s="78" t="s">
        <v>2311</v>
      </c>
      <c r="D1329" s="79" t="s">
        <v>2476</v>
      </c>
      <c r="E1329" s="80" t="s">
        <v>2477</v>
      </c>
      <c r="F1329" s="81">
        <v>34.729999999999997</v>
      </c>
      <c r="G1329" s="222">
        <v>1</v>
      </c>
      <c r="H1329" s="186"/>
      <c r="I1329" s="186"/>
      <c r="J1329" s="308"/>
      <c r="K1329" s="227"/>
      <c r="L1329" s="82">
        <f t="shared" si="593"/>
        <v>1</v>
      </c>
      <c r="M1329" s="331">
        <v>1</v>
      </c>
      <c r="N1329" s="161">
        <f t="shared" si="560"/>
        <v>34.729999999999997</v>
      </c>
      <c r="O1329" s="161">
        <f t="shared" si="561"/>
        <v>34.729999999999997</v>
      </c>
      <c r="P1329" s="187">
        <f t="shared" si="562"/>
        <v>0</v>
      </c>
      <c r="Q1329" s="161">
        <f t="shared" si="563"/>
        <v>0</v>
      </c>
      <c r="R1329" s="85"/>
      <c r="S1329" s="86">
        <f t="shared" si="564"/>
        <v>1</v>
      </c>
      <c r="T1329" s="87">
        <f t="shared" si="552"/>
        <v>0</v>
      </c>
      <c r="U1329">
        <v>1</v>
      </c>
    </row>
    <row r="1330" spans="2:31" ht="20.100000000000001" hidden="1" customHeight="1">
      <c r="B1330" s="77">
        <v>10</v>
      </c>
      <c r="C1330" s="78" t="s">
        <v>2311</v>
      </c>
      <c r="D1330" s="79" t="s">
        <v>2478</v>
      </c>
      <c r="E1330" s="80" t="s">
        <v>2479</v>
      </c>
      <c r="F1330" s="81">
        <v>34.729999999999997</v>
      </c>
      <c r="G1330" s="222">
        <v>1</v>
      </c>
      <c r="H1330" s="186"/>
      <c r="I1330" s="186"/>
      <c r="J1330" s="308"/>
      <c r="K1330" s="227"/>
      <c r="L1330" s="82">
        <f t="shared" si="593"/>
        <v>1</v>
      </c>
      <c r="M1330" s="331">
        <v>1</v>
      </c>
      <c r="N1330" s="161">
        <f t="shared" si="560"/>
        <v>34.729999999999997</v>
      </c>
      <c r="O1330" s="161">
        <f t="shared" si="561"/>
        <v>34.729999999999997</v>
      </c>
      <c r="P1330" s="187">
        <f t="shared" si="562"/>
        <v>0</v>
      </c>
      <c r="Q1330" s="161">
        <f t="shared" si="563"/>
        <v>0</v>
      </c>
      <c r="R1330" s="85"/>
      <c r="S1330" s="86">
        <f t="shared" si="564"/>
        <v>1</v>
      </c>
      <c r="T1330" s="87">
        <f t="shared" ref="T1330:T1393" si="594">M1330-S1330</f>
        <v>0</v>
      </c>
      <c r="U1330">
        <v>1</v>
      </c>
    </row>
    <row r="1331" spans="2:31" ht="20.100000000000001" hidden="1" customHeight="1">
      <c r="B1331" s="77">
        <v>10</v>
      </c>
      <c r="C1331" s="78" t="s">
        <v>2311</v>
      </c>
      <c r="D1331" s="79" t="s">
        <v>2480</v>
      </c>
      <c r="E1331" s="80" t="s">
        <v>2481</v>
      </c>
      <c r="F1331" s="81">
        <v>36.61</v>
      </c>
      <c r="G1331" s="222">
        <v>8</v>
      </c>
      <c r="H1331" s="186"/>
      <c r="I1331" s="186"/>
      <c r="J1331" s="308"/>
      <c r="K1331" s="227"/>
      <c r="L1331" s="82">
        <f t="shared" si="593"/>
        <v>8</v>
      </c>
      <c r="M1331" s="331">
        <v>8</v>
      </c>
      <c r="N1331" s="161">
        <f t="shared" ref="N1331:N1394" si="595">F1331*L1331</f>
        <v>292.88</v>
      </c>
      <c r="O1331" s="161">
        <f t="shared" ref="O1331:O1394" si="596">M1331*F1331</f>
        <v>292.88</v>
      </c>
      <c r="P1331" s="187">
        <f t="shared" ref="P1331:P1394" si="597">L1331-M1331</f>
        <v>0</v>
      </c>
      <c r="Q1331" s="161">
        <f t="shared" ref="Q1331:Q1394" si="598">N1331-O1331</f>
        <v>0</v>
      </c>
      <c r="R1331" s="85"/>
      <c r="S1331" s="86">
        <f t="shared" ref="S1331:S1394" si="599">U1331+Y1331+W1331+AA1331</f>
        <v>8</v>
      </c>
      <c r="T1331" s="87">
        <f t="shared" si="594"/>
        <v>0</v>
      </c>
      <c r="U1331">
        <v>8</v>
      </c>
    </row>
    <row r="1332" spans="2:31" ht="20.100000000000001" hidden="1" customHeight="1">
      <c r="B1332" s="77">
        <v>10</v>
      </c>
      <c r="C1332" s="78" t="s">
        <v>2311</v>
      </c>
      <c r="D1332" s="79" t="s">
        <v>2482</v>
      </c>
      <c r="E1332" s="80" t="s">
        <v>2483</v>
      </c>
      <c r="F1332" s="81">
        <v>350.45</v>
      </c>
      <c r="G1332" s="222">
        <v>10</v>
      </c>
      <c r="H1332" s="186"/>
      <c r="I1332" s="186"/>
      <c r="J1332" s="308"/>
      <c r="K1332" s="227">
        <v>1</v>
      </c>
      <c r="L1332" s="82">
        <f t="shared" si="593"/>
        <v>9</v>
      </c>
      <c r="M1332" s="331">
        <v>9</v>
      </c>
      <c r="N1332" s="161">
        <f t="shared" si="595"/>
        <v>3154.0499999999997</v>
      </c>
      <c r="O1332" s="161">
        <f t="shared" si="596"/>
        <v>3154.0499999999997</v>
      </c>
      <c r="P1332" s="187">
        <f t="shared" si="597"/>
        <v>0</v>
      </c>
      <c r="Q1332" s="161">
        <f t="shared" si="598"/>
        <v>0</v>
      </c>
      <c r="R1332" s="85"/>
      <c r="S1332" s="86">
        <f t="shared" si="599"/>
        <v>13</v>
      </c>
      <c r="T1332" s="87">
        <f t="shared" si="594"/>
        <v>-4</v>
      </c>
      <c r="U1332">
        <v>13</v>
      </c>
    </row>
    <row r="1333" spans="2:31" ht="20.100000000000001" hidden="1" customHeight="1">
      <c r="B1333" s="77">
        <v>10</v>
      </c>
      <c r="C1333" s="78" t="s">
        <v>2311</v>
      </c>
      <c r="D1333" s="79" t="s">
        <v>2484</v>
      </c>
      <c r="E1333" s="80" t="s">
        <v>2485</v>
      </c>
      <c r="F1333" s="81">
        <v>209.3</v>
      </c>
      <c r="G1333" s="222">
        <v>10</v>
      </c>
      <c r="H1333" s="186"/>
      <c r="I1333" s="186"/>
      <c r="J1333" s="308"/>
      <c r="K1333" s="227">
        <v>2</v>
      </c>
      <c r="L1333" s="82">
        <f t="shared" si="593"/>
        <v>8</v>
      </c>
      <c r="M1333" s="331">
        <v>8</v>
      </c>
      <c r="N1333" s="161">
        <f t="shared" si="595"/>
        <v>1674.4</v>
      </c>
      <c r="O1333" s="161">
        <f t="shared" si="596"/>
        <v>1674.4</v>
      </c>
      <c r="P1333" s="187">
        <f t="shared" si="597"/>
        <v>0</v>
      </c>
      <c r="Q1333" s="161">
        <f t="shared" si="598"/>
        <v>0</v>
      </c>
      <c r="R1333" s="85"/>
      <c r="S1333" s="86">
        <f t="shared" si="599"/>
        <v>10</v>
      </c>
      <c r="T1333" s="87">
        <f t="shared" si="594"/>
        <v>-2</v>
      </c>
      <c r="U1333">
        <v>10</v>
      </c>
    </row>
    <row r="1334" spans="2:31" ht="20.100000000000001" hidden="1" customHeight="1">
      <c r="B1334" s="77">
        <v>10</v>
      </c>
      <c r="C1334" s="78" t="s">
        <v>2311</v>
      </c>
      <c r="D1334" s="79" t="s">
        <v>2486</v>
      </c>
      <c r="E1334" s="80" t="s">
        <v>2487</v>
      </c>
      <c r="F1334" s="81">
        <v>199.35</v>
      </c>
      <c r="G1334" s="222"/>
      <c r="H1334" s="186"/>
      <c r="I1334" s="186"/>
      <c r="J1334" s="308"/>
      <c r="K1334" s="227"/>
      <c r="L1334" s="82">
        <f t="shared" si="593"/>
        <v>0</v>
      </c>
      <c r="M1334" s="331"/>
      <c r="N1334" s="161">
        <f t="shared" si="595"/>
        <v>0</v>
      </c>
      <c r="O1334" s="161">
        <f t="shared" si="596"/>
        <v>0</v>
      </c>
      <c r="P1334" s="187">
        <f t="shared" si="597"/>
        <v>0</v>
      </c>
      <c r="Q1334" s="161">
        <f t="shared" si="598"/>
        <v>0</v>
      </c>
      <c r="R1334" s="85"/>
      <c r="S1334" s="86">
        <f t="shared" si="599"/>
        <v>0</v>
      </c>
      <c r="T1334" s="87">
        <f t="shared" si="594"/>
        <v>0</v>
      </c>
    </row>
    <row r="1335" spans="2:31" ht="20.25" hidden="1" customHeight="1">
      <c r="B1335" s="77">
        <v>10</v>
      </c>
      <c r="C1335" s="78" t="s">
        <v>2311</v>
      </c>
      <c r="D1335" s="79" t="s">
        <v>2488</v>
      </c>
      <c r="E1335" s="80" t="s">
        <v>2489</v>
      </c>
      <c r="F1335" s="81">
        <v>209.3</v>
      </c>
      <c r="G1335" s="222">
        <v>2</v>
      </c>
      <c r="H1335" s="186"/>
      <c r="I1335" s="186"/>
      <c r="J1335" s="308"/>
      <c r="K1335" s="227"/>
      <c r="L1335" s="82">
        <f t="shared" ref="L1335" si="600">G1335+I1335-J1335-K1335+H1335</f>
        <v>2</v>
      </c>
      <c r="M1335" s="331">
        <v>2</v>
      </c>
      <c r="N1335" s="161">
        <f t="shared" ref="N1335" si="601">F1335*L1335</f>
        <v>418.6</v>
      </c>
      <c r="O1335" s="161">
        <f t="shared" ref="O1335" si="602">M1335*F1335</f>
        <v>418.6</v>
      </c>
      <c r="P1335" s="187">
        <f t="shared" ref="P1335" si="603">L1335-M1335</f>
        <v>0</v>
      </c>
      <c r="Q1335" s="161">
        <f t="shared" ref="Q1335" si="604">N1335-O1335</f>
        <v>0</v>
      </c>
      <c r="R1335" s="85"/>
      <c r="S1335" s="86">
        <f t="shared" ref="S1335" si="605">U1335+Y1335+W1335+AA1335</f>
        <v>4</v>
      </c>
      <c r="T1335" s="87">
        <f t="shared" ref="T1335" si="606">M1335-S1335</f>
        <v>-2</v>
      </c>
      <c r="U1335">
        <v>4</v>
      </c>
    </row>
    <row r="1336" spans="2:31" ht="20.25" hidden="1" customHeight="1">
      <c r="B1336" s="77">
        <v>10</v>
      </c>
      <c r="C1336" s="78" t="s">
        <v>2311</v>
      </c>
      <c r="D1336" s="79" t="s">
        <v>2488</v>
      </c>
      <c r="E1336" s="80" t="s">
        <v>2489</v>
      </c>
      <c r="F1336" s="277">
        <v>217.65</v>
      </c>
      <c r="G1336" s="222"/>
      <c r="H1336" s="186"/>
      <c r="I1336" s="186">
        <v>12</v>
      </c>
      <c r="J1336" s="308"/>
      <c r="K1336" s="227"/>
      <c r="L1336" s="82">
        <f t="shared" si="593"/>
        <v>12</v>
      </c>
      <c r="M1336" s="331">
        <v>12</v>
      </c>
      <c r="N1336" s="161">
        <f t="shared" si="595"/>
        <v>2611.8000000000002</v>
      </c>
      <c r="O1336" s="161">
        <f t="shared" si="596"/>
        <v>2611.8000000000002</v>
      </c>
      <c r="P1336" s="187">
        <f t="shared" si="597"/>
        <v>0</v>
      </c>
      <c r="Q1336" s="161">
        <f t="shared" si="598"/>
        <v>0</v>
      </c>
      <c r="R1336" s="85"/>
      <c r="S1336" s="86">
        <f t="shared" si="599"/>
        <v>4</v>
      </c>
      <c r="T1336" s="87">
        <f t="shared" si="594"/>
        <v>8</v>
      </c>
      <c r="U1336">
        <v>4</v>
      </c>
    </row>
    <row r="1337" spans="2:31" ht="20.100000000000001" hidden="1" customHeight="1">
      <c r="B1337" s="77">
        <v>10</v>
      </c>
      <c r="C1337" s="78" t="s">
        <v>2311</v>
      </c>
      <c r="D1337" s="79" t="s">
        <v>2490</v>
      </c>
      <c r="E1337" s="80" t="s">
        <v>2491</v>
      </c>
      <c r="F1337" s="81">
        <v>209.3</v>
      </c>
      <c r="G1337" s="222">
        <v>9</v>
      </c>
      <c r="H1337" s="186"/>
      <c r="I1337" s="186"/>
      <c r="J1337" s="308"/>
      <c r="K1337" s="227"/>
      <c r="L1337" s="82">
        <f t="shared" si="593"/>
        <v>9</v>
      </c>
      <c r="M1337" s="331">
        <v>9</v>
      </c>
      <c r="N1337" s="161">
        <f t="shared" si="595"/>
        <v>1883.7</v>
      </c>
      <c r="O1337" s="161">
        <f t="shared" si="596"/>
        <v>1883.7</v>
      </c>
      <c r="P1337" s="187">
        <f t="shared" si="597"/>
        <v>0</v>
      </c>
      <c r="Q1337" s="161">
        <f t="shared" si="598"/>
        <v>0</v>
      </c>
      <c r="R1337" s="85"/>
      <c r="S1337" s="86">
        <f t="shared" si="599"/>
        <v>9</v>
      </c>
      <c r="T1337" s="87">
        <f t="shared" si="594"/>
        <v>0</v>
      </c>
      <c r="U1337">
        <v>9</v>
      </c>
    </row>
    <row r="1338" spans="2:31" ht="20.100000000000001" hidden="1" customHeight="1">
      <c r="B1338" s="77">
        <v>10</v>
      </c>
      <c r="C1338" s="78" t="s">
        <v>2311</v>
      </c>
      <c r="D1338" s="79" t="s">
        <v>2492</v>
      </c>
      <c r="E1338" s="80" t="s">
        <v>2493</v>
      </c>
      <c r="F1338" s="81">
        <v>88.1</v>
      </c>
      <c r="G1338" s="222">
        <v>10</v>
      </c>
      <c r="H1338" s="186"/>
      <c r="I1338" s="186"/>
      <c r="J1338" s="308"/>
      <c r="K1338" s="227"/>
      <c r="L1338" s="82">
        <f t="shared" si="593"/>
        <v>10</v>
      </c>
      <c r="M1338" s="331">
        <v>10</v>
      </c>
      <c r="N1338" s="161">
        <f t="shared" si="595"/>
        <v>881</v>
      </c>
      <c r="O1338" s="161">
        <f t="shared" si="596"/>
        <v>881</v>
      </c>
      <c r="P1338" s="187">
        <f t="shared" si="597"/>
        <v>0</v>
      </c>
      <c r="Q1338" s="161">
        <f t="shared" si="598"/>
        <v>0</v>
      </c>
      <c r="R1338" s="85"/>
      <c r="S1338" s="86">
        <f t="shared" si="599"/>
        <v>11</v>
      </c>
      <c r="T1338" s="87">
        <f t="shared" si="594"/>
        <v>-1</v>
      </c>
      <c r="U1338">
        <v>11</v>
      </c>
    </row>
    <row r="1339" spans="2:31" ht="20.100000000000001" hidden="1" customHeight="1">
      <c r="B1339" s="77">
        <v>10</v>
      </c>
      <c r="C1339" s="78" t="s">
        <v>2311</v>
      </c>
      <c r="D1339" s="79" t="s">
        <v>2494</v>
      </c>
      <c r="E1339" s="80" t="s">
        <v>2495</v>
      </c>
      <c r="F1339" s="81">
        <v>267</v>
      </c>
      <c r="G1339" s="222">
        <v>5</v>
      </c>
      <c r="H1339" s="186"/>
      <c r="I1339" s="186"/>
      <c r="J1339" s="308"/>
      <c r="K1339" s="227"/>
      <c r="L1339" s="82">
        <f t="shared" si="593"/>
        <v>5</v>
      </c>
      <c r="M1339" s="331">
        <v>5</v>
      </c>
      <c r="N1339" s="161">
        <f t="shared" si="595"/>
        <v>1335</v>
      </c>
      <c r="O1339" s="161">
        <f t="shared" si="596"/>
        <v>1335</v>
      </c>
      <c r="P1339" s="187">
        <f t="shared" si="597"/>
        <v>0</v>
      </c>
      <c r="Q1339" s="161">
        <f t="shared" si="598"/>
        <v>0</v>
      </c>
      <c r="R1339" s="85"/>
      <c r="S1339" s="86">
        <f t="shared" si="599"/>
        <v>10</v>
      </c>
      <c r="T1339" s="87">
        <f t="shared" si="594"/>
        <v>-5</v>
      </c>
      <c r="U1339">
        <v>10</v>
      </c>
    </row>
    <row r="1340" spans="2:31" ht="20.100000000000001" hidden="1" customHeight="1">
      <c r="B1340" s="77">
        <v>10</v>
      </c>
      <c r="C1340" s="78" t="s">
        <v>2311</v>
      </c>
      <c r="D1340" s="79" t="s">
        <v>2496</v>
      </c>
      <c r="E1340" s="80" t="s">
        <v>2497</v>
      </c>
      <c r="F1340" s="81">
        <v>267</v>
      </c>
      <c r="G1340" s="222">
        <v>4</v>
      </c>
      <c r="H1340" s="186"/>
      <c r="I1340" s="186"/>
      <c r="J1340" s="308"/>
      <c r="K1340" s="227"/>
      <c r="L1340" s="82">
        <f t="shared" si="593"/>
        <v>4</v>
      </c>
      <c r="M1340" s="331">
        <v>4</v>
      </c>
      <c r="N1340" s="161">
        <f t="shared" si="595"/>
        <v>1068</v>
      </c>
      <c r="O1340" s="161">
        <f t="shared" si="596"/>
        <v>1068</v>
      </c>
      <c r="P1340" s="187">
        <f t="shared" si="597"/>
        <v>0</v>
      </c>
      <c r="Q1340" s="161">
        <f t="shared" si="598"/>
        <v>0</v>
      </c>
      <c r="R1340" s="85"/>
      <c r="S1340" s="86">
        <f t="shared" si="599"/>
        <v>8</v>
      </c>
      <c r="T1340" s="87">
        <f t="shared" si="594"/>
        <v>-4</v>
      </c>
      <c r="U1340">
        <v>8</v>
      </c>
    </row>
    <row r="1341" spans="2:31" ht="20.100000000000001" hidden="1" customHeight="1">
      <c r="B1341" s="77">
        <v>10</v>
      </c>
      <c r="C1341" s="78" t="s">
        <v>2311</v>
      </c>
      <c r="D1341" s="79" t="s">
        <v>2498</v>
      </c>
      <c r="E1341" s="80" t="s">
        <v>2499</v>
      </c>
      <c r="F1341" s="81">
        <v>31.5</v>
      </c>
      <c r="G1341" s="222">
        <v>47</v>
      </c>
      <c r="H1341" s="186"/>
      <c r="I1341" s="186"/>
      <c r="J1341" s="308"/>
      <c r="K1341" s="227"/>
      <c r="L1341" s="82">
        <f t="shared" si="593"/>
        <v>47</v>
      </c>
      <c r="M1341" s="331">
        <v>47</v>
      </c>
      <c r="N1341" s="161">
        <f t="shared" si="595"/>
        <v>1480.5</v>
      </c>
      <c r="O1341" s="161">
        <f t="shared" si="596"/>
        <v>1480.5</v>
      </c>
      <c r="P1341" s="187">
        <f t="shared" si="597"/>
        <v>0</v>
      </c>
      <c r="Q1341" s="161">
        <f t="shared" si="598"/>
        <v>0</v>
      </c>
      <c r="R1341" s="85"/>
      <c r="S1341" s="86">
        <f t="shared" si="599"/>
        <v>47</v>
      </c>
      <c r="T1341" s="87">
        <f t="shared" si="594"/>
        <v>0</v>
      </c>
      <c r="Y1341">
        <v>47</v>
      </c>
      <c r="Z1341" s="88" t="s">
        <v>2500</v>
      </c>
      <c r="AD1341">
        <f>Y1341</f>
        <v>47</v>
      </c>
      <c r="AE1341" s="89">
        <f>AD1341*F1341</f>
        <v>1480.5</v>
      </c>
    </row>
    <row r="1342" spans="2:31" ht="20.100000000000001" hidden="1" customHeight="1">
      <c r="B1342" s="77">
        <v>10</v>
      </c>
      <c r="C1342" s="78" t="s">
        <v>2311</v>
      </c>
      <c r="D1342" s="79" t="s">
        <v>2501</v>
      </c>
      <c r="E1342" s="80" t="s">
        <v>2502</v>
      </c>
      <c r="F1342" s="81">
        <v>44.75</v>
      </c>
      <c r="G1342" s="222">
        <v>1</v>
      </c>
      <c r="H1342" s="186"/>
      <c r="I1342" s="186"/>
      <c r="J1342" s="308"/>
      <c r="K1342" s="227"/>
      <c r="L1342" s="82">
        <f t="shared" si="593"/>
        <v>1</v>
      </c>
      <c r="M1342" s="331">
        <v>1</v>
      </c>
      <c r="N1342" s="161">
        <f t="shared" si="595"/>
        <v>44.75</v>
      </c>
      <c r="O1342" s="161">
        <f t="shared" si="596"/>
        <v>44.75</v>
      </c>
      <c r="P1342" s="187">
        <f t="shared" si="597"/>
        <v>0</v>
      </c>
      <c r="Q1342" s="161">
        <f t="shared" si="598"/>
        <v>0</v>
      </c>
      <c r="R1342" s="85"/>
      <c r="S1342" s="86">
        <f t="shared" si="599"/>
        <v>1</v>
      </c>
      <c r="T1342" s="87">
        <f t="shared" si="594"/>
        <v>0</v>
      </c>
      <c r="U1342">
        <v>1</v>
      </c>
    </row>
    <row r="1343" spans="2:31" ht="20.100000000000001" hidden="1" customHeight="1">
      <c r="B1343" s="77">
        <v>10</v>
      </c>
      <c r="C1343" s="78" t="s">
        <v>2311</v>
      </c>
      <c r="D1343" s="79" t="s">
        <v>2503</v>
      </c>
      <c r="E1343" s="80" t="s">
        <v>2504</v>
      </c>
      <c r="F1343" s="81">
        <v>9.4700000000000006</v>
      </c>
      <c r="G1343" s="222"/>
      <c r="H1343" s="186"/>
      <c r="I1343" s="186"/>
      <c r="J1343" s="308"/>
      <c r="K1343" s="227"/>
      <c r="L1343" s="82">
        <f t="shared" si="593"/>
        <v>0</v>
      </c>
      <c r="M1343" s="331"/>
      <c r="N1343" s="161">
        <f t="shared" si="595"/>
        <v>0</v>
      </c>
      <c r="O1343" s="161">
        <f t="shared" si="596"/>
        <v>0</v>
      </c>
      <c r="P1343" s="187">
        <f t="shared" si="597"/>
        <v>0</v>
      </c>
      <c r="Q1343" s="161">
        <f t="shared" si="598"/>
        <v>0</v>
      </c>
      <c r="R1343" s="85"/>
      <c r="S1343" s="86">
        <f t="shared" si="599"/>
        <v>0</v>
      </c>
      <c r="T1343" s="87">
        <f t="shared" si="594"/>
        <v>0</v>
      </c>
    </row>
    <row r="1344" spans="2:31" ht="20.100000000000001" hidden="1" customHeight="1">
      <c r="B1344" s="77">
        <v>10</v>
      </c>
      <c r="C1344" s="78" t="s">
        <v>2311</v>
      </c>
      <c r="D1344" s="79" t="s">
        <v>2505</v>
      </c>
      <c r="E1344" s="80" t="s">
        <v>2506</v>
      </c>
      <c r="F1344" s="81">
        <v>55.8</v>
      </c>
      <c r="G1344" s="222">
        <v>22</v>
      </c>
      <c r="H1344" s="186"/>
      <c r="I1344" s="186"/>
      <c r="J1344" s="308"/>
      <c r="K1344" s="227">
        <v>1</v>
      </c>
      <c r="L1344" s="82">
        <f t="shared" si="593"/>
        <v>21</v>
      </c>
      <c r="M1344" s="331">
        <f>11+10</f>
        <v>21</v>
      </c>
      <c r="N1344" s="161">
        <f t="shared" si="595"/>
        <v>1171.8</v>
      </c>
      <c r="O1344" s="161">
        <f t="shared" si="596"/>
        <v>1171.8</v>
      </c>
      <c r="P1344" s="187">
        <f t="shared" si="597"/>
        <v>0</v>
      </c>
      <c r="Q1344" s="161">
        <f t="shared" si="598"/>
        <v>0</v>
      </c>
      <c r="R1344" s="85"/>
      <c r="S1344" s="86">
        <f t="shared" si="599"/>
        <v>23</v>
      </c>
      <c r="T1344" s="87">
        <f t="shared" si="594"/>
        <v>-2</v>
      </c>
      <c r="U1344">
        <v>13</v>
      </c>
      <c r="Y1344">
        <v>10</v>
      </c>
    </row>
    <row r="1345" spans="2:31" ht="20.100000000000001" hidden="1" customHeight="1">
      <c r="B1345" s="77">
        <v>10</v>
      </c>
      <c r="C1345" s="78" t="s">
        <v>2311</v>
      </c>
      <c r="D1345" s="79" t="s">
        <v>2507</v>
      </c>
      <c r="E1345" s="80" t="s">
        <v>2508</v>
      </c>
      <c r="F1345" s="81">
        <v>11.1</v>
      </c>
      <c r="G1345" s="222">
        <v>157</v>
      </c>
      <c r="H1345" s="186"/>
      <c r="I1345" s="186"/>
      <c r="J1345" s="308"/>
      <c r="K1345" s="227"/>
      <c r="L1345" s="82">
        <f t="shared" si="593"/>
        <v>157</v>
      </c>
      <c r="M1345" s="331">
        <f>1+60+96</f>
        <v>157</v>
      </c>
      <c r="N1345" s="161">
        <f t="shared" si="595"/>
        <v>1742.7</v>
      </c>
      <c r="O1345" s="161">
        <f t="shared" si="596"/>
        <v>1742.7</v>
      </c>
      <c r="P1345" s="187">
        <f t="shared" si="597"/>
        <v>0</v>
      </c>
      <c r="Q1345" s="161">
        <f t="shared" si="598"/>
        <v>0</v>
      </c>
      <c r="R1345" s="85"/>
      <c r="S1345" s="86">
        <f t="shared" si="599"/>
        <v>157</v>
      </c>
      <c r="T1345" s="87">
        <f t="shared" si="594"/>
        <v>0</v>
      </c>
      <c r="U1345">
        <v>1</v>
      </c>
      <c r="Y1345">
        <f>96+60</f>
        <v>156</v>
      </c>
    </row>
    <row r="1346" spans="2:31" ht="20.100000000000001" hidden="1" customHeight="1">
      <c r="B1346" s="77">
        <v>10</v>
      </c>
      <c r="C1346" s="78" t="s">
        <v>2311</v>
      </c>
      <c r="D1346" s="79" t="s">
        <v>2509</v>
      </c>
      <c r="E1346" s="80" t="s">
        <v>2510</v>
      </c>
      <c r="F1346" s="81">
        <v>5.77</v>
      </c>
      <c r="G1346" s="222">
        <v>60</v>
      </c>
      <c r="H1346" s="186"/>
      <c r="I1346" s="186"/>
      <c r="J1346" s="308"/>
      <c r="K1346" s="227"/>
      <c r="L1346" s="82">
        <f t="shared" si="593"/>
        <v>60</v>
      </c>
      <c r="M1346" s="331">
        <v>60</v>
      </c>
      <c r="N1346" s="161">
        <f t="shared" si="595"/>
        <v>346.2</v>
      </c>
      <c r="O1346" s="161">
        <f t="shared" si="596"/>
        <v>346.2</v>
      </c>
      <c r="P1346" s="187">
        <f t="shared" si="597"/>
        <v>0</v>
      </c>
      <c r="Q1346" s="161">
        <f t="shared" si="598"/>
        <v>0</v>
      </c>
      <c r="R1346" s="85"/>
      <c r="S1346" s="86">
        <f t="shared" si="599"/>
        <v>61</v>
      </c>
      <c r="T1346" s="87">
        <f t="shared" si="594"/>
        <v>-1</v>
      </c>
      <c r="U1346">
        <v>1</v>
      </c>
      <c r="Y1346">
        <v>60</v>
      </c>
    </row>
    <row r="1347" spans="2:31" ht="20.100000000000001" hidden="1" customHeight="1">
      <c r="B1347" s="77">
        <v>10</v>
      </c>
      <c r="C1347" s="78" t="s">
        <v>2311</v>
      </c>
      <c r="D1347" s="79" t="s">
        <v>2511</v>
      </c>
      <c r="E1347" s="80" t="s">
        <v>2512</v>
      </c>
      <c r="F1347" s="81">
        <v>144.31</v>
      </c>
      <c r="G1347" s="222">
        <v>1</v>
      </c>
      <c r="H1347" s="186"/>
      <c r="I1347" s="186">
        <v>16</v>
      </c>
      <c r="J1347" s="308"/>
      <c r="K1347" s="227">
        <v>2</v>
      </c>
      <c r="L1347" s="82">
        <f t="shared" si="593"/>
        <v>15</v>
      </c>
      <c r="M1347" s="331">
        <v>15</v>
      </c>
      <c r="N1347" s="161">
        <f t="shared" si="595"/>
        <v>2164.65</v>
      </c>
      <c r="O1347" s="161">
        <f t="shared" si="596"/>
        <v>2164.65</v>
      </c>
      <c r="P1347" s="187">
        <f t="shared" si="597"/>
        <v>0</v>
      </c>
      <c r="Q1347" s="161">
        <f t="shared" si="598"/>
        <v>0</v>
      </c>
      <c r="R1347" s="85"/>
      <c r="S1347" s="86">
        <f t="shared" si="599"/>
        <v>20</v>
      </c>
      <c r="T1347" s="87">
        <f t="shared" si="594"/>
        <v>-5</v>
      </c>
      <c r="U1347">
        <v>20</v>
      </c>
    </row>
    <row r="1348" spans="2:31" ht="29.25" hidden="1" customHeight="1">
      <c r="B1348" s="77">
        <v>10</v>
      </c>
      <c r="C1348" s="78" t="s">
        <v>2311</v>
      </c>
      <c r="D1348" s="79" t="s">
        <v>2513</v>
      </c>
      <c r="E1348" s="80" t="s">
        <v>2514</v>
      </c>
      <c r="F1348" s="81">
        <v>5.77</v>
      </c>
      <c r="G1348" s="222">
        <v>60</v>
      </c>
      <c r="H1348" s="186"/>
      <c r="I1348" s="186"/>
      <c r="J1348" s="308"/>
      <c r="K1348" s="227"/>
      <c r="L1348" s="82">
        <f t="shared" si="593"/>
        <v>60</v>
      </c>
      <c r="M1348" s="331">
        <v>60</v>
      </c>
      <c r="N1348" s="161">
        <f t="shared" si="595"/>
        <v>346.2</v>
      </c>
      <c r="O1348" s="161">
        <f t="shared" si="596"/>
        <v>346.2</v>
      </c>
      <c r="P1348" s="187">
        <f t="shared" si="597"/>
        <v>0</v>
      </c>
      <c r="Q1348" s="161">
        <f t="shared" si="598"/>
        <v>0</v>
      </c>
      <c r="R1348" s="85"/>
      <c r="S1348" s="86">
        <f t="shared" si="599"/>
        <v>60</v>
      </c>
      <c r="T1348" s="87">
        <f t="shared" si="594"/>
        <v>0</v>
      </c>
      <c r="Y1348">
        <v>60</v>
      </c>
    </row>
    <row r="1349" spans="2:31" ht="29.25" hidden="1" customHeight="1">
      <c r="B1349" s="77">
        <v>10</v>
      </c>
      <c r="C1349" s="78" t="s">
        <v>2311</v>
      </c>
      <c r="D1349" s="79" t="s">
        <v>2515</v>
      </c>
      <c r="E1349" s="80" t="s">
        <v>2516</v>
      </c>
      <c r="F1349" s="81">
        <v>11.1</v>
      </c>
      <c r="G1349" s="222">
        <v>98</v>
      </c>
      <c r="H1349" s="186"/>
      <c r="I1349" s="186"/>
      <c r="J1349" s="308"/>
      <c r="K1349" s="227"/>
      <c r="L1349" s="82">
        <f t="shared" si="593"/>
        <v>98</v>
      </c>
      <c r="M1349" s="331">
        <v>98</v>
      </c>
      <c r="N1349" s="161">
        <f t="shared" si="595"/>
        <v>1087.8</v>
      </c>
      <c r="O1349" s="161">
        <f t="shared" si="596"/>
        <v>1087.8</v>
      </c>
      <c r="P1349" s="187">
        <f t="shared" si="597"/>
        <v>0</v>
      </c>
      <c r="Q1349" s="161">
        <f t="shared" si="598"/>
        <v>0</v>
      </c>
      <c r="R1349" s="85"/>
      <c r="S1349" s="86">
        <f t="shared" si="599"/>
        <v>98</v>
      </c>
      <c r="T1349" s="87">
        <f t="shared" si="594"/>
        <v>0</v>
      </c>
      <c r="Y1349">
        <f>56+42</f>
        <v>98</v>
      </c>
    </row>
    <row r="1350" spans="2:31" ht="29.25" hidden="1" customHeight="1">
      <c r="B1350" s="77">
        <v>10</v>
      </c>
      <c r="C1350" s="78" t="s">
        <v>2311</v>
      </c>
      <c r="D1350" s="79" t="s">
        <v>2517</v>
      </c>
      <c r="E1350" s="80" t="s">
        <v>2518</v>
      </c>
      <c r="F1350" s="81">
        <v>11.1</v>
      </c>
      <c r="G1350" s="222">
        <v>96</v>
      </c>
      <c r="H1350" s="186"/>
      <c r="I1350" s="186"/>
      <c r="J1350" s="308"/>
      <c r="K1350" s="227"/>
      <c r="L1350" s="82">
        <f t="shared" si="593"/>
        <v>96</v>
      </c>
      <c r="M1350" s="331">
        <v>96</v>
      </c>
      <c r="N1350" s="161">
        <f t="shared" si="595"/>
        <v>1065.5999999999999</v>
      </c>
      <c r="O1350" s="161">
        <f t="shared" si="596"/>
        <v>1065.5999999999999</v>
      </c>
      <c r="P1350" s="187">
        <f t="shared" si="597"/>
        <v>0</v>
      </c>
      <c r="Q1350" s="161">
        <f t="shared" si="598"/>
        <v>0</v>
      </c>
      <c r="R1350" s="85"/>
      <c r="S1350" s="86">
        <f t="shared" si="599"/>
        <v>96</v>
      </c>
      <c r="T1350" s="87">
        <f t="shared" si="594"/>
        <v>0</v>
      </c>
      <c r="Y1350">
        <f>60+36</f>
        <v>96</v>
      </c>
    </row>
    <row r="1351" spans="2:31" ht="20.100000000000001" hidden="1" customHeight="1">
      <c r="B1351" s="77">
        <v>10</v>
      </c>
      <c r="C1351" s="78" t="s">
        <v>2311</v>
      </c>
      <c r="D1351" s="79" t="s">
        <v>2519</v>
      </c>
      <c r="E1351" s="80" t="s">
        <v>2520</v>
      </c>
      <c r="F1351" s="81">
        <v>5.78</v>
      </c>
      <c r="G1351" s="222">
        <v>94</v>
      </c>
      <c r="H1351" s="186"/>
      <c r="I1351" s="186"/>
      <c r="J1351" s="308"/>
      <c r="K1351" s="227"/>
      <c r="L1351" s="82">
        <f t="shared" si="593"/>
        <v>94</v>
      </c>
      <c r="M1351" s="331">
        <f>33+1+60</f>
        <v>94</v>
      </c>
      <c r="N1351" s="161">
        <f t="shared" si="595"/>
        <v>543.32000000000005</v>
      </c>
      <c r="O1351" s="161">
        <f t="shared" si="596"/>
        <v>543.32000000000005</v>
      </c>
      <c r="P1351" s="187">
        <f t="shared" si="597"/>
        <v>0</v>
      </c>
      <c r="Q1351" s="161">
        <f t="shared" si="598"/>
        <v>0</v>
      </c>
      <c r="R1351" s="85"/>
      <c r="S1351" s="86">
        <f t="shared" si="599"/>
        <v>98</v>
      </c>
      <c r="T1351" s="87">
        <f t="shared" si="594"/>
        <v>-4</v>
      </c>
      <c r="U1351">
        <f>31+7</f>
        <v>38</v>
      </c>
      <c r="Y1351">
        <v>60</v>
      </c>
    </row>
    <row r="1352" spans="2:31" ht="20.100000000000001" hidden="1" customHeight="1">
      <c r="B1352" s="77">
        <v>10</v>
      </c>
      <c r="C1352" s="78" t="s">
        <v>2311</v>
      </c>
      <c r="D1352" s="79" t="s">
        <v>2521</v>
      </c>
      <c r="E1352" s="80" t="s">
        <v>2522</v>
      </c>
      <c r="F1352" s="81">
        <v>7.2</v>
      </c>
      <c r="G1352" s="222">
        <v>3</v>
      </c>
      <c r="H1352" s="186"/>
      <c r="I1352" s="186"/>
      <c r="J1352" s="308"/>
      <c r="K1352" s="227"/>
      <c r="L1352" s="82">
        <f t="shared" si="593"/>
        <v>3</v>
      </c>
      <c r="M1352" s="331">
        <v>3</v>
      </c>
      <c r="N1352" s="161">
        <f t="shared" si="595"/>
        <v>21.6</v>
      </c>
      <c r="O1352" s="161">
        <f t="shared" si="596"/>
        <v>21.6</v>
      </c>
      <c r="P1352" s="187">
        <f t="shared" si="597"/>
        <v>0</v>
      </c>
      <c r="Q1352" s="161">
        <f t="shared" si="598"/>
        <v>0</v>
      </c>
      <c r="R1352" s="85" t="s">
        <v>1696</v>
      </c>
      <c r="S1352" s="86">
        <f t="shared" si="599"/>
        <v>3</v>
      </c>
      <c r="T1352" s="87">
        <f t="shared" si="594"/>
        <v>0</v>
      </c>
      <c r="U1352">
        <v>3</v>
      </c>
      <c r="V1352" s="88" t="s">
        <v>45</v>
      </c>
      <c r="AD1352" s="17">
        <f>M1352</f>
        <v>3</v>
      </c>
      <c r="AE1352" s="89">
        <f>AD1352*F1352</f>
        <v>21.6</v>
      </c>
    </row>
    <row r="1353" spans="2:31" ht="20.100000000000001" hidden="1" customHeight="1">
      <c r="B1353" s="77">
        <v>10</v>
      </c>
      <c r="C1353" s="78" t="s">
        <v>2311</v>
      </c>
      <c r="D1353" s="79" t="s">
        <v>2523</v>
      </c>
      <c r="E1353" s="80" t="s">
        <v>2524</v>
      </c>
      <c r="F1353" s="81">
        <v>75.45</v>
      </c>
      <c r="G1353" s="222">
        <v>1</v>
      </c>
      <c r="H1353" s="186"/>
      <c r="I1353" s="186"/>
      <c r="J1353" s="308"/>
      <c r="K1353" s="227"/>
      <c r="L1353" s="82">
        <f t="shared" si="593"/>
        <v>1</v>
      </c>
      <c r="M1353" s="331">
        <v>1</v>
      </c>
      <c r="N1353" s="161">
        <f t="shared" si="595"/>
        <v>75.45</v>
      </c>
      <c r="O1353" s="161">
        <f t="shared" si="596"/>
        <v>75.45</v>
      </c>
      <c r="P1353" s="187">
        <f t="shared" si="597"/>
        <v>0</v>
      </c>
      <c r="Q1353" s="161">
        <f t="shared" si="598"/>
        <v>0</v>
      </c>
      <c r="R1353" s="85"/>
      <c r="S1353" s="86">
        <f t="shared" si="599"/>
        <v>0</v>
      </c>
      <c r="T1353" s="87">
        <f t="shared" si="594"/>
        <v>1</v>
      </c>
    </row>
    <row r="1354" spans="2:31" ht="20.100000000000001" hidden="1" customHeight="1">
      <c r="B1354" s="77">
        <v>10</v>
      </c>
      <c r="C1354" s="78" t="s">
        <v>2311</v>
      </c>
      <c r="D1354" s="79" t="s">
        <v>2525</v>
      </c>
      <c r="E1354" s="80" t="s">
        <v>2526</v>
      </c>
      <c r="F1354" s="81">
        <v>381.01</v>
      </c>
      <c r="G1354" s="222"/>
      <c r="H1354" s="186"/>
      <c r="I1354" s="186"/>
      <c r="J1354" s="308"/>
      <c r="K1354" s="227"/>
      <c r="L1354" s="82">
        <f t="shared" si="593"/>
        <v>0</v>
      </c>
      <c r="M1354" s="331"/>
      <c r="N1354" s="161">
        <f t="shared" si="595"/>
        <v>0</v>
      </c>
      <c r="O1354" s="161">
        <f t="shared" si="596"/>
        <v>0</v>
      </c>
      <c r="P1354" s="187">
        <f t="shared" si="597"/>
        <v>0</v>
      </c>
      <c r="Q1354" s="161">
        <f t="shared" si="598"/>
        <v>0</v>
      </c>
      <c r="R1354" s="85"/>
      <c r="S1354" s="86">
        <f t="shared" si="599"/>
        <v>0</v>
      </c>
      <c r="T1354" s="87">
        <f t="shared" si="594"/>
        <v>0</v>
      </c>
    </row>
    <row r="1355" spans="2:31" ht="20.100000000000001" hidden="1" customHeight="1">
      <c r="B1355" s="77">
        <v>10</v>
      </c>
      <c r="C1355" s="78" t="s">
        <v>2311</v>
      </c>
      <c r="D1355" s="79" t="s">
        <v>2527</v>
      </c>
      <c r="E1355" s="80" t="s">
        <v>2528</v>
      </c>
      <c r="F1355" s="81">
        <v>28.75</v>
      </c>
      <c r="G1355" s="222"/>
      <c r="H1355" s="186"/>
      <c r="I1355" s="186"/>
      <c r="J1355" s="308"/>
      <c r="K1355" s="227"/>
      <c r="L1355" s="82">
        <f t="shared" si="593"/>
        <v>0</v>
      </c>
      <c r="M1355" s="331"/>
      <c r="N1355" s="161">
        <f t="shared" si="595"/>
        <v>0</v>
      </c>
      <c r="O1355" s="161">
        <f t="shared" si="596"/>
        <v>0</v>
      </c>
      <c r="P1355" s="187">
        <f t="shared" si="597"/>
        <v>0</v>
      </c>
      <c r="Q1355" s="161">
        <f t="shared" si="598"/>
        <v>0</v>
      </c>
      <c r="R1355" s="85"/>
      <c r="S1355" s="86">
        <f t="shared" si="599"/>
        <v>0</v>
      </c>
      <c r="T1355" s="87">
        <f t="shared" si="594"/>
        <v>0</v>
      </c>
    </row>
    <row r="1356" spans="2:31" ht="20.100000000000001" hidden="1" customHeight="1">
      <c r="B1356" s="77">
        <v>10</v>
      </c>
      <c r="C1356" s="78" t="s">
        <v>2311</v>
      </c>
      <c r="D1356" s="79" t="s">
        <v>2529</v>
      </c>
      <c r="E1356" s="80" t="s">
        <v>2530</v>
      </c>
      <c r="F1356" s="81">
        <v>34</v>
      </c>
      <c r="G1356" s="222"/>
      <c r="H1356" s="186"/>
      <c r="I1356" s="186"/>
      <c r="J1356" s="308"/>
      <c r="K1356" s="227"/>
      <c r="L1356" s="82">
        <f t="shared" si="593"/>
        <v>0</v>
      </c>
      <c r="M1356" s="331"/>
      <c r="N1356" s="161">
        <f t="shared" si="595"/>
        <v>0</v>
      </c>
      <c r="O1356" s="161">
        <f t="shared" si="596"/>
        <v>0</v>
      </c>
      <c r="P1356" s="187">
        <f t="shared" si="597"/>
        <v>0</v>
      </c>
      <c r="Q1356" s="161">
        <f t="shared" si="598"/>
        <v>0</v>
      </c>
      <c r="R1356" s="85"/>
      <c r="S1356" s="86">
        <f t="shared" si="599"/>
        <v>0</v>
      </c>
      <c r="T1356" s="87">
        <f t="shared" si="594"/>
        <v>0</v>
      </c>
    </row>
    <row r="1357" spans="2:31" ht="20.100000000000001" hidden="1" customHeight="1">
      <c r="B1357" s="77">
        <v>10</v>
      </c>
      <c r="C1357" s="78" t="s">
        <v>2311</v>
      </c>
      <c r="D1357" s="79" t="s">
        <v>2531</v>
      </c>
      <c r="E1357" s="80" t="s">
        <v>2532</v>
      </c>
      <c r="F1357" s="81">
        <v>225</v>
      </c>
      <c r="G1357" s="222">
        <v>4</v>
      </c>
      <c r="H1357" s="186"/>
      <c r="I1357" s="186"/>
      <c r="J1357" s="308"/>
      <c r="K1357" s="227"/>
      <c r="L1357" s="82">
        <f t="shared" si="593"/>
        <v>4</v>
      </c>
      <c r="M1357" s="331">
        <v>4</v>
      </c>
      <c r="N1357" s="161">
        <f t="shared" si="595"/>
        <v>900</v>
      </c>
      <c r="O1357" s="161">
        <f t="shared" si="596"/>
        <v>900</v>
      </c>
      <c r="P1357" s="187">
        <f t="shared" si="597"/>
        <v>0</v>
      </c>
      <c r="Q1357" s="161">
        <f t="shared" si="598"/>
        <v>0</v>
      </c>
      <c r="R1357" s="85"/>
      <c r="S1357" s="86">
        <f t="shared" si="599"/>
        <v>4</v>
      </c>
      <c r="T1357" s="87">
        <f t="shared" si="594"/>
        <v>0</v>
      </c>
      <c r="AA1357">
        <v>4</v>
      </c>
      <c r="AB1357" s="88" t="s">
        <v>2533</v>
      </c>
      <c r="AD1357">
        <f>AA1357</f>
        <v>4</v>
      </c>
      <c r="AE1357" s="89">
        <f>AD1357*F1357</f>
        <v>900</v>
      </c>
    </row>
    <row r="1358" spans="2:31" ht="20.100000000000001" hidden="1" customHeight="1">
      <c r="B1358" s="77">
        <v>10</v>
      </c>
      <c r="C1358" s="78" t="s">
        <v>2311</v>
      </c>
      <c r="D1358" s="79" t="s">
        <v>2534</v>
      </c>
      <c r="E1358" s="80" t="s">
        <v>2535</v>
      </c>
      <c r="F1358" s="81">
        <v>55</v>
      </c>
      <c r="G1358" s="222">
        <v>1</v>
      </c>
      <c r="H1358" s="186"/>
      <c r="I1358" s="186"/>
      <c r="J1358" s="308"/>
      <c r="K1358" s="227"/>
      <c r="L1358" s="82">
        <f t="shared" si="593"/>
        <v>1</v>
      </c>
      <c r="M1358" s="331">
        <v>1</v>
      </c>
      <c r="N1358" s="161">
        <f t="shared" si="595"/>
        <v>55</v>
      </c>
      <c r="O1358" s="161">
        <f t="shared" si="596"/>
        <v>55</v>
      </c>
      <c r="P1358" s="187">
        <f t="shared" si="597"/>
        <v>0</v>
      </c>
      <c r="Q1358" s="161">
        <f t="shared" si="598"/>
        <v>0</v>
      </c>
      <c r="R1358" s="85"/>
      <c r="S1358" s="86">
        <f t="shared" si="599"/>
        <v>1</v>
      </c>
      <c r="T1358" s="87">
        <f t="shared" si="594"/>
        <v>0</v>
      </c>
      <c r="U1358">
        <v>1</v>
      </c>
    </row>
    <row r="1359" spans="2:31" ht="20.100000000000001" hidden="1" customHeight="1">
      <c r="B1359" s="77">
        <v>10</v>
      </c>
      <c r="C1359" s="78" t="s">
        <v>2311</v>
      </c>
      <c r="D1359" s="79" t="s">
        <v>2536</v>
      </c>
      <c r="E1359" s="80" t="s">
        <v>2537</v>
      </c>
      <c r="F1359" s="81">
        <v>72</v>
      </c>
      <c r="G1359" s="222">
        <v>1</v>
      </c>
      <c r="H1359" s="186"/>
      <c r="I1359" s="186"/>
      <c r="J1359" s="308"/>
      <c r="K1359" s="227"/>
      <c r="L1359" s="82">
        <f t="shared" si="593"/>
        <v>1</v>
      </c>
      <c r="M1359" s="331">
        <v>1</v>
      </c>
      <c r="N1359" s="161">
        <f t="shared" si="595"/>
        <v>72</v>
      </c>
      <c r="O1359" s="161">
        <f t="shared" si="596"/>
        <v>72</v>
      </c>
      <c r="P1359" s="187">
        <f t="shared" si="597"/>
        <v>0</v>
      </c>
      <c r="Q1359" s="161">
        <f t="shared" si="598"/>
        <v>0</v>
      </c>
      <c r="R1359" s="85"/>
      <c r="S1359" s="86">
        <f t="shared" si="599"/>
        <v>1</v>
      </c>
      <c r="T1359" s="87">
        <f t="shared" si="594"/>
        <v>0</v>
      </c>
      <c r="U1359">
        <v>1</v>
      </c>
    </row>
    <row r="1360" spans="2:31" ht="20.100000000000001" hidden="1" customHeight="1">
      <c r="B1360" s="77">
        <v>10</v>
      </c>
      <c r="C1360" s="78" t="s">
        <v>2311</v>
      </c>
      <c r="D1360" s="79" t="s">
        <v>2538</v>
      </c>
      <c r="E1360" s="80" t="s">
        <v>2539</v>
      </c>
      <c r="F1360" s="81">
        <v>28</v>
      </c>
      <c r="G1360" s="222">
        <v>5</v>
      </c>
      <c r="H1360" s="186"/>
      <c r="I1360" s="186"/>
      <c r="J1360" s="308"/>
      <c r="K1360" s="227"/>
      <c r="L1360" s="82">
        <f t="shared" si="593"/>
        <v>5</v>
      </c>
      <c r="M1360" s="331">
        <v>5</v>
      </c>
      <c r="N1360" s="161">
        <f t="shared" si="595"/>
        <v>140</v>
      </c>
      <c r="O1360" s="161">
        <f t="shared" si="596"/>
        <v>140</v>
      </c>
      <c r="P1360" s="187">
        <f t="shared" si="597"/>
        <v>0</v>
      </c>
      <c r="Q1360" s="161">
        <f t="shared" si="598"/>
        <v>0</v>
      </c>
      <c r="R1360" s="85"/>
      <c r="S1360" s="86">
        <f t="shared" si="599"/>
        <v>0</v>
      </c>
      <c r="T1360" s="87">
        <f t="shared" si="594"/>
        <v>5</v>
      </c>
    </row>
    <row r="1361" spans="2:31" ht="20.100000000000001" hidden="1" customHeight="1">
      <c r="B1361" s="77">
        <v>10</v>
      </c>
      <c r="C1361" s="78" t="s">
        <v>2311</v>
      </c>
      <c r="D1361" s="79" t="s">
        <v>2540</v>
      </c>
      <c r="E1361" s="80" t="s">
        <v>2541</v>
      </c>
      <c r="F1361" s="81">
        <v>252</v>
      </c>
      <c r="G1361" s="222">
        <v>2</v>
      </c>
      <c r="H1361" s="186"/>
      <c r="I1361" s="186"/>
      <c r="J1361" s="308"/>
      <c r="K1361" s="227"/>
      <c r="L1361" s="82">
        <f t="shared" si="593"/>
        <v>2</v>
      </c>
      <c r="M1361" s="331">
        <v>2</v>
      </c>
      <c r="N1361" s="161">
        <f t="shared" si="595"/>
        <v>504</v>
      </c>
      <c r="O1361" s="161">
        <f t="shared" si="596"/>
        <v>504</v>
      </c>
      <c r="P1361" s="187">
        <f t="shared" si="597"/>
        <v>0</v>
      </c>
      <c r="Q1361" s="161">
        <f t="shared" si="598"/>
        <v>0</v>
      </c>
      <c r="R1361" s="85"/>
      <c r="S1361" s="86">
        <f t="shared" si="599"/>
        <v>0</v>
      </c>
      <c r="T1361" s="87">
        <f t="shared" si="594"/>
        <v>2</v>
      </c>
    </row>
    <row r="1362" spans="2:31" ht="20.100000000000001" hidden="1" customHeight="1">
      <c r="B1362" s="77">
        <v>10</v>
      </c>
      <c r="C1362" s="78" t="s">
        <v>2311</v>
      </c>
      <c r="D1362" s="79" t="s">
        <v>2542</v>
      </c>
      <c r="E1362" s="80" t="s">
        <v>2543</v>
      </c>
      <c r="F1362" s="81">
        <v>252</v>
      </c>
      <c r="G1362" s="222">
        <v>3</v>
      </c>
      <c r="H1362" s="186"/>
      <c r="I1362" s="186"/>
      <c r="J1362" s="308"/>
      <c r="K1362" s="227"/>
      <c r="L1362" s="82">
        <f t="shared" si="593"/>
        <v>3</v>
      </c>
      <c r="M1362" s="331">
        <v>3</v>
      </c>
      <c r="N1362" s="161">
        <f t="shared" si="595"/>
        <v>756</v>
      </c>
      <c r="O1362" s="161">
        <f t="shared" si="596"/>
        <v>756</v>
      </c>
      <c r="P1362" s="187">
        <f t="shared" si="597"/>
        <v>0</v>
      </c>
      <c r="Q1362" s="161">
        <f t="shared" si="598"/>
        <v>0</v>
      </c>
      <c r="R1362" s="85"/>
      <c r="S1362" s="86">
        <f t="shared" si="599"/>
        <v>3</v>
      </c>
      <c r="T1362" s="87">
        <f t="shared" si="594"/>
        <v>0</v>
      </c>
      <c r="U1362">
        <v>3</v>
      </c>
    </row>
    <row r="1363" spans="2:31" ht="20.100000000000001" hidden="1" customHeight="1">
      <c r="B1363" s="77">
        <v>10</v>
      </c>
      <c r="C1363" s="78" t="s">
        <v>2311</v>
      </c>
      <c r="D1363" s="191" t="s">
        <v>2544</v>
      </c>
      <c r="E1363" s="192" t="s">
        <v>2545</v>
      </c>
      <c r="F1363" s="193">
        <v>57</v>
      </c>
      <c r="G1363" s="236">
        <v>56</v>
      </c>
      <c r="H1363" s="237"/>
      <c r="I1363" s="237"/>
      <c r="J1363" s="309"/>
      <c r="K1363" s="238"/>
      <c r="L1363" s="82">
        <f t="shared" si="593"/>
        <v>56</v>
      </c>
      <c r="M1363" s="336">
        <v>56</v>
      </c>
      <c r="N1363" s="161">
        <f t="shared" si="595"/>
        <v>3192</v>
      </c>
      <c r="O1363" s="161">
        <f t="shared" si="596"/>
        <v>3192</v>
      </c>
      <c r="P1363" s="394">
        <f t="shared" si="597"/>
        <v>0</v>
      </c>
      <c r="Q1363" s="395">
        <f t="shared" si="598"/>
        <v>0</v>
      </c>
      <c r="R1363" s="196"/>
      <c r="S1363" s="86">
        <f t="shared" si="599"/>
        <v>72</v>
      </c>
      <c r="T1363" s="87">
        <f t="shared" si="594"/>
        <v>-16</v>
      </c>
      <c r="Y1363">
        <v>72</v>
      </c>
    </row>
    <row r="1364" spans="2:31" ht="20.100000000000001" hidden="1" customHeight="1">
      <c r="B1364" s="77">
        <v>10</v>
      </c>
      <c r="C1364" s="78" t="s">
        <v>2311</v>
      </c>
      <c r="D1364" s="79" t="s">
        <v>2546</v>
      </c>
      <c r="E1364" s="80" t="s">
        <v>2547</v>
      </c>
      <c r="F1364" s="81">
        <v>49</v>
      </c>
      <c r="G1364" s="222"/>
      <c r="H1364" s="186"/>
      <c r="I1364" s="186"/>
      <c r="J1364" s="308"/>
      <c r="K1364" s="227"/>
      <c r="L1364" s="82">
        <f t="shared" si="593"/>
        <v>0</v>
      </c>
      <c r="M1364" s="331"/>
      <c r="N1364" s="161">
        <f t="shared" si="595"/>
        <v>0</v>
      </c>
      <c r="O1364" s="161">
        <f t="shared" si="596"/>
        <v>0</v>
      </c>
      <c r="P1364" s="187">
        <f t="shared" si="597"/>
        <v>0</v>
      </c>
      <c r="Q1364" s="161">
        <f t="shared" si="598"/>
        <v>0</v>
      </c>
      <c r="R1364" s="85"/>
      <c r="S1364" s="86">
        <f t="shared" si="599"/>
        <v>0</v>
      </c>
      <c r="T1364" s="87">
        <f t="shared" si="594"/>
        <v>0</v>
      </c>
    </row>
    <row r="1365" spans="2:31" ht="20.100000000000001" hidden="1" customHeight="1">
      <c r="B1365" s="77">
        <v>10</v>
      </c>
      <c r="C1365" s="78" t="s">
        <v>2311</v>
      </c>
      <c r="D1365" s="79" t="s">
        <v>2548</v>
      </c>
      <c r="E1365" s="80" t="s">
        <v>2549</v>
      </c>
      <c r="F1365" s="81">
        <v>21.96</v>
      </c>
      <c r="G1365" s="222">
        <v>5</v>
      </c>
      <c r="H1365" s="186"/>
      <c r="I1365" s="186"/>
      <c r="J1365" s="308"/>
      <c r="K1365" s="227"/>
      <c r="L1365" s="82">
        <f t="shared" si="593"/>
        <v>5</v>
      </c>
      <c r="M1365" s="331">
        <v>5</v>
      </c>
      <c r="N1365" s="161">
        <f t="shared" si="595"/>
        <v>109.80000000000001</v>
      </c>
      <c r="O1365" s="161">
        <f t="shared" si="596"/>
        <v>109.80000000000001</v>
      </c>
      <c r="P1365" s="187">
        <f t="shared" si="597"/>
        <v>0</v>
      </c>
      <c r="Q1365" s="161">
        <f t="shared" si="598"/>
        <v>0</v>
      </c>
      <c r="R1365" s="85"/>
      <c r="S1365" s="86">
        <f t="shared" si="599"/>
        <v>5</v>
      </c>
      <c r="T1365" s="87">
        <f t="shared" si="594"/>
        <v>0</v>
      </c>
      <c r="U1365">
        <v>5</v>
      </c>
    </row>
    <row r="1366" spans="2:31" ht="20.100000000000001" hidden="1" customHeight="1">
      <c r="B1366" s="77">
        <v>10</v>
      </c>
      <c r="C1366" s="78" t="s">
        <v>2311</v>
      </c>
      <c r="D1366" s="79" t="s">
        <v>2550</v>
      </c>
      <c r="E1366" s="80" t="s">
        <v>2551</v>
      </c>
      <c r="F1366" s="81">
        <v>37.93</v>
      </c>
      <c r="G1366" s="222">
        <v>96</v>
      </c>
      <c r="H1366" s="186"/>
      <c r="I1366" s="186"/>
      <c r="J1366" s="308"/>
      <c r="K1366" s="227"/>
      <c r="L1366" s="82">
        <f t="shared" si="593"/>
        <v>96</v>
      </c>
      <c r="M1366" s="331">
        <v>96</v>
      </c>
      <c r="N1366" s="161">
        <f t="shared" si="595"/>
        <v>3641.2799999999997</v>
      </c>
      <c r="O1366" s="161">
        <f t="shared" si="596"/>
        <v>3641.2799999999997</v>
      </c>
      <c r="P1366" s="187">
        <f t="shared" si="597"/>
        <v>0</v>
      </c>
      <c r="Q1366" s="161">
        <f t="shared" si="598"/>
        <v>0</v>
      </c>
      <c r="R1366" s="85"/>
      <c r="S1366" s="86">
        <f t="shared" si="599"/>
        <v>96</v>
      </c>
      <c r="T1366" s="87">
        <f t="shared" si="594"/>
        <v>0</v>
      </c>
      <c r="U1366">
        <v>3</v>
      </c>
      <c r="Y1366">
        <v>93</v>
      </c>
    </row>
    <row r="1367" spans="2:31" ht="20.100000000000001" hidden="1" customHeight="1">
      <c r="B1367" s="77">
        <v>10</v>
      </c>
      <c r="C1367" s="78" t="s">
        <v>2311</v>
      </c>
      <c r="D1367" s="79" t="s">
        <v>2552</v>
      </c>
      <c r="E1367" s="80" t="s">
        <v>2553</v>
      </c>
      <c r="F1367" s="81">
        <v>58.25</v>
      </c>
      <c r="G1367" s="222"/>
      <c r="H1367" s="186"/>
      <c r="I1367" s="186"/>
      <c r="J1367" s="308"/>
      <c r="K1367" s="227"/>
      <c r="L1367" s="82">
        <f t="shared" si="593"/>
        <v>0</v>
      </c>
      <c r="M1367" s="331"/>
      <c r="N1367" s="161">
        <f t="shared" si="595"/>
        <v>0</v>
      </c>
      <c r="O1367" s="161">
        <f t="shared" si="596"/>
        <v>0</v>
      </c>
      <c r="P1367" s="187">
        <f t="shared" si="597"/>
        <v>0</v>
      </c>
      <c r="Q1367" s="161">
        <f t="shared" si="598"/>
        <v>0</v>
      </c>
      <c r="R1367" s="85"/>
      <c r="S1367" s="86">
        <f t="shared" si="599"/>
        <v>0</v>
      </c>
      <c r="T1367" s="87">
        <f t="shared" si="594"/>
        <v>0</v>
      </c>
    </row>
    <row r="1368" spans="2:31" ht="20.100000000000001" hidden="1" customHeight="1">
      <c r="B1368" s="77">
        <v>10</v>
      </c>
      <c r="C1368" s="78" t="s">
        <v>2311</v>
      </c>
      <c r="D1368" s="79" t="s">
        <v>2554</v>
      </c>
      <c r="E1368" s="80" t="s">
        <v>2555</v>
      </c>
      <c r="F1368" s="81">
        <v>36.75</v>
      </c>
      <c r="G1368" s="222"/>
      <c r="H1368" s="186"/>
      <c r="I1368" s="186"/>
      <c r="J1368" s="308"/>
      <c r="K1368" s="227"/>
      <c r="L1368" s="82">
        <f t="shared" si="593"/>
        <v>0</v>
      </c>
      <c r="M1368" s="331"/>
      <c r="N1368" s="161">
        <f t="shared" si="595"/>
        <v>0</v>
      </c>
      <c r="O1368" s="161">
        <f t="shared" si="596"/>
        <v>0</v>
      </c>
      <c r="P1368" s="187">
        <f t="shared" si="597"/>
        <v>0</v>
      </c>
      <c r="Q1368" s="161">
        <f t="shared" si="598"/>
        <v>0</v>
      </c>
      <c r="R1368" s="85"/>
      <c r="S1368" s="86">
        <f t="shared" si="599"/>
        <v>0</v>
      </c>
      <c r="T1368" s="87">
        <f t="shared" si="594"/>
        <v>0</v>
      </c>
    </row>
    <row r="1369" spans="2:31" ht="20.100000000000001" hidden="1" customHeight="1">
      <c r="B1369" s="77">
        <v>10</v>
      </c>
      <c r="C1369" s="78" t="s">
        <v>2311</v>
      </c>
      <c r="D1369" s="79" t="s">
        <v>2556</v>
      </c>
      <c r="E1369" s="80" t="s">
        <v>2557</v>
      </c>
      <c r="F1369" s="81">
        <v>1030</v>
      </c>
      <c r="G1369" s="222"/>
      <c r="H1369" s="186"/>
      <c r="I1369" s="186"/>
      <c r="J1369" s="308"/>
      <c r="K1369" s="227"/>
      <c r="L1369" s="82">
        <f t="shared" si="593"/>
        <v>0</v>
      </c>
      <c r="M1369" s="331"/>
      <c r="N1369" s="161">
        <f t="shared" si="595"/>
        <v>0</v>
      </c>
      <c r="O1369" s="161">
        <f t="shared" si="596"/>
        <v>0</v>
      </c>
      <c r="P1369" s="187">
        <f t="shared" si="597"/>
        <v>0</v>
      </c>
      <c r="Q1369" s="161">
        <f t="shared" si="598"/>
        <v>0</v>
      </c>
      <c r="R1369" s="85"/>
      <c r="S1369" s="86">
        <f t="shared" si="599"/>
        <v>0</v>
      </c>
      <c r="T1369" s="87">
        <f t="shared" si="594"/>
        <v>0</v>
      </c>
    </row>
    <row r="1370" spans="2:31" ht="20.100000000000001" hidden="1" customHeight="1">
      <c r="B1370" s="77">
        <v>10</v>
      </c>
      <c r="C1370" s="78" t="s">
        <v>2311</v>
      </c>
      <c r="D1370" s="79" t="s">
        <v>2558</v>
      </c>
      <c r="E1370" s="80" t="s">
        <v>2559</v>
      </c>
      <c r="F1370" s="81">
        <v>4.8499999999999996</v>
      </c>
      <c r="G1370" s="222">
        <v>48</v>
      </c>
      <c r="H1370" s="186"/>
      <c r="I1370" s="186"/>
      <c r="J1370" s="308"/>
      <c r="K1370" s="227"/>
      <c r="L1370" s="82">
        <f t="shared" si="593"/>
        <v>48</v>
      </c>
      <c r="M1370" s="331">
        <v>48</v>
      </c>
      <c r="N1370" s="161">
        <f t="shared" si="595"/>
        <v>232.79999999999998</v>
      </c>
      <c r="O1370" s="161">
        <f t="shared" si="596"/>
        <v>232.79999999999998</v>
      </c>
      <c r="P1370" s="187">
        <f t="shared" si="597"/>
        <v>0</v>
      </c>
      <c r="Q1370" s="161">
        <f t="shared" si="598"/>
        <v>0</v>
      </c>
      <c r="R1370" s="85"/>
      <c r="S1370" s="86">
        <f t="shared" si="599"/>
        <v>48</v>
      </c>
      <c r="T1370" s="87">
        <f t="shared" si="594"/>
        <v>0</v>
      </c>
      <c r="Y1370">
        <v>48</v>
      </c>
    </row>
    <row r="1371" spans="2:31" ht="27" hidden="1" customHeight="1">
      <c r="B1371" s="77">
        <v>10</v>
      </c>
      <c r="C1371" s="78" t="s">
        <v>2311</v>
      </c>
      <c r="D1371" s="79" t="s">
        <v>2560</v>
      </c>
      <c r="E1371" s="80" t="s">
        <v>2561</v>
      </c>
      <c r="F1371" s="81">
        <v>4.58</v>
      </c>
      <c r="G1371" s="222">
        <v>180</v>
      </c>
      <c r="H1371" s="186"/>
      <c r="I1371" s="186"/>
      <c r="J1371" s="308"/>
      <c r="K1371" s="227"/>
      <c r="L1371" s="82">
        <f t="shared" si="593"/>
        <v>180</v>
      </c>
      <c r="M1371" s="331">
        <v>180</v>
      </c>
      <c r="N1371" s="161">
        <f t="shared" si="595"/>
        <v>824.4</v>
      </c>
      <c r="O1371" s="161">
        <f t="shared" si="596"/>
        <v>824.4</v>
      </c>
      <c r="P1371" s="187">
        <f t="shared" si="597"/>
        <v>0</v>
      </c>
      <c r="Q1371" s="161">
        <f t="shared" si="598"/>
        <v>0</v>
      </c>
      <c r="R1371" s="85"/>
      <c r="S1371" s="86">
        <f t="shared" si="599"/>
        <v>180</v>
      </c>
      <c r="T1371" s="87">
        <f t="shared" si="594"/>
        <v>0</v>
      </c>
      <c r="Y1371">
        <v>180</v>
      </c>
    </row>
    <row r="1372" spans="2:31" ht="20.100000000000001" hidden="1" customHeight="1">
      <c r="B1372" s="77">
        <v>10</v>
      </c>
      <c r="C1372" s="78" t="s">
        <v>2311</v>
      </c>
      <c r="D1372" s="79" t="s">
        <v>2562</v>
      </c>
      <c r="E1372" s="80" t="s">
        <v>2563</v>
      </c>
      <c r="F1372" s="81">
        <v>4.8499999999999996</v>
      </c>
      <c r="G1372" s="222">
        <v>180</v>
      </c>
      <c r="H1372" s="186"/>
      <c r="I1372" s="186"/>
      <c r="J1372" s="308"/>
      <c r="K1372" s="227"/>
      <c r="L1372" s="82">
        <f t="shared" si="593"/>
        <v>180</v>
      </c>
      <c r="M1372" s="331">
        <v>180</v>
      </c>
      <c r="N1372" s="161">
        <f t="shared" si="595"/>
        <v>872.99999999999989</v>
      </c>
      <c r="O1372" s="161">
        <f t="shared" si="596"/>
        <v>872.99999999999989</v>
      </c>
      <c r="P1372" s="187">
        <f t="shared" si="597"/>
        <v>0</v>
      </c>
      <c r="Q1372" s="161">
        <f t="shared" si="598"/>
        <v>0</v>
      </c>
      <c r="R1372" s="85"/>
      <c r="S1372" s="86">
        <f t="shared" si="599"/>
        <v>180</v>
      </c>
      <c r="T1372" s="87">
        <f t="shared" si="594"/>
        <v>0</v>
      </c>
      <c r="Y1372">
        <v>180</v>
      </c>
    </row>
    <row r="1373" spans="2:31" ht="27.75" hidden="1" customHeight="1">
      <c r="B1373" s="77">
        <v>10</v>
      </c>
      <c r="C1373" s="78" t="s">
        <v>2311</v>
      </c>
      <c r="D1373" s="79" t="s">
        <v>2564</v>
      </c>
      <c r="E1373" s="80" t="s">
        <v>2565</v>
      </c>
      <c r="F1373" s="81">
        <v>4.58</v>
      </c>
      <c r="G1373" s="222">
        <v>187</v>
      </c>
      <c r="H1373" s="186"/>
      <c r="I1373" s="186"/>
      <c r="J1373" s="308"/>
      <c r="K1373" s="227"/>
      <c r="L1373" s="82">
        <f t="shared" si="593"/>
        <v>187</v>
      </c>
      <c r="M1373" s="331">
        <v>187</v>
      </c>
      <c r="N1373" s="161">
        <f t="shared" si="595"/>
        <v>856.46</v>
      </c>
      <c r="O1373" s="161">
        <f t="shared" si="596"/>
        <v>856.46</v>
      </c>
      <c r="P1373" s="187">
        <f t="shared" si="597"/>
        <v>0</v>
      </c>
      <c r="Q1373" s="161">
        <f t="shared" si="598"/>
        <v>0</v>
      </c>
      <c r="R1373" s="85"/>
      <c r="S1373" s="86">
        <f t="shared" si="599"/>
        <v>187</v>
      </c>
      <c r="T1373" s="87">
        <f t="shared" si="594"/>
        <v>0</v>
      </c>
      <c r="Y1373">
        <f>36+144+7</f>
        <v>187</v>
      </c>
    </row>
    <row r="1374" spans="2:31" ht="20.100000000000001" hidden="1" customHeight="1">
      <c r="B1374" s="77">
        <v>10</v>
      </c>
      <c r="C1374" s="78" t="s">
        <v>2311</v>
      </c>
      <c r="D1374" s="79" t="s">
        <v>2566</v>
      </c>
      <c r="E1374" s="80" t="s">
        <v>2567</v>
      </c>
      <c r="F1374" s="81">
        <v>27.45</v>
      </c>
      <c r="G1374" s="222">
        <v>12</v>
      </c>
      <c r="H1374" s="186"/>
      <c r="I1374" s="186"/>
      <c r="J1374" s="308"/>
      <c r="K1374" s="227"/>
      <c r="L1374" s="82">
        <f t="shared" si="593"/>
        <v>12</v>
      </c>
      <c r="M1374" s="331">
        <v>12</v>
      </c>
      <c r="N1374" s="161">
        <f t="shared" si="595"/>
        <v>329.4</v>
      </c>
      <c r="O1374" s="161">
        <f t="shared" si="596"/>
        <v>329.4</v>
      </c>
      <c r="P1374" s="187">
        <f t="shared" si="597"/>
        <v>0</v>
      </c>
      <c r="Q1374" s="161">
        <f t="shared" si="598"/>
        <v>0</v>
      </c>
      <c r="R1374" s="85" t="s">
        <v>387</v>
      </c>
      <c r="S1374" s="86">
        <f t="shared" si="599"/>
        <v>12</v>
      </c>
      <c r="T1374" s="87">
        <f t="shared" si="594"/>
        <v>0</v>
      </c>
      <c r="Y1374">
        <v>12</v>
      </c>
      <c r="Z1374" s="88" t="s">
        <v>2568</v>
      </c>
      <c r="AD1374">
        <f>Y1374</f>
        <v>12</v>
      </c>
      <c r="AE1374" s="89">
        <f>AD1374*F1374</f>
        <v>329.4</v>
      </c>
    </row>
    <row r="1375" spans="2:31" ht="20.100000000000001" hidden="1" customHeight="1">
      <c r="B1375" s="77">
        <v>10</v>
      </c>
      <c r="C1375" s="78" t="s">
        <v>2311</v>
      </c>
      <c r="D1375" s="79" t="s">
        <v>2569</v>
      </c>
      <c r="E1375" s="80" t="s">
        <v>2570</v>
      </c>
      <c r="F1375" s="81">
        <v>27.45</v>
      </c>
      <c r="G1375" s="222"/>
      <c r="H1375" s="186"/>
      <c r="I1375" s="186"/>
      <c r="J1375" s="308"/>
      <c r="K1375" s="227"/>
      <c r="L1375" s="82">
        <f t="shared" si="593"/>
        <v>0</v>
      </c>
      <c r="M1375" s="331">
        <v>0</v>
      </c>
      <c r="N1375" s="161">
        <f t="shared" si="595"/>
        <v>0</v>
      </c>
      <c r="O1375" s="161">
        <f t="shared" si="596"/>
        <v>0</v>
      </c>
      <c r="P1375" s="187">
        <f t="shared" si="597"/>
        <v>0</v>
      </c>
      <c r="Q1375" s="161">
        <f t="shared" si="598"/>
        <v>0</v>
      </c>
      <c r="R1375" s="85"/>
      <c r="S1375" s="86">
        <f t="shared" si="599"/>
        <v>0</v>
      </c>
      <c r="T1375" s="87">
        <f t="shared" si="594"/>
        <v>0</v>
      </c>
    </row>
    <row r="1376" spans="2:31" ht="20.100000000000001" hidden="1" customHeight="1">
      <c r="B1376" s="77">
        <v>10</v>
      </c>
      <c r="C1376" s="78" t="s">
        <v>2311</v>
      </c>
      <c r="D1376" s="79" t="s">
        <v>2571</v>
      </c>
      <c r="E1376" s="80" t="s">
        <v>2572</v>
      </c>
      <c r="F1376" s="81">
        <v>11.17</v>
      </c>
      <c r="G1376" s="222">
        <v>54</v>
      </c>
      <c r="H1376" s="186"/>
      <c r="I1376" s="186"/>
      <c r="J1376" s="308"/>
      <c r="K1376" s="227">
        <v>3</v>
      </c>
      <c r="L1376" s="82">
        <f t="shared" si="593"/>
        <v>51</v>
      </c>
      <c r="M1376" s="331">
        <v>51</v>
      </c>
      <c r="N1376" s="161">
        <f t="shared" si="595"/>
        <v>569.66999999999996</v>
      </c>
      <c r="O1376" s="161">
        <f t="shared" si="596"/>
        <v>569.66999999999996</v>
      </c>
      <c r="P1376" s="187">
        <f t="shared" si="597"/>
        <v>0</v>
      </c>
      <c r="Q1376" s="161">
        <f t="shared" si="598"/>
        <v>0</v>
      </c>
      <c r="R1376" s="232"/>
      <c r="S1376" s="86">
        <f t="shared" si="599"/>
        <v>60</v>
      </c>
      <c r="T1376" s="87">
        <f t="shared" si="594"/>
        <v>-9</v>
      </c>
      <c r="U1376">
        <v>60</v>
      </c>
    </row>
    <row r="1377" spans="2:25" ht="20.100000000000001" hidden="1" customHeight="1">
      <c r="B1377" s="77">
        <v>10</v>
      </c>
      <c r="C1377" s="78" t="s">
        <v>2311</v>
      </c>
      <c r="D1377" s="79" t="s">
        <v>2573</v>
      </c>
      <c r="E1377" s="80" t="s">
        <v>2574</v>
      </c>
      <c r="F1377" s="81">
        <v>25.45</v>
      </c>
      <c r="G1377" s="222"/>
      <c r="H1377" s="186"/>
      <c r="I1377" s="186"/>
      <c r="J1377" s="308"/>
      <c r="K1377" s="227"/>
      <c r="L1377" s="82">
        <f t="shared" si="593"/>
        <v>0</v>
      </c>
      <c r="M1377" s="331"/>
      <c r="N1377" s="161">
        <f t="shared" si="595"/>
        <v>0</v>
      </c>
      <c r="O1377" s="161">
        <f t="shared" si="596"/>
        <v>0</v>
      </c>
      <c r="P1377" s="187">
        <f t="shared" si="597"/>
        <v>0</v>
      </c>
      <c r="Q1377" s="161">
        <f t="shared" si="598"/>
        <v>0</v>
      </c>
      <c r="R1377" s="85"/>
      <c r="S1377" s="86">
        <f t="shared" si="599"/>
        <v>0</v>
      </c>
      <c r="T1377" s="87">
        <f t="shared" si="594"/>
        <v>0</v>
      </c>
    </row>
    <row r="1378" spans="2:25" ht="20.100000000000001" hidden="1" customHeight="1">
      <c r="B1378" s="77">
        <v>10</v>
      </c>
      <c r="C1378" s="78" t="s">
        <v>2311</v>
      </c>
      <c r="D1378" s="79" t="s">
        <v>2575</v>
      </c>
      <c r="E1378" s="80" t="s">
        <v>2576</v>
      </c>
      <c r="F1378" s="81">
        <v>11.17</v>
      </c>
      <c r="G1378" s="222">
        <v>2</v>
      </c>
      <c r="H1378" s="186"/>
      <c r="I1378" s="186"/>
      <c r="J1378" s="308"/>
      <c r="K1378" s="227"/>
      <c r="L1378" s="82">
        <f t="shared" si="593"/>
        <v>2</v>
      </c>
      <c r="M1378" s="331">
        <v>2</v>
      </c>
      <c r="N1378" s="161">
        <f t="shared" si="595"/>
        <v>22.34</v>
      </c>
      <c r="O1378" s="161">
        <f t="shared" si="596"/>
        <v>22.34</v>
      </c>
      <c r="P1378" s="187">
        <f t="shared" si="597"/>
        <v>0</v>
      </c>
      <c r="Q1378" s="161">
        <f t="shared" si="598"/>
        <v>0</v>
      </c>
      <c r="R1378" s="85"/>
      <c r="S1378" s="86">
        <f t="shared" si="599"/>
        <v>6</v>
      </c>
      <c r="T1378" s="87">
        <f t="shared" si="594"/>
        <v>-4</v>
      </c>
      <c r="U1378">
        <v>6</v>
      </c>
    </row>
    <row r="1379" spans="2:25" ht="20.100000000000001" hidden="1" customHeight="1">
      <c r="B1379" s="77">
        <v>10</v>
      </c>
      <c r="C1379" s="78" t="s">
        <v>2311</v>
      </c>
      <c r="D1379" s="79" t="s">
        <v>2577</v>
      </c>
      <c r="E1379" s="80" t="s">
        <v>2578</v>
      </c>
      <c r="F1379" s="81">
        <v>25.45</v>
      </c>
      <c r="G1379" s="222">
        <v>23</v>
      </c>
      <c r="H1379" s="186"/>
      <c r="I1379" s="186"/>
      <c r="J1379" s="308"/>
      <c r="K1379" s="227"/>
      <c r="L1379" s="82">
        <f t="shared" si="593"/>
        <v>23</v>
      </c>
      <c r="M1379" s="331">
        <v>23</v>
      </c>
      <c r="N1379" s="161">
        <f t="shared" si="595"/>
        <v>585.35</v>
      </c>
      <c r="O1379" s="161">
        <f t="shared" si="596"/>
        <v>585.35</v>
      </c>
      <c r="P1379" s="187">
        <f t="shared" si="597"/>
        <v>0</v>
      </c>
      <c r="Q1379" s="161">
        <f t="shared" si="598"/>
        <v>0</v>
      </c>
      <c r="R1379" s="232"/>
      <c r="S1379" s="86">
        <f t="shared" si="599"/>
        <v>23</v>
      </c>
      <c r="T1379" s="87">
        <f t="shared" si="594"/>
        <v>0</v>
      </c>
      <c r="U1379">
        <v>1</v>
      </c>
      <c r="Y1379">
        <v>22</v>
      </c>
    </row>
    <row r="1380" spans="2:25" ht="20.100000000000001" hidden="1" customHeight="1">
      <c r="B1380" s="77">
        <v>10</v>
      </c>
      <c r="C1380" s="78" t="s">
        <v>2311</v>
      </c>
      <c r="D1380" s="79" t="s">
        <v>2579</v>
      </c>
      <c r="E1380" s="80" t="s">
        <v>2580</v>
      </c>
      <c r="F1380" s="81">
        <v>21.88</v>
      </c>
      <c r="G1380" s="222">
        <v>23</v>
      </c>
      <c r="H1380" s="186"/>
      <c r="I1380" s="186"/>
      <c r="J1380" s="308"/>
      <c r="K1380" s="227"/>
      <c r="L1380" s="82">
        <f t="shared" si="593"/>
        <v>23</v>
      </c>
      <c r="M1380" s="331">
        <v>23</v>
      </c>
      <c r="N1380" s="161">
        <f t="shared" si="595"/>
        <v>503.23999999999995</v>
      </c>
      <c r="O1380" s="161">
        <f t="shared" si="596"/>
        <v>503.23999999999995</v>
      </c>
      <c r="P1380" s="187">
        <f t="shared" si="597"/>
        <v>0</v>
      </c>
      <c r="Q1380" s="161">
        <f t="shared" si="598"/>
        <v>0</v>
      </c>
      <c r="R1380" s="85"/>
      <c r="S1380" s="86">
        <f t="shared" si="599"/>
        <v>23</v>
      </c>
      <c r="T1380" s="87">
        <f t="shared" si="594"/>
        <v>0</v>
      </c>
      <c r="Y1380">
        <v>23</v>
      </c>
    </row>
    <row r="1381" spans="2:25" ht="20.100000000000001" hidden="1" customHeight="1">
      <c r="B1381" s="77">
        <v>10</v>
      </c>
      <c r="C1381" s="78" t="s">
        <v>2311</v>
      </c>
      <c r="D1381" s="79" t="s">
        <v>2581</v>
      </c>
      <c r="E1381" s="80" t="s">
        <v>2582</v>
      </c>
      <c r="F1381" s="81">
        <v>11.17</v>
      </c>
      <c r="G1381" s="222"/>
      <c r="H1381" s="186"/>
      <c r="I1381" s="186"/>
      <c r="J1381" s="308"/>
      <c r="K1381" s="227"/>
      <c r="L1381" s="82">
        <f t="shared" si="593"/>
        <v>0</v>
      </c>
      <c r="M1381" s="331"/>
      <c r="N1381" s="161">
        <f t="shared" si="595"/>
        <v>0</v>
      </c>
      <c r="O1381" s="161">
        <f t="shared" si="596"/>
        <v>0</v>
      </c>
      <c r="P1381" s="187">
        <f t="shared" si="597"/>
        <v>0</v>
      </c>
      <c r="Q1381" s="161">
        <f t="shared" si="598"/>
        <v>0</v>
      </c>
      <c r="R1381" s="85"/>
      <c r="S1381" s="86">
        <f t="shared" si="599"/>
        <v>0</v>
      </c>
      <c r="T1381" s="87">
        <f t="shared" si="594"/>
        <v>0</v>
      </c>
    </row>
    <row r="1382" spans="2:25" ht="20.100000000000001" hidden="1" customHeight="1">
      <c r="B1382" s="77">
        <v>10</v>
      </c>
      <c r="C1382" s="78" t="s">
        <v>2311</v>
      </c>
      <c r="D1382" s="79" t="s">
        <v>2583</v>
      </c>
      <c r="E1382" s="80" t="s">
        <v>2584</v>
      </c>
      <c r="F1382" s="81">
        <v>5.41</v>
      </c>
      <c r="G1382" s="222">
        <v>2</v>
      </c>
      <c r="H1382" s="186"/>
      <c r="I1382" s="186"/>
      <c r="J1382" s="308"/>
      <c r="K1382" s="227"/>
      <c r="L1382" s="82">
        <f t="shared" si="593"/>
        <v>2</v>
      </c>
      <c r="M1382" s="331">
        <v>2</v>
      </c>
      <c r="N1382" s="161">
        <f t="shared" si="595"/>
        <v>10.82</v>
      </c>
      <c r="O1382" s="161">
        <f t="shared" si="596"/>
        <v>10.82</v>
      </c>
      <c r="P1382" s="187">
        <f t="shared" si="597"/>
        <v>0</v>
      </c>
      <c r="Q1382" s="161">
        <f t="shared" si="598"/>
        <v>0</v>
      </c>
      <c r="R1382" s="232"/>
      <c r="S1382" s="86">
        <f t="shared" si="599"/>
        <v>9</v>
      </c>
      <c r="T1382" s="87">
        <f t="shared" si="594"/>
        <v>-7</v>
      </c>
      <c r="U1382">
        <v>9</v>
      </c>
    </row>
    <row r="1383" spans="2:25" ht="20.100000000000001" hidden="1" customHeight="1">
      <c r="B1383" s="77">
        <v>10</v>
      </c>
      <c r="C1383" s="78" t="s">
        <v>2311</v>
      </c>
      <c r="D1383" s="79" t="s">
        <v>2585</v>
      </c>
      <c r="E1383" s="80" t="s">
        <v>2586</v>
      </c>
      <c r="F1383" s="81">
        <v>5.41</v>
      </c>
      <c r="G1383" s="222">
        <v>108</v>
      </c>
      <c r="H1383" s="186"/>
      <c r="I1383" s="186"/>
      <c r="J1383" s="308"/>
      <c r="K1383" s="227"/>
      <c r="L1383" s="82">
        <f t="shared" si="593"/>
        <v>108</v>
      </c>
      <c r="M1383" s="331">
        <v>108</v>
      </c>
      <c r="N1383" s="161">
        <f t="shared" si="595"/>
        <v>584.28</v>
      </c>
      <c r="O1383" s="161">
        <f t="shared" si="596"/>
        <v>584.28</v>
      </c>
      <c r="P1383" s="187">
        <f t="shared" si="597"/>
        <v>0</v>
      </c>
      <c r="Q1383" s="161">
        <f t="shared" si="598"/>
        <v>0</v>
      </c>
      <c r="R1383" s="85"/>
      <c r="S1383" s="86">
        <f t="shared" si="599"/>
        <v>109</v>
      </c>
      <c r="T1383" s="87">
        <f t="shared" si="594"/>
        <v>-1</v>
      </c>
      <c r="U1383">
        <v>1</v>
      </c>
      <c r="Y1383">
        <v>108</v>
      </c>
    </row>
    <row r="1384" spans="2:25" ht="20.100000000000001" hidden="1" customHeight="1">
      <c r="B1384" s="77">
        <v>10</v>
      </c>
      <c r="C1384" s="78" t="s">
        <v>2311</v>
      </c>
      <c r="D1384" s="79" t="s">
        <v>2587</v>
      </c>
      <c r="E1384" s="80" t="s">
        <v>2588</v>
      </c>
      <c r="F1384" s="81">
        <v>5.41</v>
      </c>
      <c r="G1384" s="222">
        <v>204</v>
      </c>
      <c r="H1384" s="186"/>
      <c r="I1384" s="186"/>
      <c r="J1384" s="308"/>
      <c r="K1384" s="227"/>
      <c r="L1384" s="82">
        <f t="shared" si="593"/>
        <v>204</v>
      </c>
      <c r="M1384" s="331">
        <v>204</v>
      </c>
      <c r="N1384" s="161">
        <f t="shared" si="595"/>
        <v>1103.6400000000001</v>
      </c>
      <c r="O1384" s="161">
        <f t="shared" si="596"/>
        <v>1103.6400000000001</v>
      </c>
      <c r="P1384" s="187">
        <f t="shared" si="597"/>
        <v>0</v>
      </c>
      <c r="Q1384" s="161">
        <f t="shared" si="598"/>
        <v>0</v>
      </c>
      <c r="R1384" s="85"/>
      <c r="S1384" s="86">
        <f t="shared" si="599"/>
        <v>211</v>
      </c>
      <c r="T1384" s="87">
        <f t="shared" si="594"/>
        <v>-7</v>
      </c>
      <c r="U1384">
        <f>95+8</f>
        <v>103</v>
      </c>
      <c r="Y1384">
        <v>108</v>
      </c>
    </row>
    <row r="1385" spans="2:25" ht="20.100000000000001" hidden="1" customHeight="1">
      <c r="B1385" s="77">
        <v>10</v>
      </c>
      <c r="C1385" s="78" t="s">
        <v>2311</v>
      </c>
      <c r="D1385" s="79" t="s">
        <v>2589</v>
      </c>
      <c r="E1385" s="80" t="s">
        <v>2590</v>
      </c>
      <c r="F1385" s="81">
        <v>5.41</v>
      </c>
      <c r="G1385" s="222">
        <v>923</v>
      </c>
      <c r="H1385" s="186"/>
      <c r="I1385" s="186"/>
      <c r="J1385" s="308"/>
      <c r="K1385" s="227">
        <v>74</v>
      </c>
      <c r="L1385" s="82">
        <f t="shared" si="593"/>
        <v>849</v>
      </c>
      <c r="M1385" s="331">
        <v>849</v>
      </c>
      <c r="N1385" s="161">
        <f t="shared" si="595"/>
        <v>4593.09</v>
      </c>
      <c r="O1385" s="161">
        <f t="shared" si="596"/>
        <v>4593.09</v>
      </c>
      <c r="P1385" s="187">
        <f t="shared" si="597"/>
        <v>0</v>
      </c>
      <c r="Q1385" s="161">
        <f t="shared" si="598"/>
        <v>0</v>
      </c>
      <c r="R1385" s="85"/>
      <c r="S1385" s="86">
        <f t="shared" si="599"/>
        <v>973</v>
      </c>
      <c r="T1385" s="87">
        <f t="shared" si="594"/>
        <v>-124</v>
      </c>
      <c r="U1385">
        <v>265</v>
      </c>
      <c r="Y1385">
        <f>354+354</f>
        <v>708</v>
      </c>
    </row>
    <row r="1386" spans="2:25" ht="20.100000000000001" hidden="1" customHeight="1">
      <c r="B1386" s="77">
        <v>10</v>
      </c>
      <c r="C1386" s="78" t="s">
        <v>2311</v>
      </c>
      <c r="D1386" s="79" t="s">
        <v>2589</v>
      </c>
      <c r="E1386" s="80" t="s">
        <v>2590</v>
      </c>
      <c r="F1386" s="81">
        <v>5.41</v>
      </c>
      <c r="G1386" s="222"/>
      <c r="H1386" s="186"/>
      <c r="I1386" s="186"/>
      <c r="J1386" s="308"/>
      <c r="K1386" s="227"/>
      <c r="L1386" s="82">
        <f t="shared" si="593"/>
        <v>0</v>
      </c>
      <c r="M1386" s="331">
        <v>0</v>
      </c>
      <c r="N1386" s="161">
        <f t="shared" si="595"/>
        <v>0</v>
      </c>
      <c r="O1386" s="161">
        <f t="shared" si="596"/>
        <v>0</v>
      </c>
      <c r="P1386" s="187">
        <f t="shared" si="597"/>
        <v>0</v>
      </c>
      <c r="Q1386" s="161">
        <f t="shared" si="598"/>
        <v>0</v>
      </c>
      <c r="R1386" s="85"/>
      <c r="S1386" s="86">
        <f t="shared" si="599"/>
        <v>0</v>
      </c>
      <c r="T1386" s="87">
        <f t="shared" si="594"/>
        <v>0</v>
      </c>
    </row>
    <row r="1387" spans="2:25" ht="20.100000000000001" hidden="1" customHeight="1">
      <c r="B1387" s="77">
        <v>10</v>
      </c>
      <c r="C1387" s="78" t="s">
        <v>2311</v>
      </c>
      <c r="D1387" s="79" t="s">
        <v>2591</v>
      </c>
      <c r="E1387" s="80" t="s">
        <v>2592</v>
      </c>
      <c r="F1387" s="81">
        <v>27.03</v>
      </c>
      <c r="G1387" s="222"/>
      <c r="H1387" s="186"/>
      <c r="I1387" s="186"/>
      <c r="J1387" s="308"/>
      <c r="K1387" s="227"/>
      <c r="L1387" s="82">
        <f t="shared" si="593"/>
        <v>0</v>
      </c>
      <c r="M1387" s="331"/>
      <c r="N1387" s="161">
        <f t="shared" si="595"/>
        <v>0</v>
      </c>
      <c r="O1387" s="161">
        <f t="shared" si="596"/>
        <v>0</v>
      </c>
      <c r="P1387" s="187">
        <f t="shared" si="597"/>
        <v>0</v>
      </c>
      <c r="Q1387" s="161">
        <f t="shared" si="598"/>
        <v>0</v>
      </c>
      <c r="R1387" s="85"/>
      <c r="S1387" s="86">
        <f t="shared" si="599"/>
        <v>0</v>
      </c>
      <c r="T1387" s="87">
        <f t="shared" si="594"/>
        <v>0</v>
      </c>
    </row>
    <row r="1388" spans="2:25" ht="20.100000000000001" hidden="1" customHeight="1">
      <c r="B1388" s="77">
        <v>10</v>
      </c>
      <c r="C1388" s="78" t="s">
        <v>2311</v>
      </c>
      <c r="D1388" s="79" t="s">
        <v>2593</v>
      </c>
      <c r="E1388" s="80" t="s">
        <v>2594</v>
      </c>
      <c r="F1388" s="81">
        <v>5.41</v>
      </c>
      <c r="G1388" s="222">
        <v>109</v>
      </c>
      <c r="H1388" s="186"/>
      <c r="I1388" s="186"/>
      <c r="J1388" s="308"/>
      <c r="K1388" s="227"/>
      <c r="L1388" s="82">
        <f t="shared" si="593"/>
        <v>109</v>
      </c>
      <c r="M1388" s="331">
        <v>109</v>
      </c>
      <c r="N1388" s="161">
        <f t="shared" si="595"/>
        <v>589.69000000000005</v>
      </c>
      <c r="O1388" s="161">
        <f t="shared" si="596"/>
        <v>589.69000000000005</v>
      </c>
      <c r="P1388" s="187">
        <f t="shared" si="597"/>
        <v>0</v>
      </c>
      <c r="Q1388" s="161">
        <f t="shared" si="598"/>
        <v>0</v>
      </c>
      <c r="R1388" s="85"/>
      <c r="S1388" s="86">
        <f t="shared" si="599"/>
        <v>108</v>
      </c>
      <c r="T1388" s="87">
        <f t="shared" si="594"/>
        <v>1</v>
      </c>
      <c r="Y1388">
        <v>108</v>
      </c>
    </row>
    <row r="1389" spans="2:25" ht="20.100000000000001" hidden="1" customHeight="1">
      <c r="B1389" s="77">
        <v>10</v>
      </c>
      <c r="C1389" s="78" t="s">
        <v>2311</v>
      </c>
      <c r="D1389" s="79" t="s">
        <v>2595</v>
      </c>
      <c r="E1389" s="80" t="s">
        <v>2596</v>
      </c>
      <c r="F1389" s="81">
        <v>6.38</v>
      </c>
      <c r="G1389" s="222">
        <v>54</v>
      </c>
      <c r="H1389" s="186"/>
      <c r="I1389" s="186"/>
      <c r="J1389" s="308"/>
      <c r="K1389" s="227">
        <v>48</v>
      </c>
      <c r="L1389" s="82">
        <f t="shared" si="593"/>
        <v>6</v>
      </c>
      <c r="M1389" s="331">
        <v>6</v>
      </c>
      <c r="N1389" s="161">
        <f t="shared" si="595"/>
        <v>38.28</v>
      </c>
      <c r="O1389" s="161">
        <f t="shared" si="596"/>
        <v>38.28</v>
      </c>
      <c r="P1389" s="187">
        <f t="shared" si="597"/>
        <v>0</v>
      </c>
      <c r="Q1389" s="161">
        <f t="shared" si="598"/>
        <v>0</v>
      </c>
      <c r="R1389" s="232"/>
      <c r="S1389" s="86">
        <f t="shared" si="599"/>
        <v>152</v>
      </c>
      <c r="T1389" s="87">
        <f t="shared" si="594"/>
        <v>-146</v>
      </c>
      <c r="U1389">
        <v>152</v>
      </c>
    </row>
    <row r="1390" spans="2:25" ht="20.100000000000001" hidden="1" customHeight="1">
      <c r="B1390" s="77">
        <v>10</v>
      </c>
      <c r="C1390" s="78" t="s">
        <v>2311</v>
      </c>
      <c r="D1390" s="79" t="s">
        <v>2597</v>
      </c>
      <c r="E1390" s="80" t="s">
        <v>2598</v>
      </c>
      <c r="F1390" s="81">
        <v>5.41</v>
      </c>
      <c r="G1390" s="222">
        <v>199</v>
      </c>
      <c r="H1390" s="186"/>
      <c r="I1390" s="186"/>
      <c r="J1390" s="308"/>
      <c r="K1390" s="227"/>
      <c r="L1390" s="82">
        <f t="shared" si="593"/>
        <v>199</v>
      </c>
      <c r="M1390" s="331">
        <v>199</v>
      </c>
      <c r="N1390" s="161">
        <f t="shared" si="595"/>
        <v>1076.5899999999999</v>
      </c>
      <c r="O1390" s="161">
        <f t="shared" si="596"/>
        <v>1076.5899999999999</v>
      </c>
      <c r="P1390" s="187">
        <f t="shared" si="597"/>
        <v>0</v>
      </c>
      <c r="Q1390" s="161">
        <f t="shared" si="598"/>
        <v>0</v>
      </c>
      <c r="R1390" s="85"/>
      <c r="S1390" s="86">
        <f t="shared" si="599"/>
        <v>78</v>
      </c>
      <c r="T1390" s="87">
        <f t="shared" si="594"/>
        <v>121</v>
      </c>
      <c r="U1390">
        <v>78</v>
      </c>
    </row>
    <row r="1391" spans="2:25" ht="20.100000000000001" customHeight="1">
      <c r="B1391" s="77">
        <v>10</v>
      </c>
      <c r="C1391" s="78" t="s">
        <v>2311</v>
      </c>
      <c r="D1391" s="79" t="s">
        <v>2599</v>
      </c>
      <c r="E1391" s="80" t="s">
        <v>2600</v>
      </c>
      <c r="F1391" s="81">
        <v>6.37</v>
      </c>
      <c r="G1391" s="222">
        <v>648</v>
      </c>
      <c r="H1391" s="186"/>
      <c r="I1391" s="186"/>
      <c r="J1391" s="308"/>
      <c r="K1391" s="227"/>
      <c r="L1391" s="82">
        <f t="shared" si="593"/>
        <v>648</v>
      </c>
      <c r="M1391" s="331">
        <f>156+486</f>
        <v>642</v>
      </c>
      <c r="N1391" s="161">
        <f t="shared" si="595"/>
        <v>4127.76</v>
      </c>
      <c r="O1391" s="161">
        <f t="shared" si="596"/>
        <v>4089.54</v>
      </c>
      <c r="P1391" s="187">
        <f t="shared" si="597"/>
        <v>6</v>
      </c>
      <c r="Q1391" s="161">
        <f t="shared" si="598"/>
        <v>38.220000000000255</v>
      </c>
      <c r="R1391" s="232"/>
      <c r="S1391" s="86">
        <f t="shared" si="599"/>
        <v>660</v>
      </c>
      <c r="T1391" s="87">
        <f t="shared" si="594"/>
        <v>-18</v>
      </c>
      <c r="U1391">
        <v>174</v>
      </c>
      <c r="Y1391">
        <v>486</v>
      </c>
    </row>
    <row r="1392" spans="2:25" ht="20.100000000000001" hidden="1" customHeight="1">
      <c r="B1392" s="77">
        <v>10</v>
      </c>
      <c r="C1392" s="78" t="s">
        <v>2311</v>
      </c>
      <c r="D1392" s="79" t="s">
        <v>2601</v>
      </c>
      <c r="E1392" s="80" t="s">
        <v>2602</v>
      </c>
      <c r="F1392" s="81">
        <v>6.37</v>
      </c>
      <c r="G1392" s="222">
        <v>120</v>
      </c>
      <c r="H1392" s="186"/>
      <c r="I1392" s="186"/>
      <c r="J1392" s="308"/>
      <c r="K1392" s="227"/>
      <c r="L1392" s="82">
        <f t="shared" ref="L1392:L1459" si="607">G1392+I1392-J1392-K1392+H1392</f>
        <v>120</v>
      </c>
      <c r="M1392" s="331">
        <v>120</v>
      </c>
      <c r="N1392" s="161">
        <f t="shared" si="595"/>
        <v>764.4</v>
      </c>
      <c r="O1392" s="161">
        <f t="shared" si="596"/>
        <v>764.4</v>
      </c>
      <c r="P1392" s="187">
        <f t="shared" si="597"/>
        <v>0</v>
      </c>
      <c r="Q1392" s="161">
        <f t="shared" si="598"/>
        <v>0</v>
      </c>
      <c r="R1392" s="232"/>
      <c r="S1392" s="86">
        <f t="shared" si="599"/>
        <v>122</v>
      </c>
      <c r="T1392" s="87">
        <f t="shared" si="594"/>
        <v>-2</v>
      </c>
      <c r="U1392">
        <v>2</v>
      </c>
      <c r="Y1392">
        <v>120</v>
      </c>
    </row>
    <row r="1393" spans="2:25" ht="20.100000000000001" hidden="1" customHeight="1">
      <c r="B1393" s="77">
        <v>10</v>
      </c>
      <c r="C1393" s="78" t="s">
        <v>2311</v>
      </c>
      <c r="D1393" s="79" t="s">
        <v>2603</v>
      </c>
      <c r="E1393" s="80" t="s">
        <v>2604</v>
      </c>
      <c r="F1393" s="81">
        <v>37.5</v>
      </c>
      <c r="G1393" s="222">
        <v>23</v>
      </c>
      <c r="H1393" s="186"/>
      <c r="I1393" s="186"/>
      <c r="J1393" s="308"/>
      <c r="K1393" s="227"/>
      <c r="L1393" s="82">
        <f t="shared" si="607"/>
        <v>23</v>
      </c>
      <c r="M1393" s="331">
        <v>23</v>
      </c>
      <c r="N1393" s="161">
        <f t="shared" si="595"/>
        <v>862.5</v>
      </c>
      <c r="O1393" s="161">
        <f t="shared" si="596"/>
        <v>862.5</v>
      </c>
      <c r="P1393" s="187">
        <f t="shared" si="597"/>
        <v>0</v>
      </c>
      <c r="Q1393" s="161">
        <f t="shared" si="598"/>
        <v>0</v>
      </c>
      <c r="R1393" s="85"/>
      <c r="S1393" s="86">
        <f t="shared" si="599"/>
        <v>37</v>
      </c>
      <c r="T1393" s="87">
        <f t="shared" si="594"/>
        <v>-14</v>
      </c>
      <c r="U1393">
        <v>37</v>
      </c>
    </row>
    <row r="1394" spans="2:25" ht="20.100000000000001" hidden="1" customHeight="1">
      <c r="B1394" s="77">
        <v>10</v>
      </c>
      <c r="C1394" s="78" t="s">
        <v>2311</v>
      </c>
      <c r="D1394" s="79" t="s">
        <v>2603</v>
      </c>
      <c r="E1394" s="80" t="s">
        <v>2604</v>
      </c>
      <c r="F1394" s="81">
        <v>38.25</v>
      </c>
      <c r="G1394" s="222">
        <v>10</v>
      </c>
      <c r="H1394" s="186"/>
      <c r="I1394" s="186"/>
      <c r="J1394" s="308"/>
      <c r="K1394" s="227">
        <v>10</v>
      </c>
      <c r="L1394" s="82">
        <f t="shared" si="607"/>
        <v>0</v>
      </c>
      <c r="M1394" s="331"/>
      <c r="N1394" s="161">
        <f t="shared" si="595"/>
        <v>0</v>
      </c>
      <c r="O1394" s="161">
        <f t="shared" si="596"/>
        <v>0</v>
      </c>
      <c r="P1394" s="187">
        <f t="shared" si="597"/>
        <v>0</v>
      </c>
      <c r="Q1394" s="161">
        <f t="shared" si="598"/>
        <v>0</v>
      </c>
      <c r="R1394" s="85"/>
      <c r="S1394" s="86">
        <f t="shared" si="599"/>
        <v>0</v>
      </c>
      <c r="T1394" s="87">
        <f t="shared" ref="T1394:T1452" si="608">M1394-S1394</f>
        <v>0</v>
      </c>
    </row>
    <row r="1395" spans="2:25" ht="20.100000000000001" hidden="1" customHeight="1">
      <c r="B1395" s="77">
        <v>10</v>
      </c>
      <c r="C1395" s="78" t="s">
        <v>2311</v>
      </c>
      <c r="D1395" s="79" t="s">
        <v>2605</v>
      </c>
      <c r="E1395" s="80" t="s">
        <v>2606</v>
      </c>
      <c r="F1395" s="81">
        <v>6.37</v>
      </c>
      <c r="G1395" s="222"/>
      <c r="H1395" s="186"/>
      <c r="I1395" s="186"/>
      <c r="J1395" s="308"/>
      <c r="K1395" s="227"/>
      <c r="L1395" s="82">
        <f t="shared" si="607"/>
        <v>0</v>
      </c>
      <c r="M1395" s="331"/>
      <c r="N1395" s="161">
        <f t="shared" ref="N1395:N1453" si="609">F1395*L1395</f>
        <v>0</v>
      </c>
      <c r="O1395" s="161">
        <f t="shared" ref="O1395:O1453" si="610">M1395*F1395</f>
        <v>0</v>
      </c>
      <c r="P1395" s="187">
        <f t="shared" ref="P1395:P1453" si="611">L1395-M1395</f>
        <v>0</v>
      </c>
      <c r="Q1395" s="161">
        <f t="shared" ref="Q1395:Q1453" si="612">N1395-O1395</f>
        <v>0</v>
      </c>
      <c r="R1395" s="232"/>
      <c r="S1395" s="86">
        <f t="shared" ref="S1395:S1453" si="613">U1395+Y1395+W1395+AA1395</f>
        <v>0</v>
      </c>
      <c r="T1395" s="87">
        <f t="shared" si="608"/>
        <v>0</v>
      </c>
    </row>
    <row r="1396" spans="2:25" ht="20.100000000000001" hidden="1" customHeight="1">
      <c r="B1396" s="77">
        <v>10</v>
      </c>
      <c r="C1396" s="78" t="s">
        <v>2311</v>
      </c>
      <c r="D1396" s="79" t="s">
        <v>2607</v>
      </c>
      <c r="E1396" s="80" t="s">
        <v>2608</v>
      </c>
      <c r="F1396" s="81">
        <v>6.37</v>
      </c>
      <c r="G1396" s="222">
        <v>690</v>
      </c>
      <c r="H1396" s="186"/>
      <c r="I1396" s="186"/>
      <c r="J1396" s="308"/>
      <c r="K1396" s="227">
        <v>41</v>
      </c>
      <c r="L1396" s="82">
        <f t="shared" si="607"/>
        <v>649</v>
      </c>
      <c r="M1396" s="331">
        <v>649</v>
      </c>
      <c r="N1396" s="161">
        <f t="shared" si="609"/>
        <v>4134.13</v>
      </c>
      <c r="O1396" s="161">
        <f t="shared" si="610"/>
        <v>4134.13</v>
      </c>
      <c r="P1396" s="187">
        <f t="shared" si="611"/>
        <v>0</v>
      </c>
      <c r="Q1396" s="161">
        <f t="shared" si="612"/>
        <v>0</v>
      </c>
      <c r="R1396" s="232"/>
      <c r="S1396" s="86">
        <f t="shared" si="613"/>
        <v>716</v>
      </c>
      <c r="T1396" s="87">
        <f t="shared" si="608"/>
        <v>-67</v>
      </c>
      <c r="U1396">
        <f>12+276</f>
        <v>288</v>
      </c>
      <c r="Y1396">
        <v>428</v>
      </c>
    </row>
    <row r="1397" spans="2:25" ht="20.100000000000001" hidden="1" customHeight="1">
      <c r="B1397" s="77">
        <v>10</v>
      </c>
      <c r="C1397" s="78" t="s">
        <v>2311</v>
      </c>
      <c r="D1397" s="79" t="s">
        <v>2609</v>
      </c>
      <c r="E1397" s="80" t="s">
        <v>2610</v>
      </c>
      <c r="F1397" s="81">
        <v>37.5</v>
      </c>
      <c r="G1397" s="222">
        <v>38</v>
      </c>
      <c r="H1397" s="186"/>
      <c r="I1397" s="186"/>
      <c r="J1397" s="308"/>
      <c r="K1397" s="227"/>
      <c r="L1397" s="82">
        <f t="shared" si="607"/>
        <v>38</v>
      </c>
      <c r="M1397" s="331">
        <v>38</v>
      </c>
      <c r="N1397" s="161">
        <f t="shared" si="609"/>
        <v>1425</v>
      </c>
      <c r="O1397" s="161">
        <f t="shared" si="610"/>
        <v>1425</v>
      </c>
      <c r="P1397" s="187">
        <f t="shared" si="611"/>
        <v>0</v>
      </c>
      <c r="Q1397" s="161">
        <f t="shared" si="612"/>
        <v>0</v>
      </c>
      <c r="R1397" s="85"/>
      <c r="S1397" s="86">
        <f t="shared" si="613"/>
        <v>59</v>
      </c>
      <c r="T1397" s="87">
        <f t="shared" si="608"/>
        <v>-21</v>
      </c>
      <c r="U1397">
        <v>39</v>
      </c>
      <c r="Y1397">
        <v>20</v>
      </c>
    </row>
    <row r="1398" spans="2:25" ht="20.100000000000001" hidden="1" customHeight="1">
      <c r="B1398" s="77">
        <v>10</v>
      </c>
      <c r="C1398" s="78" t="s">
        <v>2311</v>
      </c>
      <c r="D1398" s="79" t="s">
        <v>2611</v>
      </c>
      <c r="E1398" s="80" t="s">
        <v>2612</v>
      </c>
      <c r="F1398" s="81">
        <v>6.37</v>
      </c>
      <c r="G1398" s="222">
        <v>955</v>
      </c>
      <c r="H1398" s="186"/>
      <c r="I1398" s="186"/>
      <c r="J1398" s="308"/>
      <c r="K1398" s="227"/>
      <c r="L1398" s="82">
        <f t="shared" si="607"/>
        <v>955</v>
      </c>
      <c r="M1398" s="331">
        <v>955</v>
      </c>
      <c r="N1398" s="161">
        <f t="shared" si="609"/>
        <v>6083.35</v>
      </c>
      <c r="O1398" s="161">
        <f t="shared" si="610"/>
        <v>6083.35</v>
      </c>
      <c r="P1398" s="187">
        <f t="shared" si="611"/>
        <v>0</v>
      </c>
      <c r="Q1398" s="161">
        <f t="shared" si="612"/>
        <v>0</v>
      </c>
      <c r="R1398" s="232"/>
      <c r="S1398" s="86">
        <f t="shared" si="613"/>
        <v>957</v>
      </c>
      <c r="T1398" s="87">
        <f t="shared" si="608"/>
        <v>-2</v>
      </c>
      <c r="U1398">
        <v>3</v>
      </c>
      <c r="Y1398">
        <v>954</v>
      </c>
    </row>
    <row r="1399" spans="2:25" ht="20.100000000000001" hidden="1" customHeight="1">
      <c r="B1399" s="77">
        <v>10</v>
      </c>
      <c r="C1399" s="78" t="s">
        <v>2311</v>
      </c>
      <c r="D1399" s="79" t="s">
        <v>2613</v>
      </c>
      <c r="E1399" s="80" t="s">
        <v>2614</v>
      </c>
      <c r="F1399" s="81">
        <v>6.38</v>
      </c>
      <c r="G1399" s="222">
        <v>312</v>
      </c>
      <c r="H1399" s="186"/>
      <c r="I1399" s="186"/>
      <c r="J1399" s="308"/>
      <c r="K1399" s="227">
        <v>12</v>
      </c>
      <c r="L1399" s="82">
        <f t="shared" si="607"/>
        <v>300</v>
      </c>
      <c r="M1399" s="331">
        <f>12+288</f>
        <v>300</v>
      </c>
      <c r="N1399" s="161">
        <f t="shared" si="609"/>
        <v>1914</v>
      </c>
      <c r="O1399" s="161">
        <f t="shared" si="610"/>
        <v>1914</v>
      </c>
      <c r="P1399" s="187">
        <f t="shared" si="611"/>
        <v>0</v>
      </c>
      <c r="Q1399" s="161">
        <f t="shared" si="612"/>
        <v>0</v>
      </c>
      <c r="R1399" s="232"/>
      <c r="S1399" s="86">
        <f t="shared" si="613"/>
        <v>288</v>
      </c>
      <c r="T1399" s="87">
        <f t="shared" si="608"/>
        <v>12</v>
      </c>
      <c r="Y1399">
        <v>288</v>
      </c>
    </row>
    <row r="1400" spans="2:25" ht="20.100000000000001" hidden="1" customHeight="1">
      <c r="B1400" s="77">
        <v>10</v>
      </c>
      <c r="C1400" s="78" t="s">
        <v>2311</v>
      </c>
      <c r="D1400" s="79" t="s">
        <v>2615</v>
      </c>
      <c r="E1400" s="80" t="s">
        <v>2616</v>
      </c>
      <c r="F1400" s="81">
        <v>37.5</v>
      </c>
      <c r="G1400" s="222">
        <v>17</v>
      </c>
      <c r="H1400" s="186"/>
      <c r="I1400" s="186"/>
      <c r="J1400" s="308"/>
      <c r="K1400" s="227"/>
      <c r="L1400" s="82">
        <f t="shared" si="607"/>
        <v>17</v>
      </c>
      <c r="M1400" s="331">
        <v>17</v>
      </c>
      <c r="N1400" s="161">
        <f t="shared" si="609"/>
        <v>637.5</v>
      </c>
      <c r="O1400" s="161">
        <f t="shared" si="610"/>
        <v>637.5</v>
      </c>
      <c r="P1400" s="187">
        <f t="shared" si="611"/>
        <v>0</v>
      </c>
      <c r="Q1400" s="161">
        <f t="shared" si="612"/>
        <v>0</v>
      </c>
      <c r="R1400" s="85"/>
      <c r="S1400" s="86">
        <f t="shared" si="613"/>
        <v>20</v>
      </c>
      <c r="T1400" s="87">
        <f t="shared" si="608"/>
        <v>-3</v>
      </c>
      <c r="Y1400">
        <v>20</v>
      </c>
    </row>
    <row r="1401" spans="2:25" ht="20.100000000000001" hidden="1" customHeight="1">
      <c r="B1401" s="77">
        <v>10</v>
      </c>
      <c r="C1401" s="78" t="s">
        <v>2311</v>
      </c>
      <c r="D1401" s="79" t="s">
        <v>2617</v>
      </c>
      <c r="E1401" s="80" t="s">
        <v>2618</v>
      </c>
      <c r="F1401" s="81">
        <v>27.25</v>
      </c>
      <c r="G1401" s="222">
        <v>57</v>
      </c>
      <c r="H1401" s="186"/>
      <c r="I1401" s="186"/>
      <c r="J1401" s="308"/>
      <c r="K1401" s="227"/>
      <c r="L1401" s="82">
        <f t="shared" si="607"/>
        <v>57</v>
      </c>
      <c r="M1401" s="331">
        <v>57</v>
      </c>
      <c r="N1401" s="161">
        <f t="shared" si="609"/>
        <v>1553.25</v>
      </c>
      <c r="O1401" s="161">
        <f t="shared" si="610"/>
        <v>1553.25</v>
      </c>
      <c r="P1401" s="187">
        <f t="shared" si="611"/>
        <v>0</v>
      </c>
      <c r="Q1401" s="161">
        <f t="shared" si="612"/>
        <v>0</v>
      </c>
      <c r="R1401" s="85"/>
      <c r="S1401" s="86">
        <f t="shared" si="613"/>
        <v>57</v>
      </c>
      <c r="T1401" s="87">
        <f t="shared" si="608"/>
        <v>0</v>
      </c>
      <c r="U1401">
        <v>57</v>
      </c>
    </row>
    <row r="1402" spans="2:25" ht="20.100000000000001" hidden="1" customHeight="1">
      <c r="B1402" s="77">
        <v>10</v>
      </c>
      <c r="C1402" s="78" t="s">
        <v>2311</v>
      </c>
      <c r="D1402" s="79" t="s">
        <v>2619</v>
      </c>
      <c r="E1402" s="80" t="s">
        <v>2620</v>
      </c>
      <c r="F1402" s="81">
        <v>60.95</v>
      </c>
      <c r="G1402" s="222"/>
      <c r="H1402" s="186"/>
      <c r="I1402" s="186"/>
      <c r="J1402" s="308"/>
      <c r="K1402" s="227"/>
      <c r="L1402" s="82">
        <f t="shared" si="607"/>
        <v>0</v>
      </c>
      <c r="M1402" s="331"/>
      <c r="N1402" s="161">
        <f t="shared" si="609"/>
        <v>0</v>
      </c>
      <c r="O1402" s="161">
        <f t="shared" si="610"/>
        <v>0</v>
      </c>
      <c r="P1402" s="187">
        <f t="shared" si="611"/>
        <v>0</v>
      </c>
      <c r="Q1402" s="161">
        <f t="shared" si="612"/>
        <v>0</v>
      </c>
      <c r="R1402" s="85"/>
      <c r="S1402" s="86">
        <f t="shared" si="613"/>
        <v>0</v>
      </c>
      <c r="T1402" s="87">
        <f t="shared" si="608"/>
        <v>0</v>
      </c>
    </row>
    <row r="1403" spans="2:25" ht="20.100000000000001" hidden="1" customHeight="1">
      <c r="B1403" s="77">
        <v>10</v>
      </c>
      <c r="C1403" s="78" t="s">
        <v>2311</v>
      </c>
      <c r="D1403" s="79" t="s">
        <v>2621</v>
      </c>
      <c r="E1403" s="80" t="s">
        <v>2622</v>
      </c>
      <c r="F1403" s="81">
        <v>154.75</v>
      </c>
      <c r="G1403" s="222"/>
      <c r="H1403" s="186"/>
      <c r="I1403" s="186"/>
      <c r="J1403" s="308"/>
      <c r="K1403" s="227"/>
      <c r="L1403" s="82">
        <f t="shared" si="607"/>
        <v>0</v>
      </c>
      <c r="M1403" s="331"/>
      <c r="N1403" s="161">
        <f t="shared" si="609"/>
        <v>0</v>
      </c>
      <c r="O1403" s="161">
        <f t="shared" si="610"/>
        <v>0</v>
      </c>
      <c r="P1403" s="187">
        <f t="shared" si="611"/>
        <v>0</v>
      </c>
      <c r="Q1403" s="161">
        <f t="shared" si="612"/>
        <v>0</v>
      </c>
      <c r="R1403" s="85"/>
      <c r="S1403" s="86">
        <f t="shared" si="613"/>
        <v>0</v>
      </c>
      <c r="T1403" s="87">
        <f t="shared" si="608"/>
        <v>0</v>
      </c>
    </row>
    <row r="1404" spans="2:25" ht="26.25" hidden="1" customHeight="1">
      <c r="B1404" s="77">
        <v>10</v>
      </c>
      <c r="C1404" s="78" t="s">
        <v>2311</v>
      </c>
      <c r="D1404" s="79" t="s">
        <v>2623</v>
      </c>
      <c r="E1404" s="80" t="s">
        <v>2624</v>
      </c>
      <c r="F1404" s="81">
        <v>265</v>
      </c>
      <c r="G1404" s="222">
        <v>6</v>
      </c>
      <c r="H1404" s="186"/>
      <c r="I1404" s="186"/>
      <c r="J1404" s="308"/>
      <c r="K1404" s="227">
        <v>1</v>
      </c>
      <c r="L1404" s="82">
        <f t="shared" si="607"/>
        <v>5</v>
      </c>
      <c r="M1404" s="331">
        <v>5</v>
      </c>
      <c r="N1404" s="161">
        <f t="shared" si="609"/>
        <v>1325</v>
      </c>
      <c r="O1404" s="161">
        <f t="shared" si="610"/>
        <v>1325</v>
      </c>
      <c r="P1404" s="187">
        <f t="shared" si="611"/>
        <v>0</v>
      </c>
      <c r="Q1404" s="161">
        <f t="shared" si="612"/>
        <v>0</v>
      </c>
      <c r="R1404" s="85"/>
      <c r="S1404" s="86">
        <f t="shared" si="613"/>
        <v>6</v>
      </c>
      <c r="T1404" s="87">
        <f t="shared" si="608"/>
        <v>-1</v>
      </c>
      <c r="U1404">
        <v>6</v>
      </c>
    </row>
    <row r="1405" spans="2:25" ht="20.100000000000001" hidden="1" customHeight="1">
      <c r="B1405" s="77">
        <v>10</v>
      </c>
      <c r="C1405" s="78" t="s">
        <v>2311</v>
      </c>
      <c r="D1405" s="79" t="s">
        <v>2625</v>
      </c>
      <c r="E1405" s="80" t="s">
        <v>2626</v>
      </c>
      <c r="F1405" s="81">
        <v>163.25</v>
      </c>
      <c r="G1405" s="222"/>
      <c r="H1405" s="186"/>
      <c r="I1405" s="186"/>
      <c r="J1405" s="308"/>
      <c r="K1405" s="227"/>
      <c r="L1405" s="82">
        <f t="shared" si="607"/>
        <v>0</v>
      </c>
      <c r="M1405" s="331"/>
      <c r="N1405" s="161">
        <f t="shared" si="609"/>
        <v>0</v>
      </c>
      <c r="O1405" s="161">
        <f t="shared" si="610"/>
        <v>0</v>
      </c>
      <c r="P1405" s="187">
        <f t="shared" si="611"/>
        <v>0</v>
      </c>
      <c r="Q1405" s="161">
        <f t="shared" si="612"/>
        <v>0</v>
      </c>
      <c r="R1405" s="85"/>
      <c r="S1405" s="86">
        <f t="shared" si="613"/>
        <v>1</v>
      </c>
      <c r="T1405" s="87">
        <f t="shared" si="608"/>
        <v>-1</v>
      </c>
      <c r="U1405">
        <v>1</v>
      </c>
    </row>
    <row r="1406" spans="2:25" ht="20.100000000000001" hidden="1" customHeight="1">
      <c r="B1406" s="77">
        <v>10</v>
      </c>
      <c r="C1406" s="78" t="s">
        <v>2311</v>
      </c>
      <c r="D1406" s="79" t="s">
        <v>2627</v>
      </c>
      <c r="E1406" s="80" t="s">
        <v>2628</v>
      </c>
      <c r="F1406" s="81">
        <v>276.95</v>
      </c>
      <c r="G1406" s="222">
        <v>6</v>
      </c>
      <c r="H1406" s="186"/>
      <c r="I1406" s="186"/>
      <c r="J1406" s="308"/>
      <c r="K1406" s="227"/>
      <c r="L1406" s="82">
        <f t="shared" si="607"/>
        <v>6</v>
      </c>
      <c r="M1406" s="331">
        <f>5+1</f>
        <v>6</v>
      </c>
      <c r="N1406" s="161">
        <f t="shared" si="609"/>
        <v>1661.6999999999998</v>
      </c>
      <c r="O1406" s="161">
        <f t="shared" si="610"/>
        <v>1661.6999999999998</v>
      </c>
      <c r="P1406" s="187">
        <f t="shared" si="611"/>
        <v>0</v>
      </c>
      <c r="Q1406" s="161">
        <f t="shared" si="612"/>
        <v>0</v>
      </c>
      <c r="R1406" s="85"/>
      <c r="S1406" s="86">
        <f t="shared" si="613"/>
        <v>6</v>
      </c>
      <c r="T1406" s="87">
        <f t="shared" si="608"/>
        <v>0</v>
      </c>
      <c r="U1406">
        <v>6</v>
      </c>
    </row>
    <row r="1407" spans="2:25" ht="20.100000000000001" hidden="1" customHeight="1">
      <c r="B1407" s="77">
        <v>10</v>
      </c>
      <c r="C1407" s="78" t="s">
        <v>2311</v>
      </c>
      <c r="D1407" s="79" t="s">
        <v>2629</v>
      </c>
      <c r="E1407" s="80" t="s">
        <v>2630</v>
      </c>
      <c r="F1407" s="81">
        <v>13.17</v>
      </c>
      <c r="G1407" s="222"/>
      <c r="H1407" s="186"/>
      <c r="I1407" s="186"/>
      <c r="J1407" s="308"/>
      <c r="K1407" s="227"/>
      <c r="L1407" s="82">
        <f t="shared" si="607"/>
        <v>0</v>
      </c>
      <c r="M1407" s="331"/>
      <c r="N1407" s="161">
        <f t="shared" si="609"/>
        <v>0</v>
      </c>
      <c r="O1407" s="161">
        <f t="shared" si="610"/>
        <v>0</v>
      </c>
      <c r="P1407" s="187">
        <f t="shared" si="611"/>
        <v>0</v>
      </c>
      <c r="Q1407" s="161">
        <f t="shared" si="612"/>
        <v>0</v>
      </c>
      <c r="R1407" s="85"/>
      <c r="S1407" s="86">
        <f t="shared" si="613"/>
        <v>0</v>
      </c>
      <c r="T1407" s="87">
        <f t="shared" si="608"/>
        <v>0</v>
      </c>
    </row>
    <row r="1408" spans="2:25" ht="20.100000000000001" hidden="1" customHeight="1">
      <c r="B1408" s="77">
        <v>10</v>
      </c>
      <c r="C1408" s="78" t="s">
        <v>2311</v>
      </c>
      <c r="D1408" s="79" t="s">
        <v>2631</v>
      </c>
      <c r="E1408" s="80" t="s">
        <v>2632</v>
      </c>
      <c r="F1408" s="81">
        <v>13.96</v>
      </c>
      <c r="G1408" s="222"/>
      <c r="H1408" s="186"/>
      <c r="I1408" s="186"/>
      <c r="J1408" s="308"/>
      <c r="K1408" s="227"/>
      <c r="L1408" s="82">
        <f t="shared" si="607"/>
        <v>0</v>
      </c>
      <c r="M1408" s="331"/>
      <c r="N1408" s="161">
        <f t="shared" si="609"/>
        <v>0</v>
      </c>
      <c r="O1408" s="161">
        <f t="shared" si="610"/>
        <v>0</v>
      </c>
      <c r="P1408" s="187">
        <f t="shared" si="611"/>
        <v>0</v>
      </c>
      <c r="Q1408" s="161">
        <f t="shared" si="612"/>
        <v>0</v>
      </c>
      <c r="R1408" s="85"/>
      <c r="S1408" s="86">
        <f t="shared" si="613"/>
        <v>0</v>
      </c>
      <c r="T1408" s="87">
        <f t="shared" si="608"/>
        <v>0</v>
      </c>
    </row>
    <row r="1409" spans="2:31" ht="20.100000000000001" hidden="1" customHeight="1">
      <c r="B1409" s="77">
        <v>10</v>
      </c>
      <c r="C1409" s="78" t="s">
        <v>2311</v>
      </c>
      <c r="D1409" s="79" t="s">
        <v>2633</v>
      </c>
      <c r="E1409" s="80" t="s">
        <v>2634</v>
      </c>
      <c r="F1409" s="81">
        <v>14.43</v>
      </c>
      <c r="G1409" s="222">
        <v>154</v>
      </c>
      <c r="H1409" s="186"/>
      <c r="I1409" s="186"/>
      <c r="J1409" s="308"/>
      <c r="K1409" s="227">
        <v>5</v>
      </c>
      <c r="L1409" s="82">
        <f t="shared" ref="L1409" si="614">G1409+I1409-J1409-K1409+H1409</f>
        <v>149</v>
      </c>
      <c r="M1409" s="331">
        <v>149</v>
      </c>
      <c r="N1409" s="161">
        <f t="shared" ref="N1409" si="615">F1409*L1409</f>
        <v>2150.0700000000002</v>
      </c>
      <c r="O1409" s="161">
        <f t="shared" ref="O1409" si="616">M1409*F1409</f>
        <v>2150.0700000000002</v>
      </c>
      <c r="P1409" s="187">
        <f t="shared" ref="P1409" si="617">L1409-M1409</f>
        <v>0</v>
      </c>
      <c r="Q1409" s="161">
        <f t="shared" ref="Q1409" si="618">N1409-O1409</f>
        <v>0</v>
      </c>
      <c r="R1409" s="85"/>
      <c r="S1409" s="86">
        <f t="shared" ref="S1409" si="619">U1409+Y1409+W1409+AA1409</f>
        <v>161</v>
      </c>
      <c r="T1409" s="87">
        <f t="shared" ref="T1409" si="620">M1409-S1409</f>
        <v>-12</v>
      </c>
      <c r="U1409">
        <v>161</v>
      </c>
    </row>
    <row r="1410" spans="2:31" ht="20.100000000000001" hidden="1" customHeight="1">
      <c r="B1410" s="77">
        <v>10</v>
      </c>
      <c r="C1410" s="78" t="s">
        <v>2311</v>
      </c>
      <c r="D1410" s="79" t="s">
        <v>2633</v>
      </c>
      <c r="E1410" s="80" t="s">
        <v>2634</v>
      </c>
      <c r="F1410" s="277">
        <v>14.9185</v>
      </c>
      <c r="G1410" s="222"/>
      <c r="H1410" s="186"/>
      <c r="I1410" s="186">
        <v>6</v>
      </c>
      <c r="J1410" s="308"/>
      <c r="K1410" s="227"/>
      <c r="L1410" s="82">
        <f t="shared" si="607"/>
        <v>6</v>
      </c>
      <c r="M1410" s="331">
        <v>6</v>
      </c>
      <c r="N1410" s="161">
        <f t="shared" si="609"/>
        <v>89.510999999999996</v>
      </c>
      <c r="O1410" s="161">
        <f t="shared" si="610"/>
        <v>89.510999999999996</v>
      </c>
      <c r="P1410" s="187">
        <f t="shared" si="611"/>
        <v>0</v>
      </c>
      <c r="Q1410" s="161">
        <f t="shared" si="612"/>
        <v>0</v>
      </c>
      <c r="R1410" s="85"/>
      <c r="S1410" s="86">
        <f t="shared" si="613"/>
        <v>161</v>
      </c>
      <c r="T1410" s="87">
        <f t="shared" si="608"/>
        <v>-155</v>
      </c>
      <c r="U1410">
        <v>161</v>
      </c>
    </row>
    <row r="1411" spans="2:31" ht="20.100000000000001" hidden="1" customHeight="1">
      <c r="B1411" s="77">
        <v>10</v>
      </c>
      <c r="C1411" s="78" t="s">
        <v>2311</v>
      </c>
      <c r="D1411" s="79" t="s">
        <v>2635</v>
      </c>
      <c r="E1411" s="80" t="s">
        <v>2636</v>
      </c>
      <c r="F1411" s="277">
        <v>14.92</v>
      </c>
      <c r="G1411" s="222"/>
      <c r="H1411" s="186"/>
      <c r="I1411" s="186">
        <v>6</v>
      </c>
      <c r="J1411" s="308"/>
      <c r="K1411" s="227"/>
      <c r="L1411" s="82">
        <f t="shared" si="607"/>
        <v>6</v>
      </c>
      <c r="M1411" s="331">
        <v>6</v>
      </c>
      <c r="N1411" s="161">
        <f t="shared" si="609"/>
        <v>89.52</v>
      </c>
      <c r="O1411" s="161">
        <f t="shared" si="610"/>
        <v>89.52</v>
      </c>
      <c r="P1411" s="187">
        <f t="shared" si="611"/>
        <v>0</v>
      </c>
      <c r="Q1411" s="161">
        <f t="shared" si="612"/>
        <v>0</v>
      </c>
      <c r="R1411" s="232"/>
      <c r="S1411" s="86">
        <f t="shared" si="613"/>
        <v>1</v>
      </c>
      <c r="T1411" s="87">
        <f t="shared" si="608"/>
        <v>5</v>
      </c>
      <c r="U1411">
        <v>1</v>
      </c>
    </row>
    <row r="1412" spans="2:31" ht="20.100000000000001" hidden="1" customHeight="1">
      <c r="B1412" s="77">
        <v>10</v>
      </c>
      <c r="C1412" s="78" t="s">
        <v>2311</v>
      </c>
      <c r="D1412" s="79" t="s">
        <v>2637</v>
      </c>
      <c r="E1412" s="80" t="s">
        <v>2638</v>
      </c>
      <c r="F1412" s="81">
        <v>11.29</v>
      </c>
      <c r="G1412" s="222">
        <v>18</v>
      </c>
      <c r="H1412" s="186"/>
      <c r="I1412" s="186"/>
      <c r="J1412" s="308"/>
      <c r="K1412" s="227"/>
      <c r="L1412" s="82">
        <f t="shared" si="607"/>
        <v>18</v>
      </c>
      <c r="M1412" s="331">
        <v>18</v>
      </c>
      <c r="N1412" s="161">
        <f t="shared" si="609"/>
        <v>203.21999999999997</v>
      </c>
      <c r="O1412" s="161">
        <f t="shared" si="610"/>
        <v>203.21999999999997</v>
      </c>
      <c r="P1412" s="187">
        <f t="shared" si="611"/>
        <v>0</v>
      </c>
      <c r="Q1412" s="161">
        <f t="shared" si="612"/>
        <v>0</v>
      </c>
      <c r="R1412" s="85"/>
      <c r="S1412" s="86">
        <f t="shared" si="613"/>
        <v>36</v>
      </c>
      <c r="T1412" s="87">
        <f t="shared" si="608"/>
        <v>-18</v>
      </c>
      <c r="U1412">
        <v>36</v>
      </c>
    </row>
    <row r="1413" spans="2:31" ht="20.100000000000001" hidden="1" customHeight="1">
      <c r="B1413" s="77">
        <v>10</v>
      </c>
      <c r="C1413" s="78" t="s">
        <v>2311</v>
      </c>
      <c r="D1413" s="79" t="s">
        <v>2639</v>
      </c>
      <c r="E1413" s="80" t="s">
        <v>2640</v>
      </c>
      <c r="F1413" s="81">
        <v>27</v>
      </c>
      <c r="G1413" s="222">
        <v>4</v>
      </c>
      <c r="H1413" s="186"/>
      <c r="I1413" s="186"/>
      <c r="J1413" s="308"/>
      <c r="K1413" s="227"/>
      <c r="L1413" s="82">
        <f t="shared" si="607"/>
        <v>4</v>
      </c>
      <c r="M1413" s="331">
        <v>4</v>
      </c>
      <c r="N1413" s="161">
        <f t="shared" si="609"/>
        <v>108</v>
      </c>
      <c r="O1413" s="161">
        <f t="shared" si="610"/>
        <v>108</v>
      </c>
      <c r="P1413" s="187">
        <f t="shared" si="611"/>
        <v>0</v>
      </c>
      <c r="Q1413" s="161">
        <f t="shared" si="612"/>
        <v>0</v>
      </c>
      <c r="R1413" s="85"/>
      <c r="S1413" s="86">
        <f t="shared" si="613"/>
        <v>0</v>
      </c>
      <c r="T1413" s="87">
        <f t="shared" si="608"/>
        <v>4</v>
      </c>
    </row>
    <row r="1414" spans="2:31" ht="20.100000000000001" hidden="1" customHeight="1">
      <c r="B1414" s="77">
        <v>10</v>
      </c>
      <c r="C1414" s="78" t="s">
        <v>2311</v>
      </c>
      <c r="D1414" s="79" t="s">
        <v>2641</v>
      </c>
      <c r="E1414" s="80" t="s">
        <v>2642</v>
      </c>
      <c r="F1414" s="81">
        <v>35.619999999999997</v>
      </c>
      <c r="G1414" s="222">
        <v>9</v>
      </c>
      <c r="H1414" s="186"/>
      <c r="I1414" s="186"/>
      <c r="J1414" s="308"/>
      <c r="K1414" s="227"/>
      <c r="L1414" s="82">
        <f t="shared" si="607"/>
        <v>9</v>
      </c>
      <c r="M1414" s="331">
        <v>9</v>
      </c>
      <c r="N1414" s="161">
        <f t="shared" si="609"/>
        <v>320.58</v>
      </c>
      <c r="O1414" s="161">
        <f t="shared" si="610"/>
        <v>320.58</v>
      </c>
      <c r="P1414" s="187">
        <f t="shared" si="611"/>
        <v>0</v>
      </c>
      <c r="Q1414" s="161">
        <f t="shared" si="612"/>
        <v>0</v>
      </c>
      <c r="R1414" s="85"/>
      <c r="S1414" s="86">
        <f t="shared" si="613"/>
        <v>9</v>
      </c>
      <c r="T1414" s="87">
        <f t="shared" si="608"/>
        <v>0</v>
      </c>
      <c r="U1414">
        <v>9</v>
      </c>
    </row>
    <row r="1415" spans="2:31" ht="20.100000000000001" hidden="1" customHeight="1">
      <c r="B1415" s="77">
        <v>10</v>
      </c>
      <c r="C1415" s="78" t="s">
        <v>2311</v>
      </c>
      <c r="D1415" s="79" t="s">
        <v>2643</v>
      </c>
      <c r="E1415" s="80" t="s">
        <v>2644</v>
      </c>
      <c r="F1415" s="81">
        <v>200</v>
      </c>
      <c r="G1415" s="222">
        <v>1</v>
      </c>
      <c r="H1415" s="186"/>
      <c r="I1415" s="186"/>
      <c r="J1415" s="308"/>
      <c r="K1415" s="227"/>
      <c r="L1415" s="82">
        <f t="shared" si="607"/>
        <v>1</v>
      </c>
      <c r="M1415" s="331">
        <v>1</v>
      </c>
      <c r="N1415" s="161">
        <f t="shared" si="609"/>
        <v>200</v>
      </c>
      <c r="O1415" s="161">
        <f t="shared" si="610"/>
        <v>200</v>
      </c>
      <c r="P1415" s="187">
        <f t="shared" si="611"/>
        <v>0</v>
      </c>
      <c r="Q1415" s="161">
        <f t="shared" si="612"/>
        <v>0</v>
      </c>
      <c r="R1415" s="85"/>
      <c r="S1415" s="86">
        <f t="shared" si="613"/>
        <v>1</v>
      </c>
      <c r="T1415" s="87">
        <f t="shared" si="608"/>
        <v>0</v>
      </c>
      <c r="Y1415">
        <v>1</v>
      </c>
      <c r="Z1415" s="88" t="s">
        <v>2645</v>
      </c>
      <c r="AD1415">
        <f>Y1415</f>
        <v>1</v>
      </c>
      <c r="AE1415" s="89">
        <f>AD1415*F1415</f>
        <v>200</v>
      </c>
    </row>
    <row r="1416" spans="2:31" ht="20.100000000000001" hidden="1" customHeight="1">
      <c r="B1416" s="77">
        <v>10</v>
      </c>
      <c r="C1416" s="78" t="s">
        <v>2311</v>
      </c>
      <c r="D1416" s="79" t="s">
        <v>2646</v>
      </c>
      <c r="E1416" s="80" t="s">
        <v>2647</v>
      </c>
      <c r="F1416" s="277">
        <v>166.145833333333</v>
      </c>
      <c r="G1416" s="222"/>
      <c r="H1416" s="186"/>
      <c r="I1416" s="186">
        <v>48</v>
      </c>
      <c r="J1416" s="308"/>
      <c r="K1416" s="227"/>
      <c r="L1416" s="82">
        <f t="shared" si="607"/>
        <v>48</v>
      </c>
      <c r="M1416" s="331">
        <v>48</v>
      </c>
      <c r="N1416" s="161">
        <f t="shared" si="609"/>
        <v>7974.9999999999836</v>
      </c>
      <c r="O1416" s="161">
        <f t="shared" si="610"/>
        <v>7974.9999999999836</v>
      </c>
      <c r="P1416" s="187">
        <f t="shared" si="611"/>
        <v>0</v>
      </c>
      <c r="Q1416" s="161">
        <f t="shared" si="612"/>
        <v>0</v>
      </c>
      <c r="R1416" s="85"/>
      <c r="S1416" s="86">
        <f t="shared" si="613"/>
        <v>20</v>
      </c>
      <c r="T1416" s="87">
        <f t="shared" si="608"/>
        <v>28</v>
      </c>
      <c r="U1416">
        <v>2</v>
      </c>
      <c r="Y1416">
        <v>18</v>
      </c>
    </row>
    <row r="1417" spans="2:31" ht="20.100000000000001" customHeight="1">
      <c r="B1417" s="77">
        <v>10</v>
      </c>
      <c r="C1417" s="78" t="s">
        <v>2311</v>
      </c>
      <c r="D1417" s="79" t="s">
        <v>2648</v>
      </c>
      <c r="E1417" s="80" t="s">
        <v>2649</v>
      </c>
      <c r="F1417" s="317">
        <v>18.98</v>
      </c>
      <c r="G1417" s="222">
        <v>50</v>
      </c>
      <c r="H1417" s="186"/>
      <c r="I1417" s="186"/>
      <c r="J1417" s="308"/>
      <c r="K1417" s="227">
        <v>5</v>
      </c>
      <c r="L1417" s="82">
        <f t="shared" si="607"/>
        <v>45</v>
      </c>
      <c r="M1417" s="331">
        <v>44</v>
      </c>
      <c r="N1417" s="161">
        <f t="shared" si="609"/>
        <v>854.1</v>
      </c>
      <c r="O1417" s="161">
        <f t="shared" si="610"/>
        <v>835.12</v>
      </c>
      <c r="P1417" s="187">
        <f t="shared" si="611"/>
        <v>1</v>
      </c>
      <c r="Q1417" s="161">
        <f t="shared" si="612"/>
        <v>18.980000000000018</v>
      </c>
      <c r="R1417" s="232"/>
      <c r="S1417" s="86">
        <f t="shared" si="613"/>
        <v>59</v>
      </c>
      <c r="T1417" s="87">
        <f t="shared" si="608"/>
        <v>-15</v>
      </c>
      <c r="U1417">
        <f>23+36</f>
        <v>59</v>
      </c>
    </row>
    <row r="1418" spans="2:31" ht="20.100000000000001" hidden="1" customHeight="1">
      <c r="B1418" s="77">
        <v>10</v>
      </c>
      <c r="C1418" s="78" t="s">
        <v>2311</v>
      </c>
      <c r="D1418" s="79" t="s">
        <v>2650</v>
      </c>
      <c r="E1418" s="80" t="s">
        <v>2651</v>
      </c>
      <c r="F1418" s="81">
        <v>5.47</v>
      </c>
      <c r="G1418" s="222">
        <v>168</v>
      </c>
      <c r="H1418" s="186"/>
      <c r="I1418" s="186"/>
      <c r="J1418" s="308"/>
      <c r="K1418" s="227"/>
      <c r="L1418" s="82">
        <f t="shared" si="607"/>
        <v>168</v>
      </c>
      <c r="M1418" s="331">
        <v>168</v>
      </c>
      <c r="N1418" s="161">
        <f t="shared" si="609"/>
        <v>918.95999999999992</v>
      </c>
      <c r="O1418" s="161">
        <f t="shared" si="610"/>
        <v>918.95999999999992</v>
      </c>
      <c r="P1418" s="187">
        <f t="shared" si="611"/>
        <v>0</v>
      </c>
      <c r="Q1418" s="161">
        <f t="shared" si="612"/>
        <v>0</v>
      </c>
      <c r="R1418" s="85"/>
      <c r="S1418" s="86">
        <f t="shared" si="613"/>
        <v>159</v>
      </c>
      <c r="T1418" s="87">
        <f t="shared" si="608"/>
        <v>9</v>
      </c>
      <c r="U1418">
        <v>75</v>
      </c>
      <c r="Y1418">
        <v>84</v>
      </c>
    </row>
    <row r="1419" spans="2:31" ht="20.100000000000001" hidden="1" customHeight="1">
      <c r="B1419" s="77">
        <v>10</v>
      </c>
      <c r="C1419" s="78" t="s">
        <v>2311</v>
      </c>
      <c r="D1419" s="79" t="s">
        <v>2652</v>
      </c>
      <c r="E1419" s="80" t="s">
        <v>2653</v>
      </c>
      <c r="F1419" s="81">
        <v>5.67</v>
      </c>
      <c r="G1419" s="222">
        <v>372</v>
      </c>
      <c r="H1419" s="186"/>
      <c r="I1419" s="186"/>
      <c r="J1419" s="308"/>
      <c r="K1419" s="227"/>
      <c r="L1419" s="82">
        <f t="shared" si="607"/>
        <v>372</v>
      </c>
      <c r="M1419" s="331">
        <v>372</v>
      </c>
      <c r="N1419" s="161">
        <f t="shared" si="609"/>
        <v>2109.2399999999998</v>
      </c>
      <c r="O1419" s="161">
        <f t="shared" si="610"/>
        <v>2109.2399999999998</v>
      </c>
      <c r="P1419" s="187">
        <f t="shared" si="611"/>
        <v>0</v>
      </c>
      <c r="Q1419" s="161">
        <f t="shared" si="612"/>
        <v>0</v>
      </c>
      <c r="R1419" s="85"/>
      <c r="S1419" s="86">
        <f t="shared" si="613"/>
        <v>373</v>
      </c>
      <c r="T1419" s="87">
        <f t="shared" si="608"/>
        <v>-1</v>
      </c>
      <c r="U1419">
        <f>4+3+162</f>
        <v>169</v>
      </c>
      <c r="Y1419">
        <v>204</v>
      </c>
    </row>
    <row r="1420" spans="2:31" ht="20.100000000000001" hidden="1" customHeight="1">
      <c r="B1420" s="77">
        <v>10</v>
      </c>
      <c r="C1420" s="78" t="s">
        <v>2311</v>
      </c>
      <c r="D1420" s="79" t="s">
        <v>2654</v>
      </c>
      <c r="E1420" s="80" t="s">
        <v>2655</v>
      </c>
      <c r="F1420" s="81">
        <v>5.67</v>
      </c>
      <c r="G1420" s="222">
        <v>1</v>
      </c>
      <c r="H1420" s="186"/>
      <c r="I1420" s="186"/>
      <c r="J1420" s="308"/>
      <c r="K1420" s="227"/>
      <c r="L1420" s="82">
        <f t="shared" si="607"/>
        <v>1</v>
      </c>
      <c r="M1420" s="331">
        <v>1</v>
      </c>
      <c r="N1420" s="161">
        <f t="shared" si="609"/>
        <v>5.67</v>
      </c>
      <c r="O1420" s="161">
        <f t="shared" si="610"/>
        <v>5.67</v>
      </c>
      <c r="P1420" s="187">
        <f t="shared" si="611"/>
        <v>0</v>
      </c>
      <c r="Q1420" s="161">
        <f t="shared" si="612"/>
        <v>0</v>
      </c>
      <c r="R1420" s="85"/>
      <c r="S1420" s="86">
        <f t="shared" si="613"/>
        <v>1</v>
      </c>
      <c r="T1420" s="87">
        <f t="shared" si="608"/>
        <v>0</v>
      </c>
      <c r="U1420">
        <v>1</v>
      </c>
    </row>
    <row r="1421" spans="2:31" ht="20.100000000000001" hidden="1" customHeight="1">
      <c r="B1421" s="77">
        <v>10</v>
      </c>
      <c r="C1421" s="78" t="s">
        <v>2311</v>
      </c>
      <c r="D1421" s="79" t="s">
        <v>2656</v>
      </c>
      <c r="E1421" s="80" t="s">
        <v>2657</v>
      </c>
      <c r="F1421" s="81">
        <v>5</v>
      </c>
      <c r="G1421" s="222">
        <v>130</v>
      </c>
      <c r="H1421" s="186"/>
      <c r="I1421" s="186"/>
      <c r="J1421" s="308"/>
      <c r="K1421" s="227"/>
      <c r="L1421" s="82">
        <f t="shared" si="607"/>
        <v>130</v>
      </c>
      <c r="M1421" s="331">
        <v>130</v>
      </c>
      <c r="N1421" s="161">
        <f t="shared" si="609"/>
        <v>650</v>
      </c>
      <c r="O1421" s="161">
        <f t="shared" si="610"/>
        <v>650</v>
      </c>
      <c r="P1421" s="187">
        <f t="shared" si="611"/>
        <v>0</v>
      </c>
      <c r="Q1421" s="161">
        <f t="shared" si="612"/>
        <v>0</v>
      </c>
      <c r="R1421" s="85"/>
      <c r="S1421" s="86">
        <f t="shared" si="613"/>
        <v>130</v>
      </c>
      <c r="T1421" s="87">
        <f t="shared" si="608"/>
        <v>0</v>
      </c>
      <c r="U1421">
        <f>48+4</f>
        <v>52</v>
      </c>
      <c r="Y1421">
        <v>78</v>
      </c>
    </row>
    <row r="1422" spans="2:31" ht="20.100000000000001" hidden="1" customHeight="1">
      <c r="B1422" s="77">
        <v>10</v>
      </c>
      <c r="C1422" s="78" t="s">
        <v>2311</v>
      </c>
      <c r="D1422" s="79" t="s">
        <v>2658</v>
      </c>
      <c r="E1422" s="80" t="s">
        <v>2659</v>
      </c>
      <c r="F1422" s="81">
        <v>4.54</v>
      </c>
      <c r="G1422" s="222"/>
      <c r="H1422" s="186"/>
      <c r="I1422" s="186"/>
      <c r="J1422" s="308"/>
      <c r="K1422" s="227"/>
      <c r="L1422" s="82">
        <f t="shared" si="607"/>
        <v>0</v>
      </c>
      <c r="M1422" s="331"/>
      <c r="N1422" s="161">
        <f t="shared" si="609"/>
        <v>0</v>
      </c>
      <c r="O1422" s="161">
        <f t="shared" si="610"/>
        <v>0</v>
      </c>
      <c r="P1422" s="187">
        <f t="shared" si="611"/>
        <v>0</v>
      </c>
      <c r="Q1422" s="161">
        <f t="shared" si="612"/>
        <v>0</v>
      </c>
      <c r="R1422" s="85"/>
      <c r="S1422" s="86">
        <f t="shared" si="613"/>
        <v>0</v>
      </c>
      <c r="T1422" s="87">
        <f t="shared" si="608"/>
        <v>0</v>
      </c>
    </row>
    <row r="1423" spans="2:31" ht="20.100000000000001" hidden="1" customHeight="1">
      <c r="B1423" s="77">
        <v>10</v>
      </c>
      <c r="C1423" s="78" t="s">
        <v>2311</v>
      </c>
      <c r="D1423" s="79" t="s">
        <v>2660</v>
      </c>
      <c r="E1423" s="80" t="s">
        <v>2661</v>
      </c>
      <c r="F1423" s="81">
        <v>5</v>
      </c>
      <c r="G1423" s="222">
        <v>8</v>
      </c>
      <c r="H1423" s="186"/>
      <c r="I1423" s="186"/>
      <c r="J1423" s="308"/>
      <c r="K1423" s="227"/>
      <c r="L1423" s="82">
        <f t="shared" si="607"/>
        <v>8</v>
      </c>
      <c r="M1423" s="331">
        <v>8</v>
      </c>
      <c r="N1423" s="161">
        <f t="shared" si="609"/>
        <v>40</v>
      </c>
      <c r="O1423" s="161">
        <f t="shared" si="610"/>
        <v>40</v>
      </c>
      <c r="P1423" s="187">
        <f t="shared" si="611"/>
        <v>0</v>
      </c>
      <c r="Q1423" s="161">
        <f t="shared" si="612"/>
        <v>0</v>
      </c>
      <c r="R1423" s="85"/>
      <c r="S1423" s="86">
        <f t="shared" si="613"/>
        <v>10</v>
      </c>
      <c r="T1423" s="87">
        <f t="shared" si="608"/>
        <v>-2</v>
      </c>
      <c r="U1423">
        <v>5</v>
      </c>
      <c r="Y1423">
        <v>5</v>
      </c>
    </row>
    <row r="1424" spans="2:31" ht="20.100000000000001" hidden="1" customHeight="1">
      <c r="B1424" s="77">
        <v>10</v>
      </c>
      <c r="C1424" s="78" t="s">
        <v>2311</v>
      </c>
      <c r="D1424" s="79" t="s">
        <v>2662</v>
      </c>
      <c r="E1424" s="80" t="s">
        <v>2663</v>
      </c>
      <c r="F1424" s="81">
        <v>5</v>
      </c>
      <c r="G1424" s="222">
        <v>12</v>
      </c>
      <c r="H1424" s="186"/>
      <c r="I1424" s="186"/>
      <c r="J1424" s="308"/>
      <c r="K1424" s="227"/>
      <c r="L1424" s="82">
        <f t="shared" si="607"/>
        <v>12</v>
      </c>
      <c r="M1424" s="331">
        <v>12</v>
      </c>
      <c r="N1424" s="161">
        <f t="shared" si="609"/>
        <v>60</v>
      </c>
      <c r="O1424" s="161">
        <f t="shared" si="610"/>
        <v>60</v>
      </c>
      <c r="P1424" s="187">
        <f t="shared" si="611"/>
        <v>0</v>
      </c>
      <c r="Q1424" s="161">
        <f t="shared" si="612"/>
        <v>0</v>
      </c>
      <c r="R1424" s="85"/>
      <c r="S1424" s="86">
        <f t="shared" si="613"/>
        <v>12</v>
      </c>
      <c r="T1424" s="87">
        <f t="shared" si="608"/>
        <v>0</v>
      </c>
      <c r="U1424">
        <v>6</v>
      </c>
      <c r="Y1424">
        <v>6</v>
      </c>
    </row>
    <row r="1425" spans="2:31" ht="20.100000000000001" hidden="1" customHeight="1">
      <c r="B1425" s="77">
        <v>10</v>
      </c>
      <c r="C1425" s="78" t="s">
        <v>2311</v>
      </c>
      <c r="D1425" s="79" t="s">
        <v>2664</v>
      </c>
      <c r="E1425" s="80" t="s">
        <v>2665</v>
      </c>
      <c r="F1425" s="81">
        <v>43</v>
      </c>
      <c r="G1425" s="222">
        <v>2</v>
      </c>
      <c r="H1425" s="186"/>
      <c r="I1425" s="186"/>
      <c r="J1425" s="308"/>
      <c r="K1425" s="227"/>
      <c r="L1425" s="82">
        <f t="shared" si="607"/>
        <v>2</v>
      </c>
      <c r="M1425" s="331">
        <v>2</v>
      </c>
      <c r="N1425" s="161">
        <f t="shared" si="609"/>
        <v>86</v>
      </c>
      <c r="O1425" s="161">
        <f t="shared" si="610"/>
        <v>86</v>
      </c>
      <c r="P1425" s="187">
        <f t="shared" si="611"/>
        <v>0</v>
      </c>
      <c r="Q1425" s="161">
        <f t="shared" si="612"/>
        <v>0</v>
      </c>
      <c r="R1425" s="85"/>
      <c r="S1425" s="86">
        <f t="shared" si="613"/>
        <v>2</v>
      </c>
      <c r="T1425" s="87">
        <f t="shared" si="608"/>
        <v>0</v>
      </c>
      <c r="U1425">
        <v>2</v>
      </c>
    </row>
    <row r="1426" spans="2:31" ht="20.100000000000001" hidden="1" customHeight="1">
      <c r="B1426" s="77">
        <v>10</v>
      </c>
      <c r="C1426" s="78" t="s">
        <v>2311</v>
      </c>
      <c r="D1426" s="79" t="s">
        <v>2666</v>
      </c>
      <c r="E1426" s="80" t="s">
        <v>2667</v>
      </c>
      <c r="F1426" s="81">
        <v>7.59</v>
      </c>
      <c r="G1426" s="222">
        <v>72</v>
      </c>
      <c r="H1426" s="186"/>
      <c r="I1426" s="186"/>
      <c r="J1426" s="308"/>
      <c r="K1426" s="227"/>
      <c r="L1426" s="82">
        <f t="shared" si="607"/>
        <v>72</v>
      </c>
      <c r="M1426" s="331">
        <v>72</v>
      </c>
      <c r="N1426" s="161">
        <f t="shared" si="609"/>
        <v>546.48</v>
      </c>
      <c r="O1426" s="161">
        <f t="shared" si="610"/>
        <v>546.48</v>
      </c>
      <c r="P1426" s="187">
        <f t="shared" si="611"/>
        <v>0</v>
      </c>
      <c r="Q1426" s="161">
        <f t="shared" si="612"/>
        <v>0</v>
      </c>
      <c r="R1426" s="232"/>
      <c r="S1426" s="86">
        <f t="shared" si="613"/>
        <v>72</v>
      </c>
      <c r="T1426" s="87">
        <f t="shared" si="608"/>
        <v>0</v>
      </c>
      <c r="U1426">
        <v>72</v>
      </c>
    </row>
    <row r="1427" spans="2:31" ht="20.100000000000001" hidden="1" customHeight="1">
      <c r="B1427" s="77">
        <v>10</v>
      </c>
      <c r="C1427" s="78" t="s">
        <v>2311</v>
      </c>
      <c r="D1427" s="79" t="s">
        <v>2668</v>
      </c>
      <c r="E1427" s="80" t="s">
        <v>2669</v>
      </c>
      <c r="F1427" s="81">
        <v>39.880000000000003</v>
      </c>
      <c r="G1427" s="222">
        <v>10</v>
      </c>
      <c r="H1427" s="186"/>
      <c r="I1427" s="186"/>
      <c r="J1427" s="308"/>
      <c r="K1427" s="227">
        <v>3</v>
      </c>
      <c r="L1427" s="82">
        <f t="shared" ref="L1427" si="621">G1427+I1427-J1427-K1427+H1427</f>
        <v>7</v>
      </c>
      <c r="M1427" s="331">
        <v>7</v>
      </c>
      <c r="N1427" s="161">
        <f t="shared" ref="N1427" si="622">F1427*L1427</f>
        <v>279.16000000000003</v>
      </c>
      <c r="O1427" s="161">
        <f t="shared" ref="O1427" si="623">M1427*F1427</f>
        <v>279.16000000000003</v>
      </c>
      <c r="P1427" s="187">
        <f t="shared" ref="P1427" si="624">L1427-M1427</f>
        <v>0</v>
      </c>
      <c r="Q1427" s="161">
        <f t="shared" ref="Q1427" si="625">N1427-O1427</f>
        <v>0</v>
      </c>
      <c r="R1427" s="232"/>
      <c r="S1427" s="86">
        <f t="shared" ref="S1427" si="626">U1427+Y1427+W1427+AA1427</f>
        <v>25</v>
      </c>
      <c r="T1427" s="87">
        <f t="shared" ref="T1427" si="627">M1427-S1427</f>
        <v>-18</v>
      </c>
      <c r="U1427">
        <v>25</v>
      </c>
    </row>
    <row r="1428" spans="2:31" ht="20.100000000000001" hidden="1" customHeight="1">
      <c r="B1428" s="77">
        <v>10</v>
      </c>
      <c r="C1428" s="78" t="s">
        <v>2311</v>
      </c>
      <c r="D1428" s="79" t="s">
        <v>2668</v>
      </c>
      <c r="E1428" s="80" t="s">
        <v>2669</v>
      </c>
      <c r="F1428" s="81">
        <v>45.3</v>
      </c>
      <c r="G1428" s="222"/>
      <c r="H1428" s="186"/>
      <c r="I1428" s="186">
        <v>24</v>
      </c>
      <c r="J1428" s="308"/>
      <c r="K1428" s="227">
        <v>2</v>
      </c>
      <c r="L1428" s="82">
        <f t="shared" si="607"/>
        <v>22</v>
      </c>
      <c r="M1428" s="331">
        <v>22</v>
      </c>
      <c r="N1428" s="161">
        <f t="shared" si="609"/>
        <v>996.59999999999991</v>
      </c>
      <c r="O1428" s="161">
        <f t="shared" si="610"/>
        <v>996.59999999999991</v>
      </c>
      <c r="P1428" s="187">
        <f t="shared" si="611"/>
        <v>0</v>
      </c>
      <c r="Q1428" s="161">
        <f t="shared" si="612"/>
        <v>0</v>
      </c>
      <c r="R1428" s="232"/>
      <c r="S1428" s="86">
        <f t="shared" si="613"/>
        <v>25</v>
      </c>
      <c r="T1428" s="87">
        <f t="shared" si="608"/>
        <v>-3</v>
      </c>
      <c r="U1428">
        <v>25</v>
      </c>
    </row>
    <row r="1429" spans="2:31" ht="20.100000000000001" hidden="1" customHeight="1">
      <c r="B1429" s="77">
        <v>10</v>
      </c>
      <c r="C1429" s="78" t="s">
        <v>2311</v>
      </c>
      <c r="D1429" s="79" t="s">
        <v>2670</v>
      </c>
      <c r="E1429" s="80" t="s">
        <v>2671</v>
      </c>
      <c r="F1429" s="81">
        <v>15.15</v>
      </c>
      <c r="G1429" s="222">
        <v>54</v>
      </c>
      <c r="H1429" s="186"/>
      <c r="I1429" s="186"/>
      <c r="J1429" s="308"/>
      <c r="K1429" s="227"/>
      <c r="L1429" s="82">
        <f t="shared" si="607"/>
        <v>54</v>
      </c>
      <c r="M1429" s="331">
        <v>54</v>
      </c>
      <c r="N1429" s="161">
        <f t="shared" si="609"/>
        <v>818.1</v>
      </c>
      <c r="O1429" s="161">
        <f t="shared" si="610"/>
        <v>818.1</v>
      </c>
      <c r="P1429" s="187">
        <f t="shared" si="611"/>
        <v>0</v>
      </c>
      <c r="Q1429" s="161">
        <f t="shared" si="612"/>
        <v>0</v>
      </c>
      <c r="R1429" s="232"/>
      <c r="S1429" s="86">
        <f t="shared" si="613"/>
        <v>72</v>
      </c>
      <c r="T1429" s="87">
        <f t="shared" si="608"/>
        <v>-18</v>
      </c>
      <c r="U1429">
        <v>64</v>
      </c>
      <c r="Y1429">
        <v>7</v>
      </c>
      <c r="AA1429">
        <v>1</v>
      </c>
      <c r="AB1429" t="s">
        <v>542</v>
      </c>
      <c r="AD1429">
        <f>AA1429</f>
        <v>1</v>
      </c>
      <c r="AE1429" s="89">
        <f>AD1429*F1429</f>
        <v>15.15</v>
      </c>
    </row>
    <row r="1430" spans="2:31" ht="20.100000000000001" hidden="1" customHeight="1">
      <c r="B1430" s="77">
        <v>10</v>
      </c>
      <c r="C1430" s="78" t="s">
        <v>2311</v>
      </c>
      <c r="D1430" s="79" t="s">
        <v>2672</v>
      </c>
      <c r="E1430" s="80" t="s">
        <v>2673</v>
      </c>
      <c r="F1430" s="193">
        <v>23.15</v>
      </c>
      <c r="G1430" s="222">
        <v>92</v>
      </c>
      <c r="H1430" s="186"/>
      <c r="I1430" s="186"/>
      <c r="J1430" s="308"/>
      <c r="K1430" s="227">
        <v>7</v>
      </c>
      <c r="L1430" s="82">
        <f t="shared" si="607"/>
        <v>85</v>
      </c>
      <c r="M1430" s="331">
        <v>85</v>
      </c>
      <c r="N1430" s="161">
        <f t="shared" si="609"/>
        <v>1967.7499999999998</v>
      </c>
      <c r="O1430" s="161">
        <f t="shared" si="610"/>
        <v>1967.7499999999998</v>
      </c>
      <c r="P1430" s="187">
        <f t="shared" si="611"/>
        <v>0</v>
      </c>
      <c r="Q1430" s="161">
        <f t="shared" si="612"/>
        <v>0</v>
      </c>
      <c r="R1430" s="232"/>
      <c r="S1430" s="86">
        <f t="shared" si="613"/>
        <v>90</v>
      </c>
      <c r="T1430" s="87">
        <f t="shared" si="608"/>
        <v>-5</v>
      </c>
      <c r="U1430">
        <f>34+1+35</f>
        <v>70</v>
      </c>
      <c r="Y1430">
        <v>20</v>
      </c>
    </row>
    <row r="1431" spans="2:31" ht="20.100000000000001" hidden="1" customHeight="1">
      <c r="B1431" s="77">
        <v>10</v>
      </c>
      <c r="C1431" s="78" t="s">
        <v>2311</v>
      </c>
      <c r="D1431" s="79" t="s">
        <v>2674</v>
      </c>
      <c r="E1431" s="80" t="s">
        <v>2675</v>
      </c>
      <c r="F1431" s="81">
        <v>8.16</v>
      </c>
      <c r="G1431" s="222">
        <v>19</v>
      </c>
      <c r="H1431" s="186"/>
      <c r="I1431" s="186"/>
      <c r="J1431" s="308"/>
      <c r="K1431" s="227"/>
      <c r="L1431" s="82">
        <f t="shared" si="607"/>
        <v>19</v>
      </c>
      <c r="M1431" s="331">
        <v>19</v>
      </c>
      <c r="N1431" s="161">
        <f t="shared" si="609"/>
        <v>155.04</v>
      </c>
      <c r="O1431" s="161">
        <f t="shared" si="610"/>
        <v>155.04</v>
      </c>
      <c r="P1431" s="187">
        <f t="shared" si="611"/>
        <v>0</v>
      </c>
      <c r="Q1431" s="161">
        <f t="shared" si="612"/>
        <v>0</v>
      </c>
      <c r="R1431" s="85"/>
      <c r="S1431" s="86">
        <f t="shared" si="613"/>
        <v>19</v>
      </c>
      <c r="T1431" s="87">
        <f t="shared" si="608"/>
        <v>0</v>
      </c>
      <c r="Y1431">
        <v>19</v>
      </c>
    </row>
    <row r="1432" spans="2:31" ht="20.100000000000001" hidden="1" customHeight="1">
      <c r="B1432" s="77">
        <v>10</v>
      </c>
      <c r="C1432" s="78" t="s">
        <v>2311</v>
      </c>
      <c r="D1432" s="79" t="s">
        <v>2676</v>
      </c>
      <c r="E1432" s="80" t="s">
        <v>2677</v>
      </c>
      <c r="F1432" s="81">
        <v>20.91</v>
      </c>
      <c r="G1432" s="222">
        <v>31</v>
      </c>
      <c r="H1432" s="186"/>
      <c r="I1432" s="186"/>
      <c r="J1432" s="308"/>
      <c r="K1432" s="227"/>
      <c r="L1432" s="82">
        <f t="shared" si="607"/>
        <v>31</v>
      </c>
      <c r="M1432" s="331">
        <v>31</v>
      </c>
      <c r="N1432" s="161">
        <f t="shared" si="609"/>
        <v>648.21</v>
      </c>
      <c r="O1432" s="161">
        <f t="shared" si="610"/>
        <v>648.21</v>
      </c>
      <c r="P1432" s="187">
        <f t="shared" si="611"/>
        <v>0</v>
      </c>
      <c r="Q1432" s="161">
        <f t="shared" si="612"/>
        <v>0</v>
      </c>
      <c r="R1432" s="85"/>
      <c r="S1432" s="86">
        <f t="shared" si="613"/>
        <v>31</v>
      </c>
      <c r="T1432" s="87">
        <f t="shared" si="608"/>
        <v>0</v>
      </c>
      <c r="Y1432">
        <v>31</v>
      </c>
    </row>
    <row r="1433" spans="2:31" ht="20.100000000000001" hidden="1" customHeight="1">
      <c r="B1433" s="77">
        <v>10</v>
      </c>
      <c r="C1433" s="78" t="s">
        <v>2311</v>
      </c>
      <c r="D1433" s="79" t="s">
        <v>2678</v>
      </c>
      <c r="E1433" s="80" t="s">
        <v>2679</v>
      </c>
      <c r="F1433" s="81">
        <v>23.47</v>
      </c>
      <c r="G1433" s="222">
        <v>57</v>
      </c>
      <c r="H1433" s="186"/>
      <c r="I1433" s="186"/>
      <c r="J1433" s="308"/>
      <c r="K1433" s="227"/>
      <c r="L1433" s="82">
        <f t="shared" si="607"/>
        <v>57</v>
      </c>
      <c r="M1433" s="331">
        <v>57</v>
      </c>
      <c r="N1433" s="161">
        <f t="shared" si="609"/>
        <v>1337.79</v>
      </c>
      <c r="O1433" s="161">
        <f t="shared" si="610"/>
        <v>1337.79</v>
      </c>
      <c r="P1433" s="187">
        <f t="shared" si="611"/>
        <v>0</v>
      </c>
      <c r="Q1433" s="161">
        <f t="shared" si="612"/>
        <v>0</v>
      </c>
      <c r="R1433" s="85"/>
      <c r="S1433" s="86">
        <f t="shared" si="613"/>
        <v>57</v>
      </c>
      <c r="T1433" s="87">
        <f t="shared" si="608"/>
        <v>0</v>
      </c>
      <c r="Y1433">
        <v>57</v>
      </c>
    </row>
    <row r="1434" spans="2:31" ht="20.100000000000001" hidden="1" customHeight="1">
      <c r="B1434" s="77">
        <v>10</v>
      </c>
      <c r="C1434" s="78" t="s">
        <v>2311</v>
      </c>
      <c r="D1434" s="79" t="s">
        <v>2680</v>
      </c>
      <c r="E1434" s="80" t="s">
        <v>2681</v>
      </c>
      <c r="F1434" s="81">
        <v>38.01</v>
      </c>
      <c r="G1434" s="222">
        <v>147</v>
      </c>
      <c r="H1434" s="186"/>
      <c r="I1434" s="186"/>
      <c r="J1434" s="308"/>
      <c r="K1434" s="227"/>
      <c r="L1434" s="82">
        <f t="shared" si="607"/>
        <v>147</v>
      </c>
      <c r="M1434" s="331">
        <v>147</v>
      </c>
      <c r="N1434" s="161">
        <f t="shared" si="609"/>
        <v>5587.4699999999993</v>
      </c>
      <c r="O1434" s="161">
        <f t="shared" si="610"/>
        <v>5587.4699999999993</v>
      </c>
      <c r="P1434" s="187">
        <f t="shared" si="611"/>
        <v>0</v>
      </c>
      <c r="Q1434" s="161">
        <f t="shared" si="612"/>
        <v>0</v>
      </c>
      <c r="R1434" s="85"/>
      <c r="S1434" s="86">
        <f t="shared" si="613"/>
        <v>132</v>
      </c>
      <c r="T1434" s="87">
        <f t="shared" si="608"/>
        <v>15</v>
      </c>
      <c r="U1434">
        <f>32+35</f>
        <v>67</v>
      </c>
      <c r="Y1434">
        <v>65</v>
      </c>
    </row>
    <row r="1435" spans="2:31" ht="20.100000000000001" hidden="1" customHeight="1">
      <c r="B1435" s="77">
        <v>10</v>
      </c>
      <c r="C1435" s="78" t="s">
        <v>2311</v>
      </c>
      <c r="D1435" s="79" t="s">
        <v>2682</v>
      </c>
      <c r="E1435" s="80" t="s">
        <v>2683</v>
      </c>
      <c r="F1435" s="81">
        <v>65.989999999999995</v>
      </c>
      <c r="G1435" s="222">
        <v>6</v>
      </c>
      <c r="H1435" s="186"/>
      <c r="I1435" s="186"/>
      <c r="J1435" s="308"/>
      <c r="K1435" s="227"/>
      <c r="L1435" s="82">
        <f t="shared" ref="L1435" si="628">G1435+I1435-J1435-K1435+H1435</f>
        <v>6</v>
      </c>
      <c r="M1435" s="331">
        <v>6</v>
      </c>
      <c r="N1435" s="161">
        <f t="shared" ref="N1435" si="629">F1435*L1435</f>
        <v>395.93999999999994</v>
      </c>
      <c r="O1435" s="161">
        <f t="shared" ref="O1435" si="630">M1435*F1435</f>
        <v>395.93999999999994</v>
      </c>
      <c r="P1435" s="187">
        <f t="shared" ref="P1435" si="631">L1435-M1435</f>
        <v>0</v>
      </c>
      <c r="Q1435" s="161">
        <f t="shared" ref="Q1435" si="632">N1435-O1435</f>
        <v>0</v>
      </c>
      <c r="R1435" s="232"/>
      <c r="S1435" s="86">
        <f t="shared" ref="S1435" si="633">U1435+Y1435+W1435+AA1435</f>
        <v>30</v>
      </c>
      <c r="T1435" s="87">
        <f t="shared" ref="T1435" si="634">M1435-S1435</f>
        <v>-24</v>
      </c>
      <c r="U1435">
        <v>30</v>
      </c>
    </row>
    <row r="1436" spans="2:31" ht="20.100000000000001" hidden="1" customHeight="1">
      <c r="B1436" s="77">
        <v>10</v>
      </c>
      <c r="C1436" s="78" t="s">
        <v>2311</v>
      </c>
      <c r="D1436" s="79" t="s">
        <v>2682</v>
      </c>
      <c r="E1436" s="80" t="s">
        <v>2683</v>
      </c>
      <c r="F1436" s="81">
        <v>74.8</v>
      </c>
      <c r="G1436" s="222"/>
      <c r="H1436" s="186"/>
      <c r="I1436" s="186">
        <v>24</v>
      </c>
      <c r="J1436" s="308"/>
      <c r="K1436" s="227"/>
      <c r="L1436" s="82">
        <f t="shared" si="607"/>
        <v>24</v>
      </c>
      <c r="M1436" s="331">
        <v>24</v>
      </c>
      <c r="N1436" s="161">
        <f t="shared" si="609"/>
        <v>1795.1999999999998</v>
      </c>
      <c r="O1436" s="161">
        <f t="shared" si="610"/>
        <v>1795.1999999999998</v>
      </c>
      <c r="P1436" s="187">
        <f t="shared" si="611"/>
        <v>0</v>
      </c>
      <c r="Q1436" s="161">
        <f t="shared" si="612"/>
        <v>0</v>
      </c>
      <c r="R1436" s="232"/>
      <c r="S1436" s="86">
        <f t="shared" si="613"/>
        <v>30</v>
      </c>
      <c r="T1436" s="87">
        <f t="shared" si="608"/>
        <v>-6</v>
      </c>
      <c r="U1436">
        <v>30</v>
      </c>
    </row>
    <row r="1437" spans="2:31" ht="20.100000000000001" hidden="1" customHeight="1">
      <c r="B1437" s="77">
        <v>10</v>
      </c>
      <c r="C1437" s="78" t="s">
        <v>2311</v>
      </c>
      <c r="D1437" s="79" t="s">
        <v>2684</v>
      </c>
      <c r="E1437" s="80" t="s">
        <v>2685</v>
      </c>
      <c r="F1437" s="81">
        <v>11.32</v>
      </c>
      <c r="G1437" s="222">
        <v>25</v>
      </c>
      <c r="H1437" s="186"/>
      <c r="I1437" s="186"/>
      <c r="J1437" s="308"/>
      <c r="K1437" s="227">
        <v>1</v>
      </c>
      <c r="L1437" s="82">
        <f t="shared" si="607"/>
        <v>24</v>
      </c>
      <c r="M1437" s="331">
        <v>24</v>
      </c>
      <c r="N1437" s="161">
        <f t="shared" si="609"/>
        <v>271.68</v>
      </c>
      <c r="O1437" s="161">
        <f t="shared" si="610"/>
        <v>271.68</v>
      </c>
      <c r="P1437" s="187">
        <f t="shared" si="611"/>
        <v>0</v>
      </c>
      <c r="Q1437" s="161">
        <f t="shared" si="612"/>
        <v>0</v>
      </c>
      <c r="R1437" s="232"/>
      <c r="S1437" s="86">
        <f t="shared" si="613"/>
        <v>26</v>
      </c>
      <c r="T1437" s="87">
        <f t="shared" si="608"/>
        <v>-2</v>
      </c>
      <c r="U1437">
        <v>2</v>
      </c>
      <c r="Y1437">
        <v>24</v>
      </c>
    </row>
    <row r="1438" spans="2:31" ht="20.100000000000001" hidden="1" customHeight="1">
      <c r="B1438" s="77">
        <v>10</v>
      </c>
      <c r="C1438" s="78" t="s">
        <v>2311</v>
      </c>
      <c r="D1438" s="79" t="s">
        <v>2686</v>
      </c>
      <c r="E1438" s="80" t="s">
        <v>2687</v>
      </c>
      <c r="F1438" s="81">
        <v>21.73</v>
      </c>
      <c r="G1438" s="222">
        <v>24</v>
      </c>
      <c r="H1438" s="186"/>
      <c r="I1438" s="186"/>
      <c r="J1438" s="308"/>
      <c r="K1438" s="227"/>
      <c r="L1438" s="82">
        <f t="shared" si="607"/>
        <v>24</v>
      </c>
      <c r="M1438" s="331">
        <v>24</v>
      </c>
      <c r="N1438" s="161">
        <f t="shared" si="609"/>
        <v>521.52</v>
      </c>
      <c r="O1438" s="161">
        <f t="shared" si="610"/>
        <v>521.52</v>
      </c>
      <c r="P1438" s="187">
        <f t="shared" si="611"/>
        <v>0</v>
      </c>
      <c r="Q1438" s="161">
        <f t="shared" si="612"/>
        <v>0</v>
      </c>
      <c r="R1438" s="85"/>
      <c r="S1438" s="86">
        <f t="shared" si="613"/>
        <v>24</v>
      </c>
      <c r="T1438" s="87">
        <f t="shared" si="608"/>
        <v>0</v>
      </c>
      <c r="Y1438">
        <v>24</v>
      </c>
    </row>
    <row r="1439" spans="2:31" ht="20.100000000000001" hidden="1" customHeight="1">
      <c r="B1439" s="77">
        <v>10</v>
      </c>
      <c r="C1439" s="78" t="s">
        <v>2311</v>
      </c>
      <c r="D1439" s="79" t="s">
        <v>2688</v>
      </c>
      <c r="E1439" s="80" t="s">
        <v>2689</v>
      </c>
      <c r="F1439" s="81">
        <v>51.92</v>
      </c>
      <c r="G1439" s="222">
        <v>24</v>
      </c>
      <c r="H1439" s="186"/>
      <c r="I1439" s="186"/>
      <c r="J1439" s="308"/>
      <c r="K1439" s="227"/>
      <c r="L1439" s="82">
        <f t="shared" si="607"/>
        <v>24</v>
      </c>
      <c r="M1439" s="331">
        <v>24</v>
      </c>
      <c r="N1439" s="161">
        <f t="shared" si="609"/>
        <v>1246.08</v>
      </c>
      <c r="O1439" s="161">
        <f t="shared" si="610"/>
        <v>1246.08</v>
      </c>
      <c r="P1439" s="187">
        <f t="shared" si="611"/>
        <v>0</v>
      </c>
      <c r="Q1439" s="161">
        <f t="shared" si="612"/>
        <v>0</v>
      </c>
      <c r="R1439" s="85"/>
      <c r="S1439" s="86">
        <f t="shared" si="613"/>
        <v>24</v>
      </c>
      <c r="T1439" s="87">
        <f t="shared" si="608"/>
        <v>0</v>
      </c>
      <c r="Y1439">
        <v>24</v>
      </c>
    </row>
    <row r="1440" spans="2:31" ht="20.100000000000001" hidden="1" customHeight="1">
      <c r="B1440" s="77">
        <v>10</v>
      </c>
      <c r="C1440" s="78" t="s">
        <v>2311</v>
      </c>
      <c r="D1440" s="79" t="s">
        <v>2690</v>
      </c>
      <c r="E1440" s="80" t="s">
        <v>2691</v>
      </c>
      <c r="F1440" s="81">
        <v>30.5</v>
      </c>
      <c r="G1440" s="222">
        <v>18</v>
      </c>
      <c r="H1440" s="186"/>
      <c r="I1440" s="186"/>
      <c r="J1440" s="308"/>
      <c r="K1440" s="227"/>
      <c r="L1440" s="82">
        <f t="shared" si="607"/>
        <v>18</v>
      </c>
      <c r="M1440" s="331">
        <v>18</v>
      </c>
      <c r="N1440" s="161">
        <f t="shared" si="609"/>
        <v>549</v>
      </c>
      <c r="O1440" s="161">
        <f t="shared" si="610"/>
        <v>549</v>
      </c>
      <c r="P1440" s="187">
        <f t="shared" si="611"/>
        <v>0</v>
      </c>
      <c r="Q1440" s="161">
        <f t="shared" si="612"/>
        <v>0</v>
      </c>
      <c r="R1440" s="85"/>
      <c r="S1440" s="86">
        <f t="shared" si="613"/>
        <v>18</v>
      </c>
      <c r="T1440" s="87">
        <f t="shared" si="608"/>
        <v>0</v>
      </c>
      <c r="Y1440">
        <v>18</v>
      </c>
    </row>
    <row r="1441" spans="2:31" ht="20.100000000000001" hidden="1" customHeight="1">
      <c r="B1441" s="77">
        <v>11</v>
      </c>
      <c r="C1441" s="78" t="s">
        <v>2692</v>
      </c>
      <c r="D1441" s="79" t="s">
        <v>2693</v>
      </c>
      <c r="E1441" s="80" t="s">
        <v>2694</v>
      </c>
      <c r="F1441" s="81">
        <v>180</v>
      </c>
      <c r="G1441" s="222">
        <v>1</v>
      </c>
      <c r="H1441" s="186"/>
      <c r="I1441" s="186"/>
      <c r="J1441" s="308"/>
      <c r="K1441" s="227"/>
      <c r="L1441" s="82">
        <f t="shared" si="607"/>
        <v>1</v>
      </c>
      <c r="M1441" s="331">
        <v>1</v>
      </c>
      <c r="N1441" s="161">
        <f t="shared" si="609"/>
        <v>180</v>
      </c>
      <c r="O1441" s="161">
        <f t="shared" si="610"/>
        <v>180</v>
      </c>
      <c r="P1441" s="187">
        <f t="shared" si="611"/>
        <v>0</v>
      </c>
      <c r="Q1441" s="161">
        <f t="shared" si="612"/>
        <v>0</v>
      </c>
      <c r="R1441" s="85"/>
      <c r="S1441" s="86">
        <f t="shared" si="613"/>
        <v>0</v>
      </c>
      <c r="T1441" s="87">
        <f t="shared" si="608"/>
        <v>1</v>
      </c>
    </row>
    <row r="1442" spans="2:31" ht="20.100000000000001" hidden="1" customHeight="1">
      <c r="B1442" s="77">
        <v>11</v>
      </c>
      <c r="C1442" s="78" t="s">
        <v>2692</v>
      </c>
      <c r="D1442" s="219" t="s">
        <v>4777</v>
      </c>
      <c r="E1442" s="271" t="s">
        <v>4722</v>
      </c>
      <c r="F1442" s="273">
        <v>190</v>
      </c>
      <c r="G1442" s="222"/>
      <c r="H1442" s="186"/>
      <c r="I1442" s="186">
        <v>2</v>
      </c>
      <c r="J1442" s="308"/>
      <c r="K1442" s="227"/>
      <c r="L1442" s="82">
        <f t="shared" si="607"/>
        <v>2</v>
      </c>
      <c r="M1442" s="331">
        <v>2</v>
      </c>
      <c r="N1442" s="161"/>
      <c r="O1442" s="161"/>
      <c r="P1442" s="187">
        <f t="shared" ref="P1442" si="635">L1442-M1442</f>
        <v>0</v>
      </c>
      <c r="Q1442" s="161">
        <f t="shared" ref="Q1442" si="636">N1442-O1442</f>
        <v>0</v>
      </c>
      <c r="R1442" s="85"/>
      <c r="S1442" s="86"/>
      <c r="T1442" s="87"/>
    </row>
    <row r="1443" spans="2:31" ht="20.100000000000001" hidden="1" customHeight="1">
      <c r="B1443" s="77">
        <v>11</v>
      </c>
      <c r="C1443" s="78" t="s">
        <v>2692</v>
      </c>
      <c r="D1443" s="79" t="s">
        <v>2695</v>
      </c>
      <c r="E1443" s="80" t="s">
        <v>2696</v>
      </c>
      <c r="F1443" s="81">
        <v>250</v>
      </c>
      <c r="G1443" s="222">
        <v>1</v>
      </c>
      <c r="H1443" s="186"/>
      <c r="I1443" s="186"/>
      <c r="J1443" s="308"/>
      <c r="K1443" s="227"/>
      <c r="L1443" s="82">
        <f t="shared" si="607"/>
        <v>1</v>
      </c>
      <c r="M1443" s="331">
        <v>1</v>
      </c>
      <c r="N1443" s="161">
        <f t="shared" si="609"/>
        <v>250</v>
      </c>
      <c r="O1443" s="161">
        <f t="shared" si="610"/>
        <v>250</v>
      </c>
      <c r="P1443" s="187">
        <f t="shared" si="611"/>
        <v>0</v>
      </c>
      <c r="Q1443" s="161">
        <f t="shared" si="612"/>
        <v>0</v>
      </c>
      <c r="R1443" s="85"/>
      <c r="S1443" s="86">
        <f t="shared" si="613"/>
        <v>0</v>
      </c>
      <c r="T1443" s="87">
        <f t="shared" si="608"/>
        <v>1</v>
      </c>
    </row>
    <row r="1444" spans="2:31" ht="20.100000000000001" hidden="1" customHeight="1">
      <c r="B1444" s="77">
        <v>11</v>
      </c>
      <c r="C1444" s="78" t="s">
        <v>2692</v>
      </c>
      <c r="D1444" s="219" t="s">
        <v>4778</v>
      </c>
      <c r="E1444" s="271" t="s">
        <v>4723</v>
      </c>
      <c r="F1444" s="273">
        <v>260</v>
      </c>
      <c r="G1444" s="222"/>
      <c r="H1444" s="186"/>
      <c r="I1444" s="186">
        <v>2</v>
      </c>
      <c r="J1444" s="308"/>
      <c r="K1444" s="227"/>
      <c r="L1444" s="82">
        <f t="shared" si="607"/>
        <v>2</v>
      </c>
      <c r="M1444" s="331">
        <v>2</v>
      </c>
      <c r="N1444" s="161">
        <f t="shared" ref="N1444" si="637">F1444*L1444</f>
        <v>520</v>
      </c>
      <c r="O1444" s="161">
        <f t="shared" ref="O1444" si="638">M1444*F1444</f>
        <v>520</v>
      </c>
      <c r="P1444" s="187">
        <f t="shared" ref="P1444" si="639">L1444-M1444</f>
        <v>0</v>
      </c>
      <c r="Q1444" s="161">
        <f t="shared" ref="Q1444" si="640">N1444-O1444</f>
        <v>0</v>
      </c>
      <c r="R1444" s="85"/>
      <c r="S1444" s="86">
        <f t="shared" ref="S1444" si="641">U1444+Y1444+W1444+AA1444</f>
        <v>0</v>
      </c>
      <c r="T1444" s="87">
        <f t="shared" ref="T1444" si="642">M1444-S1444</f>
        <v>2</v>
      </c>
    </row>
    <row r="1445" spans="2:31" ht="20.100000000000001" hidden="1" customHeight="1">
      <c r="B1445" s="77">
        <v>11</v>
      </c>
      <c r="C1445" s="78" t="s">
        <v>2692</v>
      </c>
      <c r="D1445" s="79" t="s">
        <v>2697</v>
      </c>
      <c r="E1445" s="80" t="s">
        <v>2698</v>
      </c>
      <c r="F1445" s="81">
        <v>300</v>
      </c>
      <c r="G1445" s="222">
        <v>1</v>
      </c>
      <c r="H1445" s="186"/>
      <c r="I1445" s="186"/>
      <c r="J1445" s="308"/>
      <c r="K1445" s="227"/>
      <c r="L1445" s="82">
        <f t="shared" si="607"/>
        <v>1</v>
      </c>
      <c r="M1445" s="331">
        <v>1</v>
      </c>
      <c r="N1445" s="161">
        <f t="shared" si="609"/>
        <v>300</v>
      </c>
      <c r="O1445" s="161">
        <f t="shared" si="610"/>
        <v>300</v>
      </c>
      <c r="P1445" s="187">
        <f t="shared" si="611"/>
        <v>0</v>
      </c>
      <c r="Q1445" s="161">
        <f t="shared" si="612"/>
        <v>0</v>
      </c>
      <c r="R1445" s="85"/>
      <c r="S1445" s="86">
        <f t="shared" si="613"/>
        <v>0</v>
      </c>
      <c r="T1445" s="87">
        <f t="shared" si="608"/>
        <v>1</v>
      </c>
    </row>
    <row r="1446" spans="2:31" ht="20.100000000000001" hidden="1" customHeight="1">
      <c r="B1446" s="77">
        <v>11</v>
      </c>
      <c r="C1446" s="78" t="s">
        <v>2692</v>
      </c>
      <c r="D1446" s="219" t="s">
        <v>4779</v>
      </c>
      <c r="E1446" s="271" t="s">
        <v>4724</v>
      </c>
      <c r="F1446" s="81">
        <v>320</v>
      </c>
      <c r="G1446" s="222"/>
      <c r="H1446" s="186"/>
      <c r="I1446" s="186">
        <v>2</v>
      </c>
      <c r="J1446" s="308"/>
      <c r="K1446" s="227"/>
      <c r="L1446" s="82">
        <f t="shared" ref="L1446" si="643">G1446+I1446-J1446-K1446+H1446</f>
        <v>2</v>
      </c>
      <c r="M1446" s="331">
        <v>2</v>
      </c>
      <c r="N1446" s="161">
        <f t="shared" ref="N1446" si="644">F1446*L1446</f>
        <v>640</v>
      </c>
      <c r="O1446" s="161">
        <f t="shared" ref="O1446" si="645">M1446*F1446</f>
        <v>640</v>
      </c>
      <c r="P1446" s="187">
        <f t="shared" ref="P1446" si="646">L1446-M1446</f>
        <v>0</v>
      </c>
      <c r="Q1446" s="161">
        <f t="shared" ref="Q1446" si="647">N1446-O1446</f>
        <v>0</v>
      </c>
      <c r="R1446" s="85"/>
      <c r="S1446" s="86">
        <f t="shared" ref="S1446" si="648">U1446+Y1446+W1446+AA1446</f>
        <v>0</v>
      </c>
      <c r="T1446" s="87">
        <f t="shared" ref="T1446" si="649">M1446-S1446</f>
        <v>2</v>
      </c>
    </row>
    <row r="1447" spans="2:31" ht="20.100000000000001" hidden="1" customHeight="1">
      <c r="B1447" s="77">
        <v>11</v>
      </c>
      <c r="C1447" s="78" t="s">
        <v>2692</v>
      </c>
      <c r="D1447" s="79" t="s">
        <v>2699</v>
      </c>
      <c r="E1447" s="80" t="s">
        <v>2700</v>
      </c>
      <c r="F1447" s="81">
        <v>150</v>
      </c>
      <c r="G1447" s="222">
        <v>1</v>
      </c>
      <c r="H1447" s="186"/>
      <c r="I1447" s="186"/>
      <c r="J1447" s="308"/>
      <c r="K1447" s="227"/>
      <c r="L1447" s="82">
        <f t="shared" si="607"/>
        <v>1</v>
      </c>
      <c r="M1447" s="331">
        <v>1</v>
      </c>
      <c r="N1447" s="161">
        <f t="shared" si="609"/>
        <v>150</v>
      </c>
      <c r="O1447" s="161">
        <f t="shared" si="610"/>
        <v>150</v>
      </c>
      <c r="P1447" s="187">
        <f t="shared" si="611"/>
        <v>0</v>
      </c>
      <c r="Q1447" s="161">
        <f t="shared" si="612"/>
        <v>0</v>
      </c>
      <c r="R1447" s="85"/>
      <c r="S1447" s="86">
        <f t="shared" si="613"/>
        <v>0</v>
      </c>
      <c r="T1447" s="87">
        <f t="shared" si="608"/>
        <v>1</v>
      </c>
    </row>
    <row r="1448" spans="2:31" hidden="1">
      <c r="B1448" s="77">
        <v>11</v>
      </c>
      <c r="C1448" s="78" t="s">
        <v>2692</v>
      </c>
      <c r="D1448" s="79" t="s">
        <v>2701</v>
      </c>
      <c r="E1448" s="80" t="s">
        <v>2702</v>
      </c>
      <c r="F1448" s="81">
        <v>300</v>
      </c>
      <c r="G1448" s="222">
        <v>1</v>
      </c>
      <c r="H1448" s="186"/>
      <c r="I1448" s="186"/>
      <c r="J1448" s="308"/>
      <c r="K1448" s="227"/>
      <c r="L1448" s="82">
        <f t="shared" si="607"/>
        <v>1</v>
      </c>
      <c r="M1448" s="331">
        <v>1</v>
      </c>
      <c r="N1448" s="161">
        <f t="shared" si="609"/>
        <v>300</v>
      </c>
      <c r="O1448" s="161">
        <f t="shared" si="610"/>
        <v>300</v>
      </c>
      <c r="P1448" s="187">
        <f t="shared" si="611"/>
        <v>0</v>
      </c>
      <c r="Q1448" s="161">
        <f t="shared" si="612"/>
        <v>0</v>
      </c>
      <c r="R1448" s="85"/>
      <c r="S1448" s="86">
        <f t="shared" si="613"/>
        <v>0</v>
      </c>
      <c r="T1448" s="87">
        <f t="shared" si="608"/>
        <v>1</v>
      </c>
    </row>
    <row r="1449" spans="2:31" hidden="1">
      <c r="B1449" s="77">
        <v>11</v>
      </c>
      <c r="C1449" s="78" t="s">
        <v>2692</v>
      </c>
      <c r="D1449" s="219" t="s">
        <v>4780</v>
      </c>
      <c r="E1449" s="271" t="s">
        <v>4725</v>
      </c>
      <c r="F1449" s="81">
        <v>450</v>
      </c>
      <c r="G1449" s="222"/>
      <c r="H1449" s="186"/>
      <c r="I1449" s="186">
        <v>1</v>
      </c>
      <c r="J1449" s="308"/>
      <c r="K1449" s="227"/>
      <c r="L1449" s="82">
        <f t="shared" ref="L1449" si="650">G1449+I1449-J1449-K1449+H1449</f>
        <v>1</v>
      </c>
      <c r="M1449" s="331">
        <v>1</v>
      </c>
      <c r="N1449" s="161">
        <f t="shared" ref="N1449" si="651">F1449*L1449</f>
        <v>450</v>
      </c>
      <c r="O1449" s="161">
        <f t="shared" ref="O1449" si="652">M1449*F1449</f>
        <v>450</v>
      </c>
      <c r="P1449" s="187">
        <f t="shared" ref="P1449" si="653">L1449-M1449</f>
        <v>0</v>
      </c>
      <c r="Q1449" s="161">
        <f t="shared" ref="Q1449" si="654">N1449-O1449</f>
        <v>0</v>
      </c>
      <c r="R1449" s="85"/>
      <c r="S1449" s="86">
        <f t="shared" ref="S1449" si="655">U1449+Y1449+W1449+AA1449</f>
        <v>0</v>
      </c>
      <c r="T1449" s="87">
        <f t="shared" ref="T1449" si="656">M1449-S1449</f>
        <v>1</v>
      </c>
    </row>
    <row r="1450" spans="2:31" ht="20.100000000000001" hidden="1" customHeight="1">
      <c r="B1450" s="77">
        <v>11</v>
      </c>
      <c r="C1450" s="78" t="s">
        <v>2692</v>
      </c>
      <c r="D1450" s="79" t="s">
        <v>2703</v>
      </c>
      <c r="E1450" s="80" t="s">
        <v>2704</v>
      </c>
      <c r="F1450" s="81">
        <v>75</v>
      </c>
      <c r="G1450" s="222">
        <v>5</v>
      </c>
      <c r="H1450" s="186"/>
      <c r="I1450" s="186"/>
      <c r="J1450" s="308"/>
      <c r="K1450" s="227"/>
      <c r="L1450" s="82">
        <f t="shared" si="607"/>
        <v>5</v>
      </c>
      <c r="M1450" s="331">
        <v>5</v>
      </c>
      <c r="N1450" s="161">
        <f t="shared" si="609"/>
        <v>375</v>
      </c>
      <c r="O1450" s="161">
        <f t="shared" si="610"/>
        <v>375</v>
      </c>
      <c r="P1450" s="187">
        <f t="shared" si="611"/>
        <v>0</v>
      </c>
      <c r="Q1450" s="161">
        <f t="shared" si="612"/>
        <v>0</v>
      </c>
      <c r="R1450" s="85"/>
      <c r="S1450" s="86">
        <f t="shared" si="613"/>
        <v>5</v>
      </c>
      <c r="T1450" s="87">
        <f t="shared" si="608"/>
        <v>0</v>
      </c>
      <c r="AA1450">
        <v>5</v>
      </c>
      <c r="AB1450" t="s">
        <v>1032</v>
      </c>
      <c r="AD1450">
        <f>AA1450</f>
        <v>5</v>
      </c>
      <c r="AE1450" s="89">
        <f>AD1450*F1450</f>
        <v>375</v>
      </c>
    </row>
    <row r="1451" spans="2:31" ht="20.100000000000001" hidden="1" customHeight="1">
      <c r="B1451" s="77">
        <v>11</v>
      </c>
      <c r="C1451" s="78" t="s">
        <v>2692</v>
      </c>
      <c r="D1451" s="79" t="s">
        <v>2705</v>
      </c>
      <c r="E1451" s="80" t="s">
        <v>2706</v>
      </c>
      <c r="F1451" s="81">
        <v>140</v>
      </c>
      <c r="G1451" s="222"/>
      <c r="H1451" s="186"/>
      <c r="I1451" s="186"/>
      <c r="J1451" s="308"/>
      <c r="K1451" s="227"/>
      <c r="L1451" s="82">
        <f t="shared" si="607"/>
        <v>0</v>
      </c>
      <c r="M1451" s="331">
        <v>0</v>
      </c>
      <c r="N1451" s="161">
        <f t="shared" si="609"/>
        <v>0</v>
      </c>
      <c r="O1451" s="161">
        <f t="shared" si="610"/>
        <v>0</v>
      </c>
      <c r="P1451" s="187">
        <f t="shared" si="611"/>
        <v>0</v>
      </c>
      <c r="Q1451" s="161">
        <f t="shared" si="612"/>
        <v>0</v>
      </c>
      <c r="R1451" s="85"/>
      <c r="S1451" s="86">
        <f t="shared" si="613"/>
        <v>0</v>
      </c>
      <c r="T1451" s="87">
        <f t="shared" si="608"/>
        <v>0</v>
      </c>
    </row>
    <row r="1452" spans="2:31" ht="20.100000000000001" hidden="1" customHeight="1">
      <c r="B1452" s="77">
        <v>11</v>
      </c>
      <c r="C1452" s="78" t="s">
        <v>2692</v>
      </c>
      <c r="D1452" s="79" t="s">
        <v>2707</v>
      </c>
      <c r="E1452" s="80" t="s">
        <v>2708</v>
      </c>
      <c r="F1452" s="81">
        <v>160</v>
      </c>
      <c r="G1452" s="222">
        <v>2</v>
      </c>
      <c r="H1452" s="186"/>
      <c r="I1452" s="186"/>
      <c r="J1452" s="308"/>
      <c r="K1452" s="227"/>
      <c r="L1452" s="82">
        <f t="shared" si="607"/>
        <v>2</v>
      </c>
      <c r="M1452" s="331">
        <v>2</v>
      </c>
      <c r="N1452" s="161">
        <f t="shared" si="609"/>
        <v>320</v>
      </c>
      <c r="O1452" s="161">
        <f t="shared" si="610"/>
        <v>320</v>
      </c>
      <c r="P1452" s="187">
        <f t="shared" si="611"/>
        <v>0</v>
      </c>
      <c r="Q1452" s="161">
        <f t="shared" si="612"/>
        <v>0</v>
      </c>
      <c r="R1452" s="85"/>
      <c r="S1452" s="86">
        <f t="shared" si="613"/>
        <v>2</v>
      </c>
      <c r="T1452" s="87">
        <f t="shared" si="608"/>
        <v>0</v>
      </c>
      <c r="AA1452">
        <v>2</v>
      </c>
      <c r="AB1452" t="s">
        <v>1032</v>
      </c>
      <c r="AD1452">
        <f>AA1452</f>
        <v>2</v>
      </c>
      <c r="AE1452" s="89">
        <f>AD1452*F1452</f>
        <v>320</v>
      </c>
    </row>
    <row r="1453" spans="2:31" ht="20.100000000000001" hidden="1" customHeight="1">
      <c r="B1453" s="77">
        <v>11</v>
      </c>
      <c r="C1453" s="78" t="s">
        <v>2692</v>
      </c>
      <c r="D1453" s="79" t="s">
        <v>2709</v>
      </c>
      <c r="E1453" s="80" t="s">
        <v>2710</v>
      </c>
      <c r="F1453" s="81">
        <v>160</v>
      </c>
      <c r="G1453" s="222"/>
      <c r="H1453" s="186"/>
      <c r="I1453" s="186"/>
      <c r="J1453" s="308"/>
      <c r="K1453" s="227"/>
      <c r="L1453" s="82">
        <f t="shared" si="607"/>
        <v>0</v>
      </c>
      <c r="M1453" s="331">
        <v>0</v>
      </c>
      <c r="N1453" s="161">
        <f t="shared" si="609"/>
        <v>0</v>
      </c>
      <c r="O1453" s="161">
        <f t="shared" si="610"/>
        <v>0</v>
      </c>
      <c r="P1453" s="187">
        <f t="shared" si="611"/>
        <v>0</v>
      </c>
      <c r="Q1453" s="161">
        <f t="shared" si="612"/>
        <v>0</v>
      </c>
      <c r="R1453" s="85"/>
      <c r="S1453" s="86">
        <f t="shared" si="613"/>
        <v>0</v>
      </c>
      <c r="T1453" s="87">
        <f t="shared" ref="T1453:T1516" si="657">M1453-S1453</f>
        <v>0</v>
      </c>
    </row>
    <row r="1454" spans="2:31" ht="20.100000000000001" hidden="1" customHeight="1">
      <c r="B1454" s="77">
        <v>11</v>
      </c>
      <c r="C1454" s="78" t="s">
        <v>2692</v>
      </c>
      <c r="D1454" s="79" t="s">
        <v>2711</v>
      </c>
      <c r="E1454" s="80" t="s">
        <v>2712</v>
      </c>
      <c r="F1454" s="81">
        <v>160</v>
      </c>
      <c r="G1454" s="222">
        <v>2</v>
      </c>
      <c r="H1454" s="186"/>
      <c r="I1454" s="186"/>
      <c r="J1454" s="308"/>
      <c r="K1454" s="227"/>
      <c r="L1454" s="82">
        <f t="shared" si="607"/>
        <v>2</v>
      </c>
      <c r="M1454" s="331">
        <v>2</v>
      </c>
      <c r="N1454" s="161">
        <f t="shared" ref="N1454:N1517" si="658">F1454*L1454</f>
        <v>320</v>
      </c>
      <c r="O1454" s="161">
        <f t="shared" ref="O1454:O1517" si="659">M1454*F1454</f>
        <v>320</v>
      </c>
      <c r="P1454" s="187">
        <f t="shared" ref="P1454:P1517" si="660">L1454-M1454</f>
        <v>0</v>
      </c>
      <c r="Q1454" s="161">
        <f t="shared" ref="Q1454:Q1517" si="661">N1454-O1454</f>
        <v>0</v>
      </c>
      <c r="R1454" s="85"/>
      <c r="S1454" s="86">
        <f t="shared" ref="S1454:S1517" si="662">U1454+Y1454+W1454+AA1454</f>
        <v>0</v>
      </c>
      <c r="T1454" s="87">
        <f t="shared" si="657"/>
        <v>2</v>
      </c>
    </row>
    <row r="1455" spans="2:31" ht="20.100000000000001" hidden="1" customHeight="1">
      <c r="B1455" s="77">
        <v>11</v>
      </c>
      <c r="C1455" s="78" t="s">
        <v>2692</v>
      </c>
      <c r="D1455" s="79" t="s">
        <v>2713</v>
      </c>
      <c r="E1455" s="80" t="s">
        <v>2714</v>
      </c>
      <c r="F1455" s="81">
        <v>75</v>
      </c>
      <c r="G1455" s="222">
        <v>7</v>
      </c>
      <c r="H1455" s="186"/>
      <c r="I1455" s="186"/>
      <c r="J1455" s="308"/>
      <c r="K1455" s="227"/>
      <c r="L1455" s="82">
        <f t="shared" si="607"/>
        <v>7</v>
      </c>
      <c r="M1455" s="331">
        <v>7</v>
      </c>
      <c r="N1455" s="161">
        <f t="shared" si="658"/>
        <v>525</v>
      </c>
      <c r="O1455" s="161">
        <f t="shared" si="659"/>
        <v>525</v>
      </c>
      <c r="P1455" s="187">
        <f t="shared" si="660"/>
        <v>0</v>
      </c>
      <c r="Q1455" s="161">
        <f t="shared" si="661"/>
        <v>0</v>
      </c>
      <c r="R1455" s="85" t="s">
        <v>387</v>
      </c>
      <c r="S1455" s="86">
        <f t="shared" si="662"/>
        <v>0</v>
      </c>
      <c r="T1455" s="87">
        <f t="shared" si="657"/>
        <v>7</v>
      </c>
    </row>
    <row r="1456" spans="2:31" ht="20.100000000000001" hidden="1" customHeight="1">
      <c r="B1456" s="77">
        <v>11</v>
      </c>
      <c r="C1456" s="78" t="s">
        <v>2692</v>
      </c>
      <c r="D1456" s="79" t="s">
        <v>2715</v>
      </c>
      <c r="E1456" s="80" t="s">
        <v>2716</v>
      </c>
      <c r="F1456" s="81">
        <v>140</v>
      </c>
      <c r="G1456" s="222">
        <v>1</v>
      </c>
      <c r="H1456" s="186"/>
      <c r="I1456" s="186"/>
      <c r="J1456" s="308"/>
      <c r="K1456" s="227"/>
      <c r="L1456" s="82">
        <f t="shared" si="607"/>
        <v>1</v>
      </c>
      <c r="M1456" s="331">
        <v>1</v>
      </c>
      <c r="N1456" s="161">
        <f t="shared" si="658"/>
        <v>140</v>
      </c>
      <c r="O1456" s="161">
        <f t="shared" si="659"/>
        <v>140</v>
      </c>
      <c r="P1456" s="187">
        <f t="shared" si="660"/>
        <v>0</v>
      </c>
      <c r="Q1456" s="161">
        <f t="shared" si="661"/>
        <v>0</v>
      </c>
      <c r="R1456" s="85"/>
      <c r="S1456" s="86">
        <f t="shared" si="662"/>
        <v>1</v>
      </c>
      <c r="T1456" s="87">
        <f t="shared" si="657"/>
        <v>0</v>
      </c>
      <c r="U1456">
        <v>1</v>
      </c>
    </row>
    <row r="1457" spans="2:20" ht="20.100000000000001" hidden="1" customHeight="1">
      <c r="B1457" s="77">
        <v>11</v>
      </c>
      <c r="C1457" s="78" t="s">
        <v>2692</v>
      </c>
      <c r="D1457" s="79" t="s">
        <v>2717</v>
      </c>
      <c r="E1457" s="80" t="s">
        <v>2718</v>
      </c>
      <c r="F1457" s="81">
        <v>105</v>
      </c>
      <c r="G1457" s="222">
        <v>1</v>
      </c>
      <c r="H1457" s="186"/>
      <c r="I1457" s="186"/>
      <c r="J1457" s="308"/>
      <c r="K1457" s="227"/>
      <c r="L1457" s="82">
        <f t="shared" si="607"/>
        <v>1</v>
      </c>
      <c r="M1457" s="331">
        <v>1</v>
      </c>
      <c r="N1457" s="161">
        <f t="shared" si="658"/>
        <v>105</v>
      </c>
      <c r="O1457" s="161">
        <f t="shared" si="659"/>
        <v>105</v>
      </c>
      <c r="P1457" s="187">
        <f t="shared" si="660"/>
        <v>0</v>
      </c>
      <c r="Q1457" s="161">
        <f t="shared" si="661"/>
        <v>0</v>
      </c>
      <c r="R1457" s="85"/>
      <c r="S1457" s="86">
        <f t="shared" si="662"/>
        <v>0</v>
      </c>
      <c r="T1457" s="87">
        <f t="shared" si="657"/>
        <v>1</v>
      </c>
    </row>
    <row r="1458" spans="2:20" ht="20.100000000000001" hidden="1" customHeight="1">
      <c r="B1458" s="77">
        <v>11</v>
      </c>
      <c r="C1458" s="78" t="s">
        <v>2692</v>
      </c>
      <c r="D1458" s="79" t="s">
        <v>2719</v>
      </c>
      <c r="E1458" s="80" t="s">
        <v>2720</v>
      </c>
      <c r="F1458" s="81">
        <v>293.83</v>
      </c>
      <c r="G1458" s="222">
        <v>2</v>
      </c>
      <c r="H1458" s="186"/>
      <c r="I1458" s="186"/>
      <c r="J1458" s="308"/>
      <c r="K1458" s="227"/>
      <c r="L1458" s="82">
        <f t="shared" si="607"/>
        <v>2</v>
      </c>
      <c r="M1458" s="331">
        <v>2</v>
      </c>
      <c r="N1458" s="161">
        <f t="shared" si="658"/>
        <v>587.66</v>
      </c>
      <c r="O1458" s="161">
        <f t="shared" si="659"/>
        <v>587.66</v>
      </c>
      <c r="P1458" s="187">
        <f t="shared" si="660"/>
        <v>0</v>
      </c>
      <c r="Q1458" s="161">
        <f t="shared" si="661"/>
        <v>0</v>
      </c>
      <c r="R1458" s="85"/>
      <c r="S1458" s="86">
        <f t="shared" si="662"/>
        <v>0</v>
      </c>
      <c r="T1458" s="87">
        <f t="shared" si="657"/>
        <v>2</v>
      </c>
    </row>
    <row r="1459" spans="2:20" ht="20.100000000000001" hidden="1" customHeight="1">
      <c r="B1459" s="77">
        <v>11</v>
      </c>
      <c r="C1459" s="78" t="s">
        <v>2692</v>
      </c>
      <c r="D1459" s="79" t="s">
        <v>2721</v>
      </c>
      <c r="E1459" s="80" t="s">
        <v>2722</v>
      </c>
      <c r="F1459" s="81">
        <v>227.33</v>
      </c>
      <c r="G1459" s="222">
        <v>2</v>
      </c>
      <c r="H1459" s="186"/>
      <c r="I1459" s="186"/>
      <c r="J1459" s="308"/>
      <c r="K1459" s="227"/>
      <c r="L1459" s="82">
        <f t="shared" si="607"/>
        <v>2</v>
      </c>
      <c r="M1459" s="331">
        <v>2</v>
      </c>
      <c r="N1459" s="161">
        <f t="shared" si="658"/>
        <v>454.66</v>
      </c>
      <c r="O1459" s="161">
        <f t="shared" si="659"/>
        <v>454.66</v>
      </c>
      <c r="P1459" s="187">
        <f t="shared" si="660"/>
        <v>0</v>
      </c>
      <c r="Q1459" s="161">
        <f t="shared" si="661"/>
        <v>0</v>
      </c>
      <c r="R1459" s="85"/>
      <c r="S1459" s="86">
        <f t="shared" si="662"/>
        <v>0</v>
      </c>
      <c r="T1459" s="87">
        <f t="shared" si="657"/>
        <v>2</v>
      </c>
    </row>
    <row r="1460" spans="2:20" ht="20.100000000000001" hidden="1" customHeight="1">
      <c r="B1460" s="77">
        <v>11</v>
      </c>
      <c r="C1460" s="78" t="s">
        <v>2692</v>
      </c>
      <c r="D1460" s="79" t="s">
        <v>2723</v>
      </c>
      <c r="E1460" s="80" t="s">
        <v>2724</v>
      </c>
      <c r="F1460" s="81">
        <v>120</v>
      </c>
      <c r="G1460" s="222"/>
      <c r="H1460" s="186"/>
      <c r="I1460" s="186"/>
      <c r="J1460" s="308"/>
      <c r="K1460" s="227"/>
      <c r="L1460" s="82">
        <f t="shared" ref="L1460:L1523" si="663">G1460+I1460-J1460-K1460+H1460</f>
        <v>0</v>
      </c>
      <c r="M1460" s="331"/>
      <c r="N1460" s="161">
        <f t="shared" si="658"/>
        <v>0</v>
      </c>
      <c r="O1460" s="161">
        <f t="shared" si="659"/>
        <v>0</v>
      </c>
      <c r="P1460" s="187">
        <f t="shared" si="660"/>
        <v>0</v>
      </c>
      <c r="Q1460" s="161">
        <f t="shared" si="661"/>
        <v>0</v>
      </c>
      <c r="R1460" s="85"/>
      <c r="S1460" s="86">
        <f t="shared" si="662"/>
        <v>0</v>
      </c>
      <c r="T1460" s="87">
        <f t="shared" si="657"/>
        <v>0</v>
      </c>
    </row>
    <row r="1461" spans="2:20" ht="20.100000000000001" hidden="1" customHeight="1">
      <c r="B1461" s="77">
        <v>11</v>
      </c>
      <c r="C1461" s="78" t="s">
        <v>2692</v>
      </c>
      <c r="D1461" s="79" t="s">
        <v>2725</v>
      </c>
      <c r="E1461" s="80" t="s">
        <v>2726</v>
      </c>
      <c r="F1461" s="81">
        <v>120</v>
      </c>
      <c r="G1461" s="222"/>
      <c r="H1461" s="186"/>
      <c r="I1461" s="186"/>
      <c r="J1461" s="308"/>
      <c r="K1461" s="227"/>
      <c r="L1461" s="82">
        <f t="shared" si="663"/>
        <v>0</v>
      </c>
      <c r="M1461" s="331"/>
      <c r="N1461" s="161">
        <f t="shared" si="658"/>
        <v>0</v>
      </c>
      <c r="O1461" s="161">
        <f t="shared" si="659"/>
        <v>0</v>
      </c>
      <c r="P1461" s="187">
        <f t="shared" si="660"/>
        <v>0</v>
      </c>
      <c r="Q1461" s="161">
        <f t="shared" si="661"/>
        <v>0</v>
      </c>
      <c r="R1461" s="85"/>
      <c r="S1461" s="86">
        <f t="shared" si="662"/>
        <v>0</v>
      </c>
      <c r="T1461" s="87">
        <f t="shared" si="657"/>
        <v>0</v>
      </c>
    </row>
    <row r="1462" spans="2:20" ht="20.100000000000001" hidden="1" customHeight="1">
      <c r="B1462" s="77">
        <v>11</v>
      </c>
      <c r="C1462" s="78" t="s">
        <v>2692</v>
      </c>
      <c r="D1462" s="79" t="s">
        <v>2727</v>
      </c>
      <c r="E1462" s="80" t="s">
        <v>2728</v>
      </c>
      <c r="F1462" s="81">
        <v>120</v>
      </c>
      <c r="G1462" s="222"/>
      <c r="H1462" s="186"/>
      <c r="I1462" s="186"/>
      <c r="J1462" s="308"/>
      <c r="K1462" s="227"/>
      <c r="L1462" s="82">
        <f t="shared" si="663"/>
        <v>0</v>
      </c>
      <c r="M1462" s="331"/>
      <c r="N1462" s="161">
        <f t="shared" si="658"/>
        <v>0</v>
      </c>
      <c r="O1462" s="161">
        <f t="shared" si="659"/>
        <v>0</v>
      </c>
      <c r="P1462" s="187">
        <f t="shared" si="660"/>
        <v>0</v>
      </c>
      <c r="Q1462" s="161">
        <f t="shared" si="661"/>
        <v>0</v>
      </c>
      <c r="R1462" s="85"/>
      <c r="S1462" s="86">
        <f t="shared" si="662"/>
        <v>0</v>
      </c>
      <c r="T1462" s="87">
        <f t="shared" si="657"/>
        <v>0</v>
      </c>
    </row>
    <row r="1463" spans="2:20" ht="20.100000000000001" hidden="1" customHeight="1">
      <c r="B1463" s="77">
        <v>11</v>
      </c>
      <c r="C1463" s="78" t="s">
        <v>2692</v>
      </c>
      <c r="D1463" s="79" t="s">
        <v>2729</v>
      </c>
      <c r="E1463" s="80" t="s">
        <v>2730</v>
      </c>
      <c r="F1463" s="81">
        <v>120</v>
      </c>
      <c r="G1463" s="222"/>
      <c r="H1463" s="186"/>
      <c r="I1463" s="186"/>
      <c r="J1463" s="308"/>
      <c r="K1463" s="227"/>
      <c r="L1463" s="82">
        <f t="shared" si="663"/>
        <v>0</v>
      </c>
      <c r="M1463" s="331"/>
      <c r="N1463" s="161">
        <f t="shared" si="658"/>
        <v>0</v>
      </c>
      <c r="O1463" s="161">
        <f t="shared" si="659"/>
        <v>0</v>
      </c>
      <c r="P1463" s="187">
        <f t="shared" si="660"/>
        <v>0</v>
      </c>
      <c r="Q1463" s="161">
        <f t="shared" si="661"/>
        <v>0</v>
      </c>
      <c r="R1463" s="85"/>
      <c r="S1463" s="86">
        <f t="shared" si="662"/>
        <v>0</v>
      </c>
      <c r="T1463" s="87">
        <f t="shared" si="657"/>
        <v>0</v>
      </c>
    </row>
    <row r="1464" spans="2:20" ht="20.100000000000001" hidden="1" customHeight="1">
      <c r="B1464" s="77">
        <v>11</v>
      </c>
      <c r="C1464" s="78" t="s">
        <v>2692</v>
      </c>
      <c r="D1464" s="79" t="s">
        <v>2731</v>
      </c>
      <c r="E1464" s="80" t="s">
        <v>2732</v>
      </c>
      <c r="F1464" s="81">
        <v>60</v>
      </c>
      <c r="G1464" s="222"/>
      <c r="H1464" s="186"/>
      <c r="I1464" s="186"/>
      <c r="J1464" s="308"/>
      <c r="K1464" s="227"/>
      <c r="L1464" s="82">
        <f t="shared" si="663"/>
        <v>0</v>
      </c>
      <c r="M1464" s="331"/>
      <c r="N1464" s="161">
        <f t="shared" si="658"/>
        <v>0</v>
      </c>
      <c r="O1464" s="161">
        <f t="shared" si="659"/>
        <v>0</v>
      </c>
      <c r="P1464" s="187">
        <f t="shared" si="660"/>
        <v>0</v>
      </c>
      <c r="Q1464" s="161">
        <f t="shared" si="661"/>
        <v>0</v>
      </c>
      <c r="R1464" s="85"/>
      <c r="S1464" s="86">
        <f t="shared" si="662"/>
        <v>0</v>
      </c>
      <c r="T1464" s="87">
        <f t="shared" si="657"/>
        <v>0</v>
      </c>
    </row>
    <row r="1465" spans="2:20" ht="20.100000000000001" hidden="1" customHeight="1">
      <c r="B1465" s="77">
        <v>11</v>
      </c>
      <c r="C1465" s="78" t="s">
        <v>2692</v>
      </c>
      <c r="D1465" s="79" t="s">
        <v>2733</v>
      </c>
      <c r="E1465" s="80" t="s">
        <v>2734</v>
      </c>
      <c r="F1465" s="81">
        <v>60</v>
      </c>
      <c r="G1465" s="222"/>
      <c r="H1465" s="186"/>
      <c r="I1465" s="186"/>
      <c r="J1465" s="308"/>
      <c r="K1465" s="227"/>
      <c r="L1465" s="82">
        <f t="shared" si="663"/>
        <v>0</v>
      </c>
      <c r="M1465" s="331"/>
      <c r="N1465" s="161">
        <f t="shared" si="658"/>
        <v>0</v>
      </c>
      <c r="O1465" s="161">
        <f t="shared" si="659"/>
        <v>0</v>
      </c>
      <c r="P1465" s="187">
        <f t="shared" si="660"/>
        <v>0</v>
      </c>
      <c r="Q1465" s="161">
        <f t="shared" si="661"/>
        <v>0</v>
      </c>
      <c r="R1465" s="85"/>
      <c r="S1465" s="86">
        <f t="shared" si="662"/>
        <v>0</v>
      </c>
      <c r="T1465" s="87">
        <f t="shared" si="657"/>
        <v>0</v>
      </c>
    </row>
    <row r="1466" spans="2:20" ht="20.100000000000001" hidden="1" customHeight="1">
      <c r="B1466" s="77">
        <v>11</v>
      </c>
      <c r="C1466" s="78" t="s">
        <v>2692</v>
      </c>
      <c r="D1466" s="79" t="s">
        <v>2735</v>
      </c>
      <c r="E1466" s="80" t="s">
        <v>2736</v>
      </c>
      <c r="F1466" s="81">
        <v>50</v>
      </c>
      <c r="G1466" s="222"/>
      <c r="H1466" s="186"/>
      <c r="I1466" s="186"/>
      <c r="J1466" s="308"/>
      <c r="K1466" s="227"/>
      <c r="L1466" s="82">
        <f t="shared" si="663"/>
        <v>0</v>
      </c>
      <c r="M1466" s="331"/>
      <c r="N1466" s="161">
        <f t="shared" si="658"/>
        <v>0</v>
      </c>
      <c r="O1466" s="161">
        <f t="shared" si="659"/>
        <v>0</v>
      </c>
      <c r="P1466" s="187">
        <f t="shared" si="660"/>
        <v>0</v>
      </c>
      <c r="Q1466" s="161">
        <f t="shared" si="661"/>
        <v>0</v>
      </c>
      <c r="R1466" s="85"/>
      <c r="S1466" s="86">
        <f t="shared" si="662"/>
        <v>0</v>
      </c>
      <c r="T1466" s="87">
        <f t="shared" si="657"/>
        <v>0</v>
      </c>
    </row>
    <row r="1467" spans="2:20" ht="20.100000000000001" hidden="1" customHeight="1">
      <c r="B1467" s="77">
        <v>11</v>
      </c>
      <c r="C1467" s="78" t="s">
        <v>2692</v>
      </c>
      <c r="D1467" s="79" t="s">
        <v>2737</v>
      </c>
      <c r="E1467" s="80" t="s">
        <v>2738</v>
      </c>
      <c r="F1467" s="81">
        <v>224</v>
      </c>
      <c r="G1467" s="222">
        <v>2</v>
      </c>
      <c r="H1467" s="186"/>
      <c r="I1467" s="186"/>
      <c r="J1467" s="308"/>
      <c r="K1467" s="227"/>
      <c r="L1467" s="82">
        <f t="shared" si="663"/>
        <v>2</v>
      </c>
      <c r="M1467" s="331">
        <v>2</v>
      </c>
      <c r="N1467" s="161">
        <f t="shared" si="658"/>
        <v>448</v>
      </c>
      <c r="O1467" s="161">
        <f t="shared" si="659"/>
        <v>448</v>
      </c>
      <c r="P1467" s="187">
        <f t="shared" si="660"/>
        <v>0</v>
      </c>
      <c r="Q1467" s="161">
        <f t="shared" si="661"/>
        <v>0</v>
      </c>
      <c r="R1467" s="85"/>
      <c r="S1467" s="86">
        <f t="shared" si="662"/>
        <v>0</v>
      </c>
      <c r="T1467" s="87">
        <f t="shared" si="657"/>
        <v>2</v>
      </c>
    </row>
    <row r="1468" spans="2:20" ht="20.100000000000001" hidden="1" customHeight="1">
      <c r="B1468" s="77">
        <v>11</v>
      </c>
      <c r="C1468" s="78" t="s">
        <v>2692</v>
      </c>
      <c r="D1468" s="79" t="s">
        <v>2739</v>
      </c>
      <c r="E1468" s="80" t="s">
        <v>2740</v>
      </c>
      <c r="F1468" s="81">
        <v>224</v>
      </c>
      <c r="G1468" s="222">
        <v>3</v>
      </c>
      <c r="H1468" s="186"/>
      <c r="I1468" s="186"/>
      <c r="J1468" s="308"/>
      <c r="K1468" s="227"/>
      <c r="L1468" s="82">
        <f t="shared" si="663"/>
        <v>3</v>
      </c>
      <c r="M1468" s="331">
        <v>3</v>
      </c>
      <c r="N1468" s="161">
        <f t="shared" si="658"/>
        <v>672</v>
      </c>
      <c r="O1468" s="161">
        <f t="shared" si="659"/>
        <v>672</v>
      </c>
      <c r="P1468" s="187">
        <f t="shared" si="660"/>
        <v>0</v>
      </c>
      <c r="Q1468" s="161">
        <f t="shared" si="661"/>
        <v>0</v>
      </c>
      <c r="R1468" s="85"/>
      <c r="S1468" s="86">
        <f t="shared" si="662"/>
        <v>0</v>
      </c>
      <c r="T1468" s="87">
        <f t="shared" si="657"/>
        <v>3</v>
      </c>
    </row>
    <row r="1469" spans="2:20" ht="20.100000000000001" hidden="1" customHeight="1">
      <c r="B1469" s="77">
        <v>11</v>
      </c>
      <c r="C1469" s="78" t="s">
        <v>2692</v>
      </c>
      <c r="D1469" s="79" t="s">
        <v>2741</v>
      </c>
      <c r="E1469" s="80" t="s">
        <v>2742</v>
      </c>
      <c r="F1469" s="81">
        <v>224</v>
      </c>
      <c r="G1469" s="222"/>
      <c r="H1469" s="186"/>
      <c r="I1469" s="186"/>
      <c r="J1469" s="308"/>
      <c r="K1469" s="227"/>
      <c r="L1469" s="82">
        <f t="shared" si="663"/>
        <v>0</v>
      </c>
      <c r="M1469" s="331">
        <v>0</v>
      </c>
      <c r="N1469" s="161">
        <f t="shared" si="658"/>
        <v>0</v>
      </c>
      <c r="O1469" s="161">
        <f t="shared" si="659"/>
        <v>0</v>
      </c>
      <c r="P1469" s="187">
        <f t="shared" si="660"/>
        <v>0</v>
      </c>
      <c r="Q1469" s="161">
        <f t="shared" si="661"/>
        <v>0</v>
      </c>
      <c r="R1469" s="85"/>
      <c r="S1469" s="86">
        <f t="shared" si="662"/>
        <v>0</v>
      </c>
      <c r="T1469" s="87">
        <f t="shared" si="657"/>
        <v>0</v>
      </c>
    </row>
    <row r="1470" spans="2:20" ht="20.100000000000001" hidden="1" customHeight="1">
      <c r="B1470" s="77">
        <v>11</v>
      </c>
      <c r="C1470" s="78" t="s">
        <v>2692</v>
      </c>
      <c r="D1470" s="79" t="s">
        <v>2743</v>
      </c>
      <c r="E1470" s="80" t="s">
        <v>2744</v>
      </c>
      <c r="F1470" s="81">
        <v>224</v>
      </c>
      <c r="G1470" s="222">
        <v>1</v>
      </c>
      <c r="H1470" s="186"/>
      <c r="I1470" s="186"/>
      <c r="J1470" s="308"/>
      <c r="K1470" s="227"/>
      <c r="L1470" s="82">
        <f t="shared" si="663"/>
        <v>1</v>
      </c>
      <c r="M1470" s="331">
        <v>1</v>
      </c>
      <c r="N1470" s="161">
        <f t="shared" si="658"/>
        <v>224</v>
      </c>
      <c r="O1470" s="161">
        <f t="shared" si="659"/>
        <v>224</v>
      </c>
      <c r="P1470" s="187">
        <f t="shared" si="660"/>
        <v>0</v>
      </c>
      <c r="Q1470" s="161">
        <f t="shared" si="661"/>
        <v>0</v>
      </c>
      <c r="R1470" s="85"/>
      <c r="S1470" s="86">
        <f t="shared" si="662"/>
        <v>0</v>
      </c>
      <c r="T1470" s="87">
        <f t="shared" si="657"/>
        <v>1</v>
      </c>
    </row>
    <row r="1471" spans="2:20" ht="20.100000000000001" hidden="1" customHeight="1">
      <c r="B1471" s="77">
        <v>11</v>
      </c>
      <c r="C1471" s="78" t="s">
        <v>2692</v>
      </c>
      <c r="D1471" s="79" t="s">
        <v>2745</v>
      </c>
      <c r="E1471" s="80" t="s">
        <v>2746</v>
      </c>
      <c r="F1471" s="81">
        <v>224</v>
      </c>
      <c r="G1471" s="222">
        <v>2</v>
      </c>
      <c r="H1471" s="186"/>
      <c r="I1471" s="186"/>
      <c r="J1471" s="308"/>
      <c r="K1471" s="227"/>
      <c r="L1471" s="82">
        <f t="shared" si="663"/>
        <v>2</v>
      </c>
      <c r="M1471" s="331">
        <v>2</v>
      </c>
      <c r="N1471" s="161">
        <f t="shared" si="658"/>
        <v>448</v>
      </c>
      <c r="O1471" s="161">
        <f t="shared" si="659"/>
        <v>448</v>
      </c>
      <c r="P1471" s="187">
        <f t="shared" si="660"/>
        <v>0</v>
      </c>
      <c r="Q1471" s="161">
        <f t="shared" si="661"/>
        <v>0</v>
      </c>
      <c r="R1471" s="85"/>
      <c r="S1471" s="86">
        <f t="shared" si="662"/>
        <v>0</v>
      </c>
      <c r="T1471" s="87">
        <f t="shared" si="657"/>
        <v>2</v>
      </c>
    </row>
    <row r="1472" spans="2:20" ht="20.100000000000001" hidden="1" customHeight="1">
      <c r="B1472" s="77">
        <v>11</v>
      </c>
      <c r="C1472" s="78" t="s">
        <v>2692</v>
      </c>
      <c r="D1472" s="79" t="s">
        <v>2747</v>
      </c>
      <c r="E1472" s="80" t="s">
        <v>2748</v>
      </c>
      <c r="F1472" s="81">
        <v>224</v>
      </c>
      <c r="G1472" s="222">
        <v>1</v>
      </c>
      <c r="H1472" s="186"/>
      <c r="I1472" s="186"/>
      <c r="J1472" s="308"/>
      <c r="K1472" s="227"/>
      <c r="L1472" s="82">
        <f t="shared" si="663"/>
        <v>1</v>
      </c>
      <c r="M1472" s="331">
        <v>1</v>
      </c>
      <c r="N1472" s="161">
        <f t="shared" si="658"/>
        <v>224</v>
      </c>
      <c r="O1472" s="161">
        <f t="shared" si="659"/>
        <v>224</v>
      </c>
      <c r="P1472" s="187">
        <f t="shared" si="660"/>
        <v>0</v>
      </c>
      <c r="Q1472" s="161">
        <f t="shared" si="661"/>
        <v>0</v>
      </c>
      <c r="R1472" s="85"/>
      <c r="S1472" s="86">
        <f t="shared" si="662"/>
        <v>0</v>
      </c>
      <c r="T1472" s="87">
        <f t="shared" si="657"/>
        <v>1</v>
      </c>
    </row>
    <row r="1473" spans="2:21" ht="20.100000000000001" hidden="1" customHeight="1">
      <c r="B1473" s="77">
        <v>11</v>
      </c>
      <c r="C1473" s="78" t="s">
        <v>2692</v>
      </c>
      <c r="D1473" s="79" t="s">
        <v>2749</v>
      </c>
      <c r="E1473" s="80" t="s">
        <v>2750</v>
      </c>
      <c r="F1473" s="81">
        <v>224</v>
      </c>
      <c r="G1473" s="222"/>
      <c r="H1473" s="186"/>
      <c r="I1473" s="186"/>
      <c r="J1473" s="308"/>
      <c r="K1473" s="227"/>
      <c r="L1473" s="82">
        <f t="shared" si="663"/>
        <v>0</v>
      </c>
      <c r="M1473" s="331">
        <v>0</v>
      </c>
      <c r="N1473" s="161">
        <f t="shared" si="658"/>
        <v>0</v>
      </c>
      <c r="O1473" s="161">
        <f t="shared" si="659"/>
        <v>0</v>
      </c>
      <c r="P1473" s="187">
        <f t="shared" si="660"/>
        <v>0</v>
      </c>
      <c r="Q1473" s="161">
        <f t="shared" si="661"/>
        <v>0</v>
      </c>
      <c r="R1473" s="85"/>
      <c r="S1473" s="86">
        <f t="shared" si="662"/>
        <v>0</v>
      </c>
      <c r="T1473" s="87">
        <f t="shared" si="657"/>
        <v>0</v>
      </c>
    </row>
    <row r="1474" spans="2:21" ht="20.100000000000001" hidden="1" customHeight="1">
      <c r="B1474" s="77">
        <v>11</v>
      </c>
      <c r="C1474" s="78" t="s">
        <v>2692</v>
      </c>
      <c r="D1474" s="79" t="s">
        <v>2751</v>
      </c>
      <c r="E1474" s="80" t="s">
        <v>2752</v>
      </c>
      <c r="F1474" s="81">
        <v>224</v>
      </c>
      <c r="G1474" s="222">
        <v>2</v>
      </c>
      <c r="H1474" s="186"/>
      <c r="I1474" s="186"/>
      <c r="J1474" s="308"/>
      <c r="K1474" s="227"/>
      <c r="L1474" s="82">
        <f t="shared" si="663"/>
        <v>2</v>
      </c>
      <c r="M1474" s="331">
        <v>2</v>
      </c>
      <c r="N1474" s="161">
        <f t="shared" si="658"/>
        <v>448</v>
      </c>
      <c r="O1474" s="161">
        <f t="shared" si="659"/>
        <v>448</v>
      </c>
      <c r="P1474" s="187">
        <f t="shared" si="660"/>
        <v>0</v>
      </c>
      <c r="Q1474" s="161">
        <f t="shared" si="661"/>
        <v>0</v>
      </c>
      <c r="R1474" s="85"/>
      <c r="S1474" s="86">
        <f t="shared" si="662"/>
        <v>0</v>
      </c>
      <c r="T1474" s="87">
        <f t="shared" si="657"/>
        <v>2</v>
      </c>
    </row>
    <row r="1475" spans="2:21" ht="20.100000000000001" hidden="1" customHeight="1">
      <c r="B1475" s="77">
        <v>11</v>
      </c>
      <c r="C1475" s="78" t="s">
        <v>2692</v>
      </c>
      <c r="D1475" s="79" t="s">
        <v>2753</v>
      </c>
      <c r="E1475" s="80" t="s">
        <v>2754</v>
      </c>
      <c r="F1475" s="81">
        <v>224</v>
      </c>
      <c r="G1475" s="222"/>
      <c r="H1475" s="186"/>
      <c r="I1475" s="186"/>
      <c r="J1475" s="308"/>
      <c r="K1475" s="227"/>
      <c r="L1475" s="82">
        <f t="shared" si="663"/>
        <v>0</v>
      </c>
      <c r="M1475" s="331">
        <v>0</v>
      </c>
      <c r="N1475" s="161">
        <f t="shared" si="658"/>
        <v>0</v>
      </c>
      <c r="O1475" s="161">
        <f t="shared" si="659"/>
        <v>0</v>
      </c>
      <c r="P1475" s="187">
        <f t="shared" si="660"/>
        <v>0</v>
      </c>
      <c r="Q1475" s="161">
        <f t="shared" si="661"/>
        <v>0</v>
      </c>
      <c r="R1475" s="85"/>
      <c r="S1475" s="86">
        <f t="shared" si="662"/>
        <v>0</v>
      </c>
      <c r="T1475" s="87">
        <f t="shared" si="657"/>
        <v>0</v>
      </c>
    </row>
    <row r="1476" spans="2:21" ht="20.100000000000001" hidden="1" customHeight="1">
      <c r="B1476" s="77">
        <v>11</v>
      </c>
      <c r="C1476" s="78" t="s">
        <v>2692</v>
      </c>
      <c r="D1476" s="79" t="s">
        <v>2755</v>
      </c>
      <c r="E1476" s="80" t="s">
        <v>2756</v>
      </c>
      <c r="F1476" s="81">
        <v>203</v>
      </c>
      <c r="G1476" s="222">
        <v>2</v>
      </c>
      <c r="H1476" s="186"/>
      <c r="I1476" s="186"/>
      <c r="J1476" s="308"/>
      <c r="K1476" s="227"/>
      <c r="L1476" s="82">
        <f t="shared" si="663"/>
        <v>2</v>
      </c>
      <c r="M1476" s="331">
        <v>2</v>
      </c>
      <c r="N1476" s="161">
        <f t="shared" si="658"/>
        <v>406</v>
      </c>
      <c r="O1476" s="161">
        <f t="shared" si="659"/>
        <v>406</v>
      </c>
      <c r="P1476" s="187">
        <f t="shared" si="660"/>
        <v>0</v>
      </c>
      <c r="Q1476" s="161">
        <f t="shared" si="661"/>
        <v>0</v>
      </c>
      <c r="R1476" s="85"/>
      <c r="S1476" s="86">
        <f t="shared" si="662"/>
        <v>0</v>
      </c>
      <c r="T1476" s="87">
        <f t="shared" si="657"/>
        <v>2</v>
      </c>
    </row>
    <row r="1477" spans="2:21" ht="20.100000000000001" hidden="1" customHeight="1">
      <c r="B1477" s="77">
        <v>11</v>
      </c>
      <c r="C1477" s="78" t="s">
        <v>2692</v>
      </c>
      <c r="D1477" s="79" t="s">
        <v>2757</v>
      </c>
      <c r="E1477" s="80" t="s">
        <v>2758</v>
      </c>
      <c r="F1477" s="81">
        <v>203</v>
      </c>
      <c r="G1477" s="222">
        <v>1</v>
      </c>
      <c r="H1477" s="186"/>
      <c r="I1477" s="186"/>
      <c r="J1477" s="308"/>
      <c r="K1477" s="227"/>
      <c r="L1477" s="82">
        <f t="shared" si="663"/>
        <v>1</v>
      </c>
      <c r="M1477" s="331">
        <v>1</v>
      </c>
      <c r="N1477" s="161">
        <f t="shared" si="658"/>
        <v>203</v>
      </c>
      <c r="O1477" s="161">
        <f t="shared" si="659"/>
        <v>203</v>
      </c>
      <c r="P1477" s="187">
        <f t="shared" si="660"/>
        <v>0</v>
      </c>
      <c r="Q1477" s="161">
        <f t="shared" si="661"/>
        <v>0</v>
      </c>
      <c r="R1477" s="85"/>
      <c r="S1477" s="86">
        <f t="shared" si="662"/>
        <v>0</v>
      </c>
      <c r="T1477" s="87">
        <f t="shared" si="657"/>
        <v>1</v>
      </c>
    </row>
    <row r="1478" spans="2:21" ht="20.100000000000001" hidden="1" customHeight="1">
      <c r="B1478" s="77">
        <v>11</v>
      </c>
      <c r="C1478" s="78" t="s">
        <v>2692</v>
      </c>
      <c r="D1478" s="79" t="s">
        <v>2759</v>
      </c>
      <c r="E1478" s="80" t="s">
        <v>2760</v>
      </c>
      <c r="F1478" s="81">
        <v>203</v>
      </c>
      <c r="G1478" s="222">
        <v>1</v>
      </c>
      <c r="H1478" s="186"/>
      <c r="I1478" s="186"/>
      <c r="J1478" s="308"/>
      <c r="K1478" s="227">
        <v>1</v>
      </c>
      <c r="L1478" s="82">
        <f t="shared" si="663"/>
        <v>0</v>
      </c>
      <c r="M1478" s="331">
        <v>0</v>
      </c>
      <c r="N1478" s="161">
        <f t="shared" si="658"/>
        <v>0</v>
      </c>
      <c r="O1478" s="161">
        <f t="shared" si="659"/>
        <v>0</v>
      </c>
      <c r="P1478" s="187">
        <f t="shared" si="660"/>
        <v>0</v>
      </c>
      <c r="Q1478" s="161">
        <f t="shared" si="661"/>
        <v>0</v>
      </c>
      <c r="R1478" s="85"/>
      <c r="S1478" s="86">
        <f t="shared" si="662"/>
        <v>0</v>
      </c>
      <c r="T1478" s="87">
        <f t="shared" si="657"/>
        <v>0</v>
      </c>
    </row>
    <row r="1479" spans="2:21" ht="20.100000000000001" hidden="1" customHeight="1">
      <c r="B1479" s="77">
        <v>11</v>
      </c>
      <c r="C1479" s="78" t="s">
        <v>2692</v>
      </c>
      <c r="D1479" s="79" t="s">
        <v>2761</v>
      </c>
      <c r="E1479" s="80" t="s">
        <v>2762</v>
      </c>
      <c r="F1479" s="81">
        <v>210</v>
      </c>
      <c r="G1479" s="222"/>
      <c r="H1479" s="186"/>
      <c r="I1479" s="186"/>
      <c r="J1479" s="308"/>
      <c r="K1479" s="227"/>
      <c r="L1479" s="82">
        <f t="shared" si="663"/>
        <v>0</v>
      </c>
      <c r="M1479" s="331">
        <v>0</v>
      </c>
      <c r="N1479" s="161">
        <f t="shared" si="658"/>
        <v>0</v>
      </c>
      <c r="O1479" s="161">
        <f t="shared" si="659"/>
        <v>0</v>
      </c>
      <c r="P1479" s="187">
        <f t="shared" si="660"/>
        <v>0</v>
      </c>
      <c r="Q1479" s="161">
        <f t="shared" si="661"/>
        <v>0</v>
      </c>
      <c r="R1479" s="85"/>
      <c r="S1479" s="86">
        <f t="shared" si="662"/>
        <v>0</v>
      </c>
      <c r="T1479" s="87">
        <f t="shared" si="657"/>
        <v>0</v>
      </c>
    </row>
    <row r="1480" spans="2:21" ht="20.100000000000001" hidden="1" customHeight="1">
      <c r="B1480" s="77">
        <v>11</v>
      </c>
      <c r="C1480" s="78" t="s">
        <v>2692</v>
      </c>
      <c r="D1480" s="79" t="s">
        <v>2763</v>
      </c>
      <c r="E1480" s="80" t="s">
        <v>2764</v>
      </c>
      <c r="F1480" s="81">
        <v>210</v>
      </c>
      <c r="G1480" s="222">
        <v>1</v>
      </c>
      <c r="H1480" s="186"/>
      <c r="I1480" s="186"/>
      <c r="J1480" s="308"/>
      <c r="K1480" s="227"/>
      <c r="L1480" s="82">
        <f t="shared" si="663"/>
        <v>1</v>
      </c>
      <c r="M1480" s="331">
        <v>1</v>
      </c>
      <c r="N1480" s="161">
        <f t="shared" si="658"/>
        <v>210</v>
      </c>
      <c r="O1480" s="161">
        <f t="shared" si="659"/>
        <v>210</v>
      </c>
      <c r="P1480" s="187">
        <f t="shared" si="660"/>
        <v>0</v>
      </c>
      <c r="Q1480" s="161">
        <f t="shared" si="661"/>
        <v>0</v>
      </c>
      <c r="R1480" s="85"/>
      <c r="S1480" s="86">
        <f t="shared" si="662"/>
        <v>0</v>
      </c>
      <c r="T1480" s="87">
        <f t="shared" si="657"/>
        <v>1</v>
      </c>
    </row>
    <row r="1481" spans="2:21" ht="20.100000000000001" hidden="1" customHeight="1">
      <c r="B1481" s="77">
        <v>11</v>
      </c>
      <c r="C1481" s="78" t="s">
        <v>2692</v>
      </c>
      <c r="D1481" s="79" t="s">
        <v>2765</v>
      </c>
      <c r="E1481" s="80" t="s">
        <v>2766</v>
      </c>
      <c r="F1481" s="81">
        <v>112</v>
      </c>
      <c r="G1481" s="222">
        <v>2</v>
      </c>
      <c r="H1481" s="186"/>
      <c r="I1481" s="186"/>
      <c r="J1481" s="308"/>
      <c r="K1481" s="227"/>
      <c r="L1481" s="82">
        <f t="shared" si="663"/>
        <v>2</v>
      </c>
      <c r="M1481" s="331">
        <v>2</v>
      </c>
      <c r="N1481" s="161">
        <f t="shared" si="658"/>
        <v>224</v>
      </c>
      <c r="O1481" s="161">
        <f t="shared" si="659"/>
        <v>224</v>
      </c>
      <c r="P1481" s="187">
        <f t="shared" si="660"/>
        <v>0</v>
      </c>
      <c r="Q1481" s="161">
        <f t="shared" si="661"/>
        <v>0</v>
      </c>
      <c r="R1481" s="85"/>
      <c r="S1481" s="86">
        <f t="shared" si="662"/>
        <v>2</v>
      </c>
      <c r="T1481" s="87">
        <f t="shared" si="657"/>
        <v>0</v>
      </c>
      <c r="U1481">
        <v>2</v>
      </c>
    </row>
    <row r="1482" spans="2:21" ht="20.100000000000001" hidden="1" customHeight="1">
      <c r="B1482" s="77">
        <v>11</v>
      </c>
      <c r="C1482" s="78" t="s">
        <v>2692</v>
      </c>
      <c r="D1482" s="79" t="s">
        <v>2767</v>
      </c>
      <c r="E1482" s="80" t="s">
        <v>2768</v>
      </c>
      <c r="F1482" s="81">
        <v>144</v>
      </c>
      <c r="G1482" s="222">
        <v>5</v>
      </c>
      <c r="H1482" s="186"/>
      <c r="I1482" s="186"/>
      <c r="J1482" s="308"/>
      <c r="K1482" s="227"/>
      <c r="L1482" s="82">
        <f t="shared" si="663"/>
        <v>5</v>
      </c>
      <c r="M1482" s="331">
        <v>5</v>
      </c>
      <c r="N1482" s="161">
        <f t="shared" si="658"/>
        <v>720</v>
      </c>
      <c r="O1482" s="161">
        <f t="shared" si="659"/>
        <v>720</v>
      </c>
      <c r="P1482" s="187">
        <f t="shared" si="660"/>
        <v>0</v>
      </c>
      <c r="Q1482" s="161">
        <f t="shared" si="661"/>
        <v>0</v>
      </c>
      <c r="R1482" s="85"/>
      <c r="S1482" s="86">
        <f t="shared" si="662"/>
        <v>5</v>
      </c>
      <c r="T1482" s="87">
        <f t="shared" si="657"/>
        <v>0</v>
      </c>
      <c r="U1482">
        <v>5</v>
      </c>
    </row>
    <row r="1483" spans="2:21" ht="20.100000000000001" hidden="1" customHeight="1">
      <c r="B1483" s="77">
        <v>11</v>
      </c>
      <c r="C1483" s="78" t="s">
        <v>2692</v>
      </c>
      <c r="D1483" s="79" t="s">
        <v>2769</v>
      </c>
      <c r="E1483" s="80" t="s">
        <v>2770</v>
      </c>
      <c r="F1483" s="81">
        <v>542.5</v>
      </c>
      <c r="G1483" s="222">
        <v>1</v>
      </c>
      <c r="H1483" s="186"/>
      <c r="I1483" s="186"/>
      <c r="J1483" s="308"/>
      <c r="K1483" s="227"/>
      <c r="L1483" s="82">
        <f t="shared" si="663"/>
        <v>1</v>
      </c>
      <c r="M1483" s="331">
        <v>1</v>
      </c>
      <c r="N1483" s="161">
        <f t="shared" si="658"/>
        <v>542.5</v>
      </c>
      <c r="O1483" s="161">
        <f t="shared" si="659"/>
        <v>542.5</v>
      </c>
      <c r="P1483" s="187">
        <f t="shared" si="660"/>
        <v>0</v>
      </c>
      <c r="Q1483" s="161">
        <f t="shared" si="661"/>
        <v>0</v>
      </c>
      <c r="R1483" s="85"/>
      <c r="S1483" s="86">
        <f t="shared" si="662"/>
        <v>1</v>
      </c>
      <c r="T1483" s="87">
        <f t="shared" si="657"/>
        <v>0</v>
      </c>
      <c r="U1483">
        <v>1</v>
      </c>
    </row>
    <row r="1484" spans="2:21" ht="20.100000000000001" hidden="1" customHeight="1">
      <c r="B1484" s="77">
        <v>11</v>
      </c>
      <c r="C1484" s="78" t="s">
        <v>2692</v>
      </c>
      <c r="D1484" s="79" t="s">
        <v>2771</v>
      </c>
      <c r="E1484" s="80" t="s">
        <v>2772</v>
      </c>
      <c r="F1484" s="81">
        <v>230.83</v>
      </c>
      <c r="G1484" s="222">
        <v>1</v>
      </c>
      <c r="H1484" s="186"/>
      <c r="I1484" s="186"/>
      <c r="J1484" s="308"/>
      <c r="K1484" s="227"/>
      <c r="L1484" s="82">
        <f t="shared" si="663"/>
        <v>1</v>
      </c>
      <c r="M1484" s="331">
        <v>1</v>
      </c>
      <c r="N1484" s="161">
        <f t="shared" si="658"/>
        <v>230.83</v>
      </c>
      <c r="O1484" s="161">
        <f t="shared" si="659"/>
        <v>230.83</v>
      </c>
      <c r="P1484" s="187">
        <f t="shared" si="660"/>
        <v>0</v>
      </c>
      <c r="Q1484" s="161">
        <f t="shared" si="661"/>
        <v>0</v>
      </c>
      <c r="R1484" s="85"/>
      <c r="S1484" s="86">
        <f t="shared" si="662"/>
        <v>1</v>
      </c>
      <c r="T1484" s="87">
        <f t="shared" si="657"/>
        <v>0</v>
      </c>
      <c r="U1484">
        <v>1</v>
      </c>
    </row>
    <row r="1485" spans="2:21" ht="20.100000000000001" hidden="1" customHeight="1">
      <c r="B1485" s="77">
        <v>11</v>
      </c>
      <c r="C1485" s="78" t="s">
        <v>2692</v>
      </c>
      <c r="D1485" s="79" t="s">
        <v>2773</v>
      </c>
      <c r="E1485" s="80" t="s">
        <v>2774</v>
      </c>
      <c r="F1485" s="81">
        <v>188.3</v>
      </c>
      <c r="G1485" s="222">
        <v>1</v>
      </c>
      <c r="H1485" s="186"/>
      <c r="I1485" s="186"/>
      <c r="J1485" s="308"/>
      <c r="K1485" s="227"/>
      <c r="L1485" s="82">
        <f t="shared" si="663"/>
        <v>1</v>
      </c>
      <c r="M1485" s="331">
        <v>1</v>
      </c>
      <c r="N1485" s="161">
        <f t="shared" si="658"/>
        <v>188.3</v>
      </c>
      <c r="O1485" s="161">
        <f t="shared" si="659"/>
        <v>188.3</v>
      </c>
      <c r="P1485" s="187">
        <f t="shared" si="660"/>
        <v>0</v>
      </c>
      <c r="Q1485" s="161">
        <f t="shared" si="661"/>
        <v>0</v>
      </c>
      <c r="R1485" s="85"/>
      <c r="S1485" s="86">
        <f t="shared" si="662"/>
        <v>1</v>
      </c>
      <c r="T1485" s="87">
        <f t="shared" si="657"/>
        <v>0</v>
      </c>
      <c r="U1485">
        <v>1</v>
      </c>
    </row>
    <row r="1486" spans="2:21" ht="20.100000000000001" hidden="1" customHeight="1">
      <c r="B1486" s="77">
        <v>11</v>
      </c>
      <c r="C1486" s="78" t="s">
        <v>2692</v>
      </c>
      <c r="D1486" s="79" t="s">
        <v>2775</v>
      </c>
      <c r="E1486" s="80" t="s">
        <v>2776</v>
      </c>
      <c r="F1486" s="81">
        <v>188.3</v>
      </c>
      <c r="G1486" s="222">
        <v>1</v>
      </c>
      <c r="H1486" s="186"/>
      <c r="I1486" s="186"/>
      <c r="J1486" s="308"/>
      <c r="K1486" s="227"/>
      <c r="L1486" s="82">
        <f t="shared" si="663"/>
        <v>1</v>
      </c>
      <c r="M1486" s="331">
        <v>1</v>
      </c>
      <c r="N1486" s="161">
        <f t="shared" si="658"/>
        <v>188.3</v>
      </c>
      <c r="O1486" s="161">
        <f t="shared" si="659"/>
        <v>188.3</v>
      </c>
      <c r="P1486" s="187">
        <f t="shared" si="660"/>
        <v>0</v>
      </c>
      <c r="Q1486" s="161">
        <f t="shared" si="661"/>
        <v>0</v>
      </c>
      <c r="R1486" s="85"/>
      <c r="S1486" s="86">
        <f t="shared" si="662"/>
        <v>1</v>
      </c>
      <c r="T1486" s="87">
        <f t="shared" si="657"/>
        <v>0</v>
      </c>
      <c r="U1486">
        <v>1</v>
      </c>
    </row>
    <row r="1487" spans="2:21" ht="20.100000000000001" hidden="1" customHeight="1">
      <c r="B1487" s="77">
        <v>11</v>
      </c>
      <c r="C1487" s="78" t="s">
        <v>2692</v>
      </c>
      <c r="D1487" s="79" t="s">
        <v>2777</v>
      </c>
      <c r="E1487" s="80" t="s">
        <v>2778</v>
      </c>
      <c r="F1487" s="81">
        <v>188.3</v>
      </c>
      <c r="G1487" s="222">
        <v>1</v>
      </c>
      <c r="H1487" s="186"/>
      <c r="I1487" s="186"/>
      <c r="J1487" s="308"/>
      <c r="K1487" s="227"/>
      <c r="L1487" s="82">
        <f t="shared" si="663"/>
        <v>1</v>
      </c>
      <c r="M1487" s="331">
        <v>1</v>
      </c>
      <c r="N1487" s="161">
        <f t="shared" si="658"/>
        <v>188.3</v>
      </c>
      <c r="O1487" s="161">
        <f t="shared" si="659"/>
        <v>188.3</v>
      </c>
      <c r="P1487" s="187">
        <f t="shared" si="660"/>
        <v>0</v>
      </c>
      <c r="Q1487" s="161">
        <f t="shared" si="661"/>
        <v>0</v>
      </c>
      <c r="R1487" s="85"/>
      <c r="S1487" s="86">
        <f t="shared" si="662"/>
        <v>1</v>
      </c>
      <c r="T1487" s="87">
        <f t="shared" si="657"/>
        <v>0</v>
      </c>
      <c r="U1487">
        <v>1</v>
      </c>
    </row>
    <row r="1488" spans="2:21" ht="20.100000000000001" hidden="1" customHeight="1">
      <c r="B1488" s="77">
        <v>11</v>
      </c>
      <c r="C1488" s="78" t="s">
        <v>2692</v>
      </c>
      <c r="D1488" s="79" t="s">
        <v>2779</v>
      </c>
      <c r="E1488" s="80" t="s">
        <v>2780</v>
      </c>
      <c r="F1488" s="81">
        <v>153.83000000000001</v>
      </c>
      <c r="G1488" s="222">
        <v>1</v>
      </c>
      <c r="H1488" s="186"/>
      <c r="I1488" s="186"/>
      <c r="J1488" s="308"/>
      <c r="K1488" s="227"/>
      <c r="L1488" s="82">
        <f t="shared" si="663"/>
        <v>1</v>
      </c>
      <c r="M1488" s="331">
        <v>1</v>
      </c>
      <c r="N1488" s="161">
        <f t="shared" si="658"/>
        <v>153.83000000000001</v>
      </c>
      <c r="O1488" s="161">
        <f t="shared" si="659"/>
        <v>153.83000000000001</v>
      </c>
      <c r="P1488" s="187">
        <f t="shared" si="660"/>
        <v>0</v>
      </c>
      <c r="Q1488" s="161">
        <f t="shared" si="661"/>
        <v>0</v>
      </c>
      <c r="R1488" s="85"/>
      <c r="S1488" s="86">
        <f t="shared" si="662"/>
        <v>1</v>
      </c>
      <c r="T1488" s="87">
        <f t="shared" si="657"/>
        <v>0</v>
      </c>
      <c r="U1488">
        <v>1</v>
      </c>
    </row>
    <row r="1489" spans="2:21" ht="20.100000000000001" hidden="1" customHeight="1">
      <c r="B1489" s="77">
        <v>11</v>
      </c>
      <c r="C1489" s="78" t="s">
        <v>2692</v>
      </c>
      <c r="D1489" s="79" t="s">
        <v>2781</v>
      </c>
      <c r="E1489" s="80" t="s">
        <v>2782</v>
      </c>
      <c r="F1489" s="81">
        <v>188.83</v>
      </c>
      <c r="G1489" s="222">
        <v>1</v>
      </c>
      <c r="H1489" s="186"/>
      <c r="I1489" s="186"/>
      <c r="J1489" s="308"/>
      <c r="K1489" s="227"/>
      <c r="L1489" s="82">
        <f t="shared" si="663"/>
        <v>1</v>
      </c>
      <c r="M1489" s="331">
        <v>1</v>
      </c>
      <c r="N1489" s="161">
        <f t="shared" si="658"/>
        <v>188.83</v>
      </c>
      <c r="O1489" s="161">
        <f t="shared" si="659"/>
        <v>188.83</v>
      </c>
      <c r="P1489" s="187">
        <f t="shared" si="660"/>
        <v>0</v>
      </c>
      <c r="Q1489" s="161">
        <f t="shared" si="661"/>
        <v>0</v>
      </c>
      <c r="R1489" s="85"/>
      <c r="S1489" s="86">
        <f t="shared" si="662"/>
        <v>1</v>
      </c>
      <c r="T1489" s="87">
        <f t="shared" si="657"/>
        <v>0</v>
      </c>
      <c r="U1489">
        <v>1</v>
      </c>
    </row>
    <row r="1490" spans="2:21" ht="20.100000000000001" hidden="1" customHeight="1">
      <c r="B1490" s="77">
        <v>11</v>
      </c>
      <c r="C1490" s="78" t="s">
        <v>2692</v>
      </c>
      <c r="D1490" s="79" t="s">
        <v>2783</v>
      </c>
      <c r="E1490" s="80" t="s">
        <v>2782</v>
      </c>
      <c r="F1490" s="81">
        <v>153.83000000000001</v>
      </c>
      <c r="G1490" s="222">
        <v>1</v>
      </c>
      <c r="H1490" s="186"/>
      <c r="I1490" s="186"/>
      <c r="J1490" s="308"/>
      <c r="K1490" s="227"/>
      <c r="L1490" s="82">
        <f t="shared" si="663"/>
        <v>1</v>
      </c>
      <c r="M1490" s="331">
        <v>1</v>
      </c>
      <c r="N1490" s="161">
        <f t="shared" si="658"/>
        <v>153.83000000000001</v>
      </c>
      <c r="O1490" s="161">
        <f t="shared" si="659"/>
        <v>153.83000000000001</v>
      </c>
      <c r="P1490" s="187">
        <f t="shared" si="660"/>
        <v>0</v>
      </c>
      <c r="Q1490" s="161">
        <f t="shared" si="661"/>
        <v>0</v>
      </c>
      <c r="R1490" s="85"/>
      <c r="S1490" s="86">
        <f t="shared" si="662"/>
        <v>1</v>
      </c>
      <c r="T1490" s="87">
        <f t="shared" si="657"/>
        <v>0</v>
      </c>
      <c r="U1490">
        <v>1</v>
      </c>
    </row>
    <row r="1491" spans="2:21" ht="20.100000000000001" hidden="1" customHeight="1">
      <c r="B1491" s="77">
        <v>11</v>
      </c>
      <c r="C1491" s="78" t="s">
        <v>2692</v>
      </c>
      <c r="D1491" s="79" t="s">
        <v>2784</v>
      </c>
      <c r="E1491" s="80" t="s">
        <v>2785</v>
      </c>
      <c r="F1491" s="81">
        <v>188.83</v>
      </c>
      <c r="G1491" s="222">
        <v>1</v>
      </c>
      <c r="H1491" s="186"/>
      <c r="I1491" s="186"/>
      <c r="J1491" s="308"/>
      <c r="K1491" s="227"/>
      <c r="L1491" s="82">
        <f t="shared" si="663"/>
        <v>1</v>
      </c>
      <c r="M1491" s="331">
        <v>1</v>
      </c>
      <c r="N1491" s="161">
        <f t="shared" si="658"/>
        <v>188.83</v>
      </c>
      <c r="O1491" s="161">
        <f t="shared" si="659"/>
        <v>188.83</v>
      </c>
      <c r="P1491" s="187">
        <f t="shared" si="660"/>
        <v>0</v>
      </c>
      <c r="Q1491" s="161">
        <f t="shared" si="661"/>
        <v>0</v>
      </c>
      <c r="R1491" s="85"/>
      <c r="S1491" s="86">
        <f t="shared" si="662"/>
        <v>1</v>
      </c>
      <c r="T1491" s="87">
        <f t="shared" si="657"/>
        <v>0</v>
      </c>
      <c r="U1491">
        <v>1</v>
      </c>
    </row>
    <row r="1492" spans="2:21" ht="20.100000000000001" hidden="1" customHeight="1">
      <c r="B1492" s="77">
        <v>11</v>
      </c>
      <c r="C1492" s="78" t="s">
        <v>2692</v>
      </c>
      <c r="D1492" s="79" t="s">
        <v>2786</v>
      </c>
      <c r="E1492" s="80" t="s">
        <v>2785</v>
      </c>
      <c r="F1492" s="81">
        <v>153.83000000000001</v>
      </c>
      <c r="G1492" s="222">
        <v>1</v>
      </c>
      <c r="H1492" s="186"/>
      <c r="I1492" s="186"/>
      <c r="J1492" s="308"/>
      <c r="K1492" s="227"/>
      <c r="L1492" s="82">
        <f t="shared" si="663"/>
        <v>1</v>
      </c>
      <c r="M1492" s="331">
        <v>1</v>
      </c>
      <c r="N1492" s="161">
        <f t="shared" si="658"/>
        <v>153.83000000000001</v>
      </c>
      <c r="O1492" s="161">
        <f t="shared" si="659"/>
        <v>153.83000000000001</v>
      </c>
      <c r="P1492" s="187">
        <f t="shared" si="660"/>
        <v>0</v>
      </c>
      <c r="Q1492" s="161">
        <f t="shared" si="661"/>
        <v>0</v>
      </c>
      <c r="R1492" s="85"/>
      <c r="S1492" s="86">
        <f t="shared" si="662"/>
        <v>1</v>
      </c>
      <c r="T1492" s="87">
        <f t="shared" si="657"/>
        <v>0</v>
      </c>
      <c r="U1492">
        <v>1</v>
      </c>
    </row>
    <row r="1493" spans="2:21" ht="20.100000000000001" hidden="1" customHeight="1">
      <c r="B1493" s="77">
        <v>11</v>
      </c>
      <c r="C1493" s="78" t="s">
        <v>2692</v>
      </c>
      <c r="D1493" s="79" t="s">
        <v>2787</v>
      </c>
      <c r="E1493" s="80" t="s">
        <v>2788</v>
      </c>
      <c r="F1493" s="81">
        <v>188.83</v>
      </c>
      <c r="G1493" s="222">
        <v>1</v>
      </c>
      <c r="H1493" s="186"/>
      <c r="I1493" s="186"/>
      <c r="J1493" s="308"/>
      <c r="K1493" s="227"/>
      <c r="L1493" s="82">
        <f t="shared" si="663"/>
        <v>1</v>
      </c>
      <c r="M1493" s="331">
        <v>1</v>
      </c>
      <c r="N1493" s="161">
        <f t="shared" si="658"/>
        <v>188.83</v>
      </c>
      <c r="O1493" s="161">
        <f t="shared" si="659"/>
        <v>188.83</v>
      </c>
      <c r="P1493" s="187">
        <f t="shared" si="660"/>
        <v>0</v>
      </c>
      <c r="Q1493" s="161">
        <f t="shared" si="661"/>
        <v>0</v>
      </c>
      <c r="R1493" s="85"/>
      <c r="S1493" s="86">
        <f t="shared" si="662"/>
        <v>1</v>
      </c>
      <c r="T1493" s="87">
        <f t="shared" si="657"/>
        <v>0</v>
      </c>
      <c r="U1493">
        <v>1</v>
      </c>
    </row>
    <row r="1494" spans="2:21" ht="20.100000000000001" hidden="1" customHeight="1">
      <c r="B1494" s="77">
        <v>11</v>
      </c>
      <c r="C1494" s="78" t="s">
        <v>2692</v>
      </c>
      <c r="D1494" s="79" t="s">
        <v>2789</v>
      </c>
      <c r="E1494" s="80" t="s">
        <v>2788</v>
      </c>
      <c r="F1494" s="81">
        <v>153.83000000000001</v>
      </c>
      <c r="G1494" s="222">
        <v>1</v>
      </c>
      <c r="H1494" s="186"/>
      <c r="I1494" s="186"/>
      <c r="J1494" s="308"/>
      <c r="K1494" s="227"/>
      <c r="L1494" s="82">
        <f t="shared" si="663"/>
        <v>1</v>
      </c>
      <c r="M1494" s="331">
        <v>1</v>
      </c>
      <c r="N1494" s="161">
        <f t="shared" si="658"/>
        <v>153.83000000000001</v>
      </c>
      <c r="O1494" s="161">
        <f t="shared" si="659"/>
        <v>153.83000000000001</v>
      </c>
      <c r="P1494" s="187">
        <f t="shared" si="660"/>
        <v>0</v>
      </c>
      <c r="Q1494" s="161">
        <f t="shared" si="661"/>
        <v>0</v>
      </c>
      <c r="R1494" s="85"/>
      <c r="S1494" s="86">
        <f t="shared" si="662"/>
        <v>1</v>
      </c>
      <c r="T1494" s="87">
        <f t="shared" si="657"/>
        <v>0</v>
      </c>
      <c r="U1494">
        <v>1</v>
      </c>
    </row>
    <row r="1495" spans="2:21" ht="20.100000000000001" hidden="1" customHeight="1">
      <c r="B1495" s="77">
        <v>11</v>
      </c>
      <c r="C1495" s="78" t="s">
        <v>2692</v>
      </c>
      <c r="D1495" s="79" t="s">
        <v>2790</v>
      </c>
      <c r="E1495" s="80" t="s">
        <v>2791</v>
      </c>
      <c r="F1495" s="81">
        <v>188.83</v>
      </c>
      <c r="G1495" s="222">
        <v>1</v>
      </c>
      <c r="H1495" s="186"/>
      <c r="I1495" s="186"/>
      <c r="J1495" s="308"/>
      <c r="K1495" s="227"/>
      <c r="L1495" s="82">
        <f t="shared" si="663"/>
        <v>1</v>
      </c>
      <c r="M1495" s="331">
        <v>1</v>
      </c>
      <c r="N1495" s="161">
        <f t="shared" si="658"/>
        <v>188.83</v>
      </c>
      <c r="O1495" s="161">
        <f t="shared" si="659"/>
        <v>188.83</v>
      </c>
      <c r="P1495" s="187">
        <f t="shared" si="660"/>
        <v>0</v>
      </c>
      <c r="Q1495" s="161">
        <f t="shared" si="661"/>
        <v>0</v>
      </c>
      <c r="R1495" s="85"/>
      <c r="S1495" s="86">
        <f t="shared" si="662"/>
        <v>1</v>
      </c>
      <c r="T1495" s="87">
        <f t="shared" si="657"/>
        <v>0</v>
      </c>
      <c r="U1495">
        <v>1</v>
      </c>
    </row>
    <row r="1496" spans="2:21" ht="20.100000000000001" hidden="1" customHeight="1">
      <c r="B1496" s="77">
        <v>11</v>
      </c>
      <c r="C1496" s="78" t="s">
        <v>2692</v>
      </c>
      <c r="D1496" s="79" t="s">
        <v>2792</v>
      </c>
      <c r="E1496" s="80" t="s">
        <v>2793</v>
      </c>
      <c r="F1496" s="81">
        <v>279.3</v>
      </c>
      <c r="G1496" s="222">
        <v>3</v>
      </c>
      <c r="H1496" s="186"/>
      <c r="I1496" s="186"/>
      <c r="J1496" s="308"/>
      <c r="K1496" s="227"/>
      <c r="L1496" s="82">
        <f t="shared" si="663"/>
        <v>3</v>
      </c>
      <c r="M1496" s="331">
        <v>3</v>
      </c>
      <c r="N1496" s="161">
        <f t="shared" si="658"/>
        <v>837.90000000000009</v>
      </c>
      <c r="O1496" s="161">
        <f t="shared" si="659"/>
        <v>837.90000000000009</v>
      </c>
      <c r="P1496" s="187">
        <f t="shared" si="660"/>
        <v>0</v>
      </c>
      <c r="Q1496" s="161">
        <f t="shared" si="661"/>
        <v>0</v>
      </c>
      <c r="R1496" s="85"/>
      <c r="S1496" s="86">
        <f t="shared" si="662"/>
        <v>3</v>
      </c>
      <c r="T1496" s="87">
        <f t="shared" si="657"/>
        <v>0</v>
      </c>
      <c r="U1496">
        <v>3</v>
      </c>
    </row>
    <row r="1497" spans="2:21" ht="20.100000000000001" hidden="1" customHeight="1">
      <c r="B1497" s="77">
        <v>11</v>
      </c>
      <c r="C1497" s="78" t="s">
        <v>2692</v>
      </c>
      <c r="D1497" s="79" t="s">
        <v>2794</v>
      </c>
      <c r="E1497" s="80" t="s">
        <v>2795</v>
      </c>
      <c r="F1497" s="81">
        <v>279.3</v>
      </c>
      <c r="G1497" s="222">
        <v>6</v>
      </c>
      <c r="H1497" s="186"/>
      <c r="I1497" s="186"/>
      <c r="J1497" s="308"/>
      <c r="K1497" s="227"/>
      <c r="L1497" s="82">
        <f t="shared" si="663"/>
        <v>6</v>
      </c>
      <c r="M1497" s="331">
        <v>6</v>
      </c>
      <c r="N1497" s="161">
        <f t="shared" si="658"/>
        <v>1675.8000000000002</v>
      </c>
      <c r="O1497" s="161">
        <f t="shared" si="659"/>
        <v>1675.8000000000002</v>
      </c>
      <c r="P1497" s="187">
        <f t="shared" si="660"/>
        <v>0</v>
      </c>
      <c r="Q1497" s="161">
        <f t="shared" si="661"/>
        <v>0</v>
      </c>
      <c r="R1497" s="85"/>
      <c r="S1497" s="86">
        <f t="shared" si="662"/>
        <v>6</v>
      </c>
      <c r="T1497" s="87">
        <f t="shared" si="657"/>
        <v>0</v>
      </c>
      <c r="U1497">
        <v>6</v>
      </c>
    </row>
    <row r="1498" spans="2:21" ht="20.100000000000001" hidden="1" customHeight="1">
      <c r="B1498" s="77">
        <v>11</v>
      </c>
      <c r="C1498" s="78" t="s">
        <v>2692</v>
      </c>
      <c r="D1498" s="79" t="s">
        <v>2796</v>
      </c>
      <c r="E1498" s="80" t="s">
        <v>2797</v>
      </c>
      <c r="F1498" s="81">
        <v>279.3</v>
      </c>
      <c r="G1498" s="222">
        <v>3</v>
      </c>
      <c r="H1498" s="186"/>
      <c r="I1498" s="186"/>
      <c r="J1498" s="308"/>
      <c r="K1498" s="227"/>
      <c r="L1498" s="82">
        <f t="shared" si="663"/>
        <v>3</v>
      </c>
      <c r="M1498" s="331">
        <v>3</v>
      </c>
      <c r="N1498" s="161">
        <f t="shared" si="658"/>
        <v>837.90000000000009</v>
      </c>
      <c r="O1498" s="161">
        <f t="shared" si="659"/>
        <v>837.90000000000009</v>
      </c>
      <c r="P1498" s="187">
        <f t="shared" si="660"/>
        <v>0</v>
      </c>
      <c r="Q1498" s="161">
        <f t="shared" si="661"/>
        <v>0</v>
      </c>
      <c r="R1498" s="85"/>
      <c r="S1498" s="86">
        <f t="shared" si="662"/>
        <v>3</v>
      </c>
      <c r="T1498" s="87">
        <f t="shared" si="657"/>
        <v>0</v>
      </c>
      <c r="U1498">
        <v>3</v>
      </c>
    </row>
    <row r="1499" spans="2:21" ht="20.100000000000001" hidden="1" customHeight="1">
      <c r="B1499" s="77">
        <v>11</v>
      </c>
      <c r="C1499" s="78" t="s">
        <v>2692</v>
      </c>
      <c r="D1499" s="79" t="s">
        <v>2798</v>
      </c>
      <c r="E1499" s="80" t="s">
        <v>2799</v>
      </c>
      <c r="F1499" s="81">
        <v>265.3</v>
      </c>
      <c r="G1499" s="222">
        <v>1</v>
      </c>
      <c r="H1499" s="186"/>
      <c r="I1499" s="186"/>
      <c r="J1499" s="308"/>
      <c r="K1499" s="227"/>
      <c r="L1499" s="82">
        <f t="shared" si="663"/>
        <v>1</v>
      </c>
      <c r="M1499" s="331">
        <v>1</v>
      </c>
      <c r="N1499" s="161">
        <f t="shared" si="658"/>
        <v>265.3</v>
      </c>
      <c r="O1499" s="161">
        <f t="shared" si="659"/>
        <v>265.3</v>
      </c>
      <c r="P1499" s="187">
        <f t="shared" si="660"/>
        <v>0</v>
      </c>
      <c r="Q1499" s="161">
        <f t="shared" si="661"/>
        <v>0</v>
      </c>
      <c r="R1499" s="85"/>
      <c r="S1499" s="86">
        <f t="shared" si="662"/>
        <v>1</v>
      </c>
      <c r="T1499" s="87">
        <f t="shared" si="657"/>
        <v>0</v>
      </c>
      <c r="U1499">
        <v>1</v>
      </c>
    </row>
    <row r="1500" spans="2:21" ht="20.100000000000001" hidden="1" customHeight="1">
      <c r="B1500" s="77">
        <v>11</v>
      </c>
      <c r="C1500" s="78" t="s">
        <v>2692</v>
      </c>
      <c r="D1500" s="79" t="s">
        <v>2800</v>
      </c>
      <c r="E1500" s="80" t="s">
        <v>2801</v>
      </c>
      <c r="F1500" s="81">
        <v>265.3</v>
      </c>
      <c r="G1500" s="222">
        <v>1</v>
      </c>
      <c r="H1500" s="186"/>
      <c r="I1500" s="186"/>
      <c r="J1500" s="308"/>
      <c r="K1500" s="227"/>
      <c r="L1500" s="82">
        <f t="shared" si="663"/>
        <v>1</v>
      </c>
      <c r="M1500" s="331">
        <v>1</v>
      </c>
      <c r="N1500" s="161">
        <f t="shared" si="658"/>
        <v>265.3</v>
      </c>
      <c r="O1500" s="161">
        <f t="shared" si="659"/>
        <v>265.3</v>
      </c>
      <c r="P1500" s="187">
        <f t="shared" si="660"/>
        <v>0</v>
      </c>
      <c r="Q1500" s="161">
        <f t="shared" si="661"/>
        <v>0</v>
      </c>
      <c r="R1500" s="85"/>
      <c r="S1500" s="86">
        <f t="shared" si="662"/>
        <v>1</v>
      </c>
      <c r="T1500" s="87">
        <f t="shared" si="657"/>
        <v>0</v>
      </c>
      <c r="U1500">
        <v>1</v>
      </c>
    </row>
    <row r="1501" spans="2:21" ht="20.100000000000001" hidden="1" customHeight="1">
      <c r="B1501" s="77">
        <v>11</v>
      </c>
      <c r="C1501" s="78" t="s">
        <v>2692</v>
      </c>
      <c r="D1501" s="79" t="s">
        <v>2802</v>
      </c>
      <c r="E1501" s="80" t="s">
        <v>2803</v>
      </c>
      <c r="F1501" s="81">
        <v>434</v>
      </c>
      <c r="G1501" s="222">
        <v>2</v>
      </c>
      <c r="H1501" s="186"/>
      <c r="I1501" s="186"/>
      <c r="J1501" s="308"/>
      <c r="K1501" s="227"/>
      <c r="L1501" s="82">
        <f t="shared" si="663"/>
        <v>2</v>
      </c>
      <c r="M1501" s="331">
        <v>2</v>
      </c>
      <c r="N1501" s="161">
        <f t="shared" si="658"/>
        <v>868</v>
      </c>
      <c r="O1501" s="161">
        <f t="shared" si="659"/>
        <v>868</v>
      </c>
      <c r="P1501" s="187">
        <f t="shared" si="660"/>
        <v>0</v>
      </c>
      <c r="Q1501" s="161">
        <f t="shared" si="661"/>
        <v>0</v>
      </c>
      <c r="R1501" s="85"/>
      <c r="S1501" s="86">
        <f t="shared" si="662"/>
        <v>2</v>
      </c>
      <c r="T1501" s="87">
        <f t="shared" si="657"/>
        <v>0</v>
      </c>
      <c r="U1501">
        <v>2</v>
      </c>
    </row>
    <row r="1502" spans="2:21" ht="20.100000000000001" hidden="1" customHeight="1">
      <c r="B1502" s="77">
        <v>11</v>
      </c>
      <c r="C1502" s="78" t="s">
        <v>2692</v>
      </c>
      <c r="D1502" s="79" t="s">
        <v>2804</v>
      </c>
      <c r="E1502" s="80" t="s">
        <v>2805</v>
      </c>
      <c r="F1502" s="81">
        <v>434</v>
      </c>
      <c r="G1502" s="222">
        <v>1</v>
      </c>
      <c r="H1502" s="186"/>
      <c r="I1502" s="186"/>
      <c r="J1502" s="308"/>
      <c r="K1502" s="227"/>
      <c r="L1502" s="82">
        <f t="shared" si="663"/>
        <v>1</v>
      </c>
      <c r="M1502" s="331">
        <v>1</v>
      </c>
      <c r="N1502" s="161">
        <f t="shared" si="658"/>
        <v>434</v>
      </c>
      <c r="O1502" s="161">
        <f t="shared" si="659"/>
        <v>434</v>
      </c>
      <c r="P1502" s="187">
        <f t="shared" si="660"/>
        <v>0</v>
      </c>
      <c r="Q1502" s="161">
        <f t="shared" si="661"/>
        <v>0</v>
      </c>
      <c r="R1502" s="85"/>
      <c r="S1502" s="86">
        <f t="shared" si="662"/>
        <v>1</v>
      </c>
      <c r="T1502" s="87">
        <f t="shared" si="657"/>
        <v>0</v>
      </c>
      <c r="U1502">
        <v>1</v>
      </c>
    </row>
    <row r="1503" spans="2:21" ht="20.100000000000001" hidden="1" customHeight="1">
      <c r="B1503" s="77">
        <v>11</v>
      </c>
      <c r="C1503" s="78" t="s">
        <v>2692</v>
      </c>
      <c r="D1503" s="79" t="s">
        <v>2806</v>
      </c>
      <c r="E1503" s="80" t="s">
        <v>2807</v>
      </c>
      <c r="F1503" s="81">
        <v>434</v>
      </c>
      <c r="G1503" s="222">
        <v>1</v>
      </c>
      <c r="H1503" s="186"/>
      <c r="I1503" s="186"/>
      <c r="J1503" s="308"/>
      <c r="K1503" s="227"/>
      <c r="L1503" s="82">
        <f t="shared" si="663"/>
        <v>1</v>
      </c>
      <c r="M1503" s="331">
        <v>1</v>
      </c>
      <c r="N1503" s="161">
        <f t="shared" si="658"/>
        <v>434</v>
      </c>
      <c r="O1503" s="161">
        <f t="shared" si="659"/>
        <v>434</v>
      </c>
      <c r="P1503" s="187">
        <f t="shared" si="660"/>
        <v>0</v>
      </c>
      <c r="Q1503" s="161">
        <f t="shared" si="661"/>
        <v>0</v>
      </c>
      <c r="R1503" s="85"/>
      <c r="S1503" s="86">
        <f t="shared" si="662"/>
        <v>1</v>
      </c>
      <c r="T1503" s="87">
        <f t="shared" si="657"/>
        <v>0</v>
      </c>
      <c r="U1503">
        <v>1</v>
      </c>
    </row>
    <row r="1504" spans="2:21" ht="20.100000000000001" hidden="1" customHeight="1">
      <c r="B1504" s="77">
        <v>11</v>
      </c>
      <c r="C1504" s="78" t="s">
        <v>2692</v>
      </c>
      <c r="D1504" s="79" t="s">
        <v>2808</v>
      </c>
      <c r="E1504" s="80" t="s">
        <v>2809</v>
      </c>
      <c r="F1504" s="81">
        <v>265.3</v>
      </c>
      <c r="G1504" s="222">
        <v>1</v>
      </c>
      <c r="H1504" s="186"/>
      <c r="I1504" s="186"/>
      <c r="J1504" s="308"/>
      <c r="K1504" s="227"/>
      <c r="L1504" s="82">
        <f t="shared" si="663"/>
        <v>1</v>
      </c>
      <c r="M1504" s="331">
        <v>1</v>
      </c>
      <c r="N1504" s="161">
        <f t="shared" si="658"/>
        <v>265.3</v>
      </c>
      <c r="O1504" s="161">
        <f t="shared" si="659"/>
        <v>265.3</v>
      </c>
      <c r="P1504" s="187">
        <f t="shared" si="660"/>
        <v>0</v>
      </c>
      <c r="Q1504" s="161">
        <f t="shared" si="661"/>
        <v>0</v>
      </c>
      <c r="R1504" s="85"/>
      <c r="S1504" s="86">
        <f t="shared" si="662"/>
        <v>1</v>
      </c>
      <c r="T1504" s="87">
        <f t="shared" si="657"/>
        <v>0</v>
      </c>
      <c r="U1504">
        <v>1</v>
      </c>
    </row>
    <row r="1505" spans="2:21" ht="20.100000000000001" hidden="1" customHeight="1">
      <c r="B1505" s="77">
        <v>11</v>
      </c>
      <c r="C1505" s="78" t="s">
        <v>2692</v>
      </c>
      <c r="D1505" s="79" t="s">
        <v>2810</v>
      </c>
      <c r="E1505" s="80" t="s">
        <v>2811</v>
      </c>
      <c r="F1505" s="81">
        <v>265.3</v>
      </c>
      <c r="G1505" s="222">
        <v>1</v>
      </c>
      <c r="H1505" s="186"/>
      <c r="I1505" s="186"/>
      <c r="J1505" s="308"/>
      <c r="K1505" s="227"/>
      <c r="L1505" s="82">
        <f t="shared" si="663"/>
        <v>1</v>
      </c>
      <c r="M1505" s="331">
        <v>1</v>
      </c>
      <c r="N1505" s="161">
        <f t="shared" si="658"/>
        <v>265.3</v>
      </c>
      <c r="O1505" s="161">
        <f t="shared" si="659"/>
        <v>265.3</v>
      </c>
      <c r="P1505" s="187">
        <f t="shared" si="660"/>
        <v>0</v>
      </c>
      <c r="Q1505" s="161">
        <f t="shared" si="661"/>
        <v>0</v>
      </c>
      <c r="R1505" s="85"/>
      <c r="S1505" s="86">
        <f t="shared" si="662"/>
        <v>1</v>
      </c>
      <c r="T1505" s="87">
        <f t="shared" si="657"/>
        <v>0</v>
      </c>
      <c r="U1505">
        <v>1</v>
      </c>
    </row>
    <row r="1506" spans="2:21" ht="20.100000000000001" hidden="1" customHeight="1">
      <c r="B1506" s="77">
        <v>11</v>
      </c>
      <c r="C1506" s="78" t="s">
        <v>2692</v>
      </c>
      <c r="D1506" s="79" t="s">
        <v>2812</v>
      </c>
      <c r="E1506" s="80" t="s">
        <v>2813</v>
      </c>
      <c r="F1506" s="81">
        <v>265.3</v>
      </c>
      <c r="G1506" s="222">
        <v>1</v>
      </c>
      <c r="H1506" s="186"/>
      <c r="I1506" s="186"/>
      <c r="J1506" s="308"/>
      <c r="K1506" s="227"/>
      <c r="L1506" s="82">
        <f t="shared" si="663"/>
        <v>1</v>
      </c>
      <c r="M1506" s="331">
        <v>1</v>
      </c>
      <c r="N1506" s="161">
        <f t="shared" si="658"/>
        <v>265.3</v>
      </c>
      <c r="O1506" s="161">
        <f t="shared" si="659"/>
        <v>265.3</v>
      </c>
      <c r="P1506" s="187">
        <f t="shared" si="660"/>
        <v>0</v>
      </c>
      <c r="Q1506" s="161">
        <f t="shared" si="661"/>
        <v>0</v>
      </c>
      <c r="R1506" s="85"/>
      <c r="S1506" s="86">
        <f t="shared" si="662"/>
        <v>1</v>
      </c>
      <c r="T1506" s="87">
        <f t="shared" si="657"/>
        <v>0</v>
      </c>
      <c r="U1506">
        <v>1</v>
      </c>
    </row>
    <row r="1507" spans="2:21" ht="20.100000000000001" hidden="1" customHeight="1">
      <c r="B1507" s="77">
        <v>11</v>
      </c>
      <c r="C1507" s="78" t="s">
        <v>2692</v>
      </c>
      <c r="D1507" s="79" t="s">
        <v>2814</v>
      </c>
      <c r="E1507" s="80" t="s">
        <v>2815</v>
      </c>
      <c r="F1507" s="81">
        <v>153.30000000000001</v>
      </c>
      <c r="G1507" s="222">
        <v>1</v>
      </c>
      <c r="H1507" s="186"/>
      <c r="I1507" s="186"/>
      <c r="J1507" s="308"/>
      <c r="K1507" s="227"/>
      <c r="L1507" s="82">
        <f t="shared" si="663"/>
        <v>1</v>
      </c>
      <c r="M1507" s="331">
        <v>1</v>
      </c>
      <c r="N1507" s="161">
        <f t="shared" si="658"/>
        <v>153.30000000000001</v>
      </c>
      <c r="O1507" s="161">
        <f t="shared" si="659"/>
        <v>153.30000000000001</v>
      </c>
      <c r="P1507" s="187">
        <f t="shared" si="660"/>
        <v>0</v>
      </c>
      <c r="Q1507" s="161">
        <f t="shared" si="661"/>
        <v>0</v>
      </c>
      <c r="R1507" s="85"/>
      <c r="S1507" s="86">
        <f t="shared" si="662"/>
        <v>1</v>
      </c>
      <c r="T1507" s="87">
        <f t="shared" si="657"/>
        <v>0</v>
      </c>
      <c r="U1507">
        <v>1</v>
      </c>
    </row>
    <row r="1508" spans="2:21" ht="20.100000000000001" hidden="1" customHeight="1">
      <c r="B1508" s="77">
        <v>11</v>
      </c>
      <c r="C1508" s="78" t="s">
        <v>2692</v>
      </c>
      <c r="D1508" s="79" t="s">
        <v>2816</v>
      </c>
      <c r="E1508" s="80" t="s">
        <v>2817</v>
      </c>
      <c r="F1508" s="81">
        <v>167.3</v>
      </c>
      <c r="G1508" s="222">
        <v>1</v>
      </c>
      <c r="H1508" s="186"/>
      <c r="I1508" s="186"/>
      <c r="J1508" s="308"/>
      <c r="K1508" s="227"/>
      <c r="L1508" s="82">
        <f t="shared" si="663"/>
        <v>1</v>
      </c>
      <c r="M1508" s="331">
        <v>1</v>
      </c>
      <c r="N1508" s="161">
        <f t="shared" si="658"/>
        <v>167.3</v>
      </c>
      <c r="O1508" s="161">
        <f t="shared" si="659"/>
        <v>167.3</v>
      </c>
      <c r="P1508" s="187">
        <f t="shared" si="660"/>
        <v>0</v>
      </c>
      <c r="Q1508" s="161">
        <f t="shared" si="661"/>
        <v>0</v>
      </c>
      <c r="R1508" s="85"/>
      <c r="S1508" s="86">
        <f t="shared" si="662"/>
        <v>1</v>
      </c>
      <c r="T1508" s="87">
        <f t="shared" si="657"/>
        <v>0</v>
      </c>
      <c r="U1508">
        <v>1</v>
      </c>
    </row>
    <row r="1509" spans="2:21" ht="20.100000000000001" hidden="1" customHeight="1">
      <c r="B1509" s="77">
        <v>11</v>
      </c>
      <c r="C1509" s="78" t="s">
        <v>2692</v>
      </c>
      <c r="D1509" s="79" t="s">
        <v>2818</v>
      </c>
      <c r="E1509" s="80" t="s">
        <v>2819</v>
      </c>
      <c r="F1509" s="81">
        <v>139.30000000000001</v>
      </c>
      <c r="G1509" s="222">
        <v>3</v>
      </c>
      <c r="H1509" s="186"/>
      <c r="I1509" s="186"/>
      <c r="J1509" s="308"/>
      <c r="K1509" s="227"/>
      <c r="L1509" s="82">
        <f t="shared" si="663"/>
        <v>3</v>
      </c>
      <c r="M1509" s="331">
        <v>3</v>
      </c>
      <c r="N1509" s="161">
        <f t="shared" si="658"/>
        <v>417.90000000000003</v>
      </c>
      <c r="O1509" s="161">
        <f t="shared" si="659"/>
        <v>417.90000000000003</v>
      </c>
      <c r="P1509" s="187">
        <f t="shared" si="660"/>
        <v>0</v>
      </c>
      <c r="Q1509" s="161">
        <f t="shared" si="661"/>
        <v>0</v>
      </c>
      <c r="R1509" s="85"/>
      <c r="S1509" s="86">
        <f t="shared" si="662"/>
        <v>3</v>
      </c>
      <c r="T1509" s="87">
        <f t="shared" si="657"/>
        <v>0</v>
      </c>
      <c r="U1509">
        <v>3</v>
      </c>
    </row>
    <row r="1510" spans="2:21" ht="20.100000000000001" hidden="1" customHeight="1">
      <c r="B1510" s="77">
        <v>11</v>
      </c>
      <c r="C1510" s="78" t="s">
        <v>2692</v>
      </c>
      <c r="D1510" s="79" t="s">
        <v>2820</v>
      </c>
      <c r="E1510" s="80" t="s">
        <v>2821</v>
      </c>
      <c r="F1510" s="81">
        <v>153.30000000000001</v>
      </c>
      <c r="G1510" s="222">
        <v>6</v>
      </c>
      <c r="H1510" s="186"/>
      <c r="I1510" s="186"/>
      <c r="J1510" s="308"/>
      <c r="K1510" s="227"/>
      <c r="L1510" s="82">
        <f t="shared" si="663"/>
        <v>6</v>
      </c>
      <c r="M1510" s="331">
        <v>6</v>
      </c>
      <c r="N1510" s="161">
        <f t="shared" si="658"/>
        <v>919.80000000000007</v>
      </c>
      <c r="O1510" s="161">
        <f t="shared" si="659"/>
        <v>919.80000000000007</v>
      </c>
      <c r="P1510" s="187">
        <f t="shared" si="660"/>
        <v>0</v>
      </c>
      <c r="Q1510" s="161">
        <f t="shared" si="661"/>
        <v>0</v>
      </c>
      <c r="R1510" s="85"/>
      <c r="S1510" s="86">
        <f t="shared" si="662"/>
        <v>6</v>
      </c>
      <c r="T1510" s="87">
        <f t="shared" si="657"/>
        <v>0</v>
      </c>
      <c r="U1510">
        <v>6</v>
      </c>
    </row>
    <row r="1511" spans="2:21" ht="20.100000000000001" hidden="1" customHeight="1">
      <c r="B1511" s="77">
        <v>11</v>
      </c>
      <c r="C1511" s="78" t="s">
        <v>2692</v>
      </c>
      <c r="D1511" s="79" t="s">
        <v>2822</v>
      </c>
      <c r="E1511" s="80" t="s">
        <v>2823</v>
      </c>
      <c r="F1511" s="81">
        <v>153.30000000000001</v>
      </c>
      <c r="G1511" s="222">
        <v>1</v>
      </c>
      <c r="H1511" s="186"/>
      <c r="I1511" s="186"/>
      <c r="J1511" s="308"/>
      <c r="K1511" s="227"/>
      <c r="L1511" s="82">
        <f t="shared" si="663"/>
        <v>1</v>
      </c>
      <c r="M1511" s="331">
        <v>1</v>
      </c>
      <c r="N1511" s="161">
        <f t="shared" si="658"/>
        <v>153.30000000000001</v>
      </c>
      <c r="O1511" s="161">
        <f t="shared" si="659"/>
        <v>153.30000000000001</v>
      </c>
      <c r="P1511" s="187">
        <f t="shared" si="660"/>
        <v>0</v>
      </c>
      <c r="Q1511" s="161">
        <f t="shared" si="661"/>
        <v>0</v>
      </c>
      <c r="R1511" s="85"/>
      <c r="S1511" s="86">
        <f t="shared" si="662"/>
        <v>1</v>
      </c>
      <c r="T1511" s="87">
        <f t="shared" si="657"/>
        <v>0</v>
      </c>
      <c r="U1511">
        <v>1</v>
      </c>
    </row>
    <row r="1512" spans="2:21" ht="20.100000000000001" hidden="1" customHeight="1">
      <c r="B1512" s="77">
        <v>11</v>
      </c>
      <c r="C1512" s="78" t="s">
        <v>2692</v>
      </c>
      <c r="D1512" s="79" t="s">
        <v>2824</v>
      </c>
      <c r="E1512" s="80" t="s">
        <v>2825</v>
      </c>
      <c r="F1512" s="81">
        <v>139.30000000000001</v>
      </c>
      <c r="G1512" s="222">
        <v>1</v>
      </c>
      <c r="H1512" s="186"/>
      <c r="I1512" s="186"/>
      <c r="J1512" s="308"/>
      <c r="K1512" s="227"/>
      <c r="L1512" s="82">
        <f t="shared" si="663"/>
        <v>1</v>
      </c>
      <c r="M1512" s="331">
        <v>1</v>
      </c>
      <c r="N1512" s="161">
        <f t="shared" si="658"/>
        <v>139.30000000000001</v>
      </c>
      <c r="O1512" s="161">
        <f t="shared" si="659"/>
        <v>139.30000000000001</v>
      </c>
      <c r="P1512" s="187">
        <f t="shared" si="660"/>
        <v>0</v>
      </c>
      <c r="Q1512" s="161">
        <f t="shared" si="661"/>
        <v>0</v>
      </c>
      <c r="R1512" s="85"/>
      <c r="S1512" s="86">
        <f t="shared" si="662"/>
        <v>1</v>
      </c>
      <c r="T1512" s="87">
        <f t="shared" si="657"/>
        <v>0</v>
      </c>
      <c r="U1512">
        <v>1</v>
      </c>
    </row>
    <row r="1513" spans="2:21" ht="20.100000000000001" hidden="1" customHeight="1">
      <c r="B1513" s="77">
        <v>11</v>
      </c>
      <c r="C1513" s="78" t="s">
        <v>2692</v>
      </c>
      <c r="D1513" s="79" t="s">
        <v>2826</v>
      </c>
      <c r="E1513" s="80" t="s">
        <v>2827</v>
      </c>
      <c r="F1513" s="81">
        <v>157.33000000000001</v>
      </c>
      <c r="G1513" s="222">
        <v>2</v>
      </c>
      <c r="H1513" s="186"/>
      <c r="I1513" s="186"/>
      <c r="J1513" s="308"/>
      <c r="K1513" s="227"/>
      <c r="L1513" s="82">
        <f t="shared" si="663"/>
        <v>2</v>
      </c>
      <c r="M1513" s="331">
        <v>2</v>
      </c>
      <c r="N1513" s="161">
        <f t="shared" si="658"/>
        <v>314.66000000000003</v>
      </c>
      <c r="O1513" s="161">
        <f t="shared" si="659"/>
        <v>314.66000000000003</v>
      </c>
      <c r="P1513" s="187">
        <f t="shared" si="660"/>
        <v>0</v>
      </c>
      <c r="Q1513" s="161">
        <f t="shared" si="661"/>
        <v>0</v>
      </c>
      <c r="R1513" s="85"/>
      <c r="S1513" s="86">
        <f t="shared" si="662"/>
        <v>2</v>
      </c>
      <c r="T1513" s="87">
        <f t="shared" si="657"/>
        <v>0</v>
      </c>
      <c r="U1513">
        <v>2</v>
      </c>
    </row>
    <row r="1514" spans="2:21" ht="20.100000000000001" hidden="1" customHeight="1">
      <c r="B1514" s="77">
        <v>11</v>
      </c>
      <c r="C1514" s="78" t="s">
        <v>2692</v>
      </c>
      <c r="D1514" s="79" t="s">
        <v>2828</v>
      </c>
      <c r="E1514" s="80" t="s">
        <v>2829</v>
      </c>
      <c r="F1514" s="81">
        <v>171.33</v>
      </c>
      <c r="G1514" s="222">
        <v>1</v>
      </c>
      <c r="H1514" s="186"/>
      <c r="I1514" s="186"/>
      <c r="J1514" s="308"/>
      <c r="K1514" s="227"/>
      <c r="L1514" s="82">
        <f t="shared" si="663"/>
        <v>1</v>
      </c>
      <c r="M1514" s="331">
        <v>1</v>
      </c>
      <c r="N1514" s="161">
        <f t="shared" si="658"/>
        <v>171.33</v>
      </c>
      <c r="O1514" s="161">
        <f t="shared" si="659"/>
        <v>171.33</v>
      </c>
      <c r="P1514" s="187">
        <f t="shared" si="660"/>
        <v>0</v>
      </c>
      <c r="Q1514" s="161">
        <f t="shared" si="661"/>
        <v>0</v>
      </c>
      <c r="R1514" s="85"/>
      <c r="S1514" s="86">
        <f t="shared" si="662"/>
        <v>1</v>
      </c>
      <c r="T1514" s="87">
        <f t="shared" si="657"/>
        <v>0</v>
      </c>
      <c r="U1514">
        <v>1</v>
      </c>
    </row>
    <row r="1515" spans="2:21" ht="20.100000000000001" hidden="1" customHeight="1">
      <c r="B1515" s="77">
        <v>11</v>
      </c>
      <c r="C1515" s="78" t="s">
        <v>2692</v>
      </c>
      <c r="D1515" s="79" t="s">
        <v>2830</v>
      </c>
      <c r="E1515" s="80" t="s">
        <v>2831</v>
      </c>
      <c r="F1515" s="81">
        <v>157.33000000000001</v>
      </c>
      <c r="G1515" s="222">
        <v>1</v>
      </c>
      <c r="H1515" s="186"/>
      <c r="I1515" s="186"/>
      <c r="J1515" s="308"/>
      <c r="K1515" s="227"/>
      <c r="L1515" s="82">
        <f t="shared" si="663"/>
        <v>1</v>
      </c>
      <c r="M1515" s="331">
        <v>1</v>
      </c>
      <c r="N1515" s="161">
        <f t="shared" si="658"/>
        <v>157.33000000000001</v>
      </c>
      <c r="O1515" s="161">
        <f t="shared" si="659"/>
        <v>157.33000000000001</v>
      </c>
      <c r="P1515" s="187">
        <f t="shared" si="660"/>
        <v>0</v>
      </c>
      <c r="Q1515" s="161">
        <f t="shared" si="661"/>
        <v>0</v>
      </c>
      <c r="R1515" s="85"/>
      <c r="S1515" s="86">
        <f t="shared" si="662"/>
        <v>1</v>
      </c>
      <c r="T1515" s="87">
        <f t="shared" si="657"/>
        <v>0</v>
      </c>
      <c r="U1515">
        <v>1</v>
      </c>
    </row>
    <row r="1516" spans="2:21" ht="20.100000000000001" hidden="1" customHeight="1">
      <c r="B1516" s="77">
        <v>11</v>
      </c>
      <c r="C1516" s="78" t="s">
        <v>2692</v>
      </c>
      <c r="D1516" s="79" t="s">
        <v>2832</v>
      </c>
      <c r="E1516" s="80" t="s">
        <v>2833</v>
      </c>
      <c r="F1516" s="81">
        <v>139.30000000000001</v>
      </c>
      <c r="G1516" s="222">
        <v>5</v>
      </c>
      <c r="H1516" s="186"/>
      <c r="I1516" s="186"/>
      <c r="J1516" s="308"/>
      <c r="K1516" s="227"/>
      <c r="L1516" s="82">
        <f t="shared" si="663"/>
        <v>5</v>
      </c>
      <c r="M1516" s="331">
        <v>5</v>
      </c>
      <c r="N1516" s="161">
        <f t="shared" si="658"/>
        <v>696.5</v>
      </c>
      <c r="O1516" s="161">
        <f t="shared" si="659"/>
        <v>696.5</v>
      </c>
      <c r="P1516" s="187">
        <f t="shared" si="660"/>
        <v>0</v>
      </c>
      <c r="Q1516" s="161">
        <f t="shared" si="661"/>
        <v>0</v>
      </c>
      <c r="R1516" s="85"/>
      <c r="S1516" s="86">
        <f t="shared" si="662"/>
        <v>5</v>
      </c>
      <c r="T1516" s="87">
        <f t="shared" si="657"/>
        <v>0</v>
      </c>
      <c r="U1516">
        <v>5</v>
      </c>
    </row>
    <row r="1517" spans="2:21" ht="20.100000000000001" hidden="1" customHeight="1">
      <c r="B1517" s="77">
        <v>11</v>
      </c>
      <c r="C1517" s="78" t="s">
        <v>2692</v>
      </c>
      <c r="D1517" s="79" t="s">
        <v>2834</v>
      </c>
      <c r="E1517" s="80" t="s">
        <v>2835</v>
      </c>
      <c r="F1517" s="81">
        <v>157.33000000000001</v>
      </c>
      <c r="G1517" s="222">
        <v>1</v>
      </c>
      <c r="H1517" s="186"/>
      <c r="I1517" s="186"/>
      <c r="J1517" s="308"/>
      <c r="K1517" s="227"/>
      <c r="L1517" s="82">
        <f t="shared" si="663"/>
        <v>1</v>
      </c>
      <c r="M1517" s="331">
        <v>1</v>
      </c>
      <c r="N1517" s="161">
        <f t="shared" si="658"/>
        <v>157.33000000000001</v>
      </c>
      <c r="O1517" s="161">
        <f t="shared" si="659"/>
        <v>157.33000000000001</v>
      </c>
      <c r="P1517" s="187">
        <f t="shared" si="660"/>
        <v>0</v>
      </c>
      <c r="Q1517" s="161">
        <f t="shared" si="661"/>
        <v>0</v>
      </c>
      <c r="R1517" s="85"/>
      <c r="S1517" s="86">
        <f t="shared" si="662"/>
        <v>1</v>
      </c>
      <c r="T1517" s="87">
        <f t="shared" ref="T1517:T1580" si="664">M1517-S1517</f>
        <v>0</v>
      </c>
      <c r="U1517">
        <v>1</v>
      </c>
    </row>
    <row r="1518" spans="2:21" ht="20.100000000000001" hidden="1" customHeight="1">
      <c r="B1518" s="77">
        <v>11</v>
      </c>
      <c r="C1518" s="78" t="s">
        <v>2692</v>
      </c>
      <c r="D1518" s="79" t="s">
        <v>2836</v>
      </c>
      <c r="E1518" s="80" t="s">
        <v>2837</v>
      </c>
      <c r="F1518" s="81">
        <v>153.83000000000001</v>
      </c>
      <c r="G1518" s="222">
        <v>1</v>
      </c>
      <c r="H1518" s="186"/>
      <c r="I1518" s="186"/>
      <c r="J1518" s="308"/>
      <c r="K1518" s="227"/>
      <c r="L1518" s="82">
        <f t="shared" si="663"/>
        <v>1</v>
      </c>
      <c r="M1518" s="331">
        <v>1</v>
      </c>
      <c r="N1518" s="161">
        <f t="shared" ref="N1518:N1581" si="665">F1518*L1518</f>
        <v>153.83000000000001</v>
      </c>
      <c r="O1518" s="161">
        <f t="shared" ref="O1518:O1581" si="666">M1518*F1518</f>
        <v>153.83000000000001</v>
      </c>
      <c r="P1518" s="187">
        <f t="shared" ref="P1518:P1581" si="667">L1518-M1518</f>
        <v>0</v>
      </c>
      <c r="Q1518" s="161">
        <f t="shared" ref="Q1518:Q1581" si="668">N1518-O1518</f>
        <v>0</v>
      </c>
      <c r="R1518" s="85"/>
      <c r="S1518" s="86">
        <f t="shared" ref="S1518:S1581" si="669">U1518+Y1518+W1518+AA1518</f>
        <v>1</v>
      </c>
      <c r="T1518" s="87">
        <f t="shared" si="664"/>
        <v>0</v>
      </c>
      <c r="U1518">
        <v>1</v>
      </c>
    </row>
    <row r="1519" spans="2:21" ht="20.100000000000001" hidden="1" customHeight="1">
      <c r="B1519" s="77">
        <v>11</v>
      </c>
      <c r="C1519" s="78" t="s">
        <v>2692</v>
      </c>
      <c r="D1519" s="79" t="s">
        <v>2838</v>
      </c>
      <c r="E1519" s="80" t="s">
        <v>2839</v>
      </c>
      <c r="F1519" s="81">
        <v>244.83</v>
      </c>
      <c r="G1519" s="222">
        <v>1</v>
      </c>
      <c r="H1519" s="186"/>
      <c r="I1519" s="186"/>
      <c r="J1519" s="308"/>
      <c r="K1519" s="227"/>
      <c r="L1519" s="82">
        <f t="shared" si="663"/>
        <v>1</v>
      </c>
      <c r="M1519" s="331">
        <v>1</v>
      </c>
      <c r="N1519" s="161">
        <f t="shared" si="665"/>
        <v>244.83</v>
      </c>
      <c r="O1519" s="161">
        <f t="shared" si="666"/>
        <v>244.83</v>
      </c>
      <c r="P1519" s="187">
        <f t="shared" si="667"/>
        <v>0</v>
      </c>
      <c r="Q1519" s="161">
        <f t="shared" si="668"/>
        <v>0</v>
      </c>
      <c r="R1519" s="85"/>
      <c r="S1519" s="86">
        <f t="shared" si="669"/>
        <v>1</v>
      </c>
      <c r="T1519" s="87">
        <f t="shared" si="664"/>
        <v>0</v>
      </c>
      <c r="U1519">
        <v>1</v>
      </c>
    </row>
    <row r="1520" spans="2:21" ht="20.100000000000001" hidden="1" customHeight="1">
      <c r="B1520" s="77">
        <v>11</v>
      </c>
      <c r="C1520" s="78" t="s">
        <v>2692</v>
      </c>
      <c r="D1520" s="79" t="s">
        <v>2840</v>
      </c>
      <c r="E1520" s="80" t="s">
        <v>2841</v>
      </c>
      <c r="F1520" s="81">
        <v>258.3</v>
      </c>
      <c r="G1520" s="222">
        <v>10</v>
      </c>
      <c r="H1520" s="186"/>
      <c r="I1520" s="186"/>
      <c r="J1520" s="308"/>
      <c r="K1520" s="227"/>
      <c r="L1520" s="82">
        <f t="shared" si="663"/>
        <v>10</v>
      </c>
      <c r="M1520" s="331">
        <v>10</v>
      </c>
      <c r="N1520" s="161">
        <f t="shared" si="665"/>
        <v>2583</v>
      </c>
      <c r="O1520" s="161">
        <f t="shared" si="666"/>
        <v>2583</v>
      </c>
      <c r="P1520" s="187">
        <f t="shared" si="667"/>
        <v>0</v>
      </c>
      <c r="Q1520" s="161">
        <f t="shared" si="668"/>
        <v>0</v>
      </c>
      <c r="R1520" s="85"/>
      <c r="S1520" s="86">
        <f t="shared" si="669"/>
        <v>10</v>
      </c>
      <c r="T1520" s="87">
        <f t="shared" si="664"/>
        <v>0</v>
      </c>
      <c r="U1520">
        <v>10</v>
      </c>
    </row>
    <row r="1521" spans="2:21" ht="20.100000000000001" hidden="1" customHeight="1">
      <c r="B1521" s="77">
        <v>11</v>
      </c>
      <c r="C1521" s="78" t="s">
        <v>2692</v>
      </c>
      <c r="D1521" s="79" t="s">
        <v>2842</v>
      </c>
      <c r="E1521" s="80" t="s">
        <v>2843</v>
      </c>
      <c r="F1521" s="81">
        <v>244.3</v>
      </c>
      <c r="G1521" s="222">
        <v>9</v>
      </c>
      <c r="H1521" s="186"/>
      <c r="I1521" s="186"/>
      <c r="J1521" s="308"/>
      <c r="K1521" s="227"/>
      <c r="L1521" s="82">
        <f t="shared" si="663"/>
        <v>9</v>
      </c>
      <c r="M1521" s="331">
        <v>9</v>
      </c>
      <c r="N1521" s="161">
        <f t="shared" si="665"/>
        <v>2198.7000000000003</v>
      </c>
      <c r="O1521" s="161">
        <f t="shared" si="666"/>
        <v>2198.7000000000003</v>
      </c>
      <c r="P1521" s="187">
        <f t="shared" si="667"/>
        <v>0</v>
      </c>
      <c r="Q1521" s="161">
        <f t="shared" si="668"/>
        <v>0</v>
      </c>
      <c r="R1521" s="85"/>
      <c r="S1521" s="86">
        <f t="shared" si="669"/>
        <v>9</v>
      </c>
      <c r="T1521" s="87">
        <f t="shared" si="664"/>
        <v>0</v>
      </c>
      <c r="U1521">
        <v>9</v>
      </c>
    </row>
    <row r="1522" spans="2:21" ht="20.100000000000001" hidden="1" customHeight="1">
      <c r="B1522" s="77">
        <v>11</v>
      </c>
      <c r="C1522" s="78" t="s">
        <v>2692</v>
      </c>
      <c r="D1522" s="79" t="s">
        <v>2844</v>
      </c>
      <c r="E1522" s="80" t="s">
        <v>2845</v>
      </c>
      <c r="F1522" s="81">
        <v>244.3</v>
      </c>
      <c r="G1522" s="222">
        <v>8</v>
      </c>
      <c r="H1522" s="186"/>
      <c r="I1522" s="186"/>
      <c r="J1522" s="308"/>
      <c r="K1522" s="227"/>
      <c r="L1522" s="82">
        <f t="shared" si="663"/>
        <v>8</v>
      </c>
      <c r="M1522" s="331">
        <v>8</v>
      </c>
      <c r="N1522" s="161">
        <f t="shared" si="665"/>
        <v>1954.4</v>
      </c>
      <c r="O1522" s="161">
        <f t="shared" si="666"/>
        <v>1954.4</v>
      </c>
      <c r="P1522" s="187">
        <f t="shared" si="667"/>
        <v>0</v>
      </c>
      <c r="Q1522" s="161">
        <f t="shared" si="668"/>
        <v>0</v>
      </c>
      <c r="R1522" s="85"/>
      <c r="S1522" s="86">
        <f t="shared" si="669"/>
        <v>8</v>
      </c>
      <c r="T1522" s="87">
        <f t="shared" si="664"/>
        <v>0</v>
      </c>
      <c r="U1522">
        <v>8</v>
      </c>
    </row>
    <row r="1523" spans="2:21" ht="20.100000000000001" hidden="1" customHeight="1">
      <c r="B1523" s="77">
        <v>11</v>
      </c>
      <c r="C1523" s="78" t="s">
        <v>2692</v>
      </c>
      <c r="D1523" s="79" t="s">
        <v>2846</v>
      </c>
      <c r="E1523" s="80" t="s">
        <v>2847</v>
      </c>
      <c r="F1523" s="81">
        <v>251.3</v>
      </c>
      <c r="G1523" s="222">
        <v>2</v>
      </c>
      <c r="H1523" s="186"/>
      <c r="I1523" s="186"/>
      <c r="J1523" s="308"/>
      <c r="K1523" s="227"/>
      <c r="L1523" s="82">
        <f t="shared" si="663"/>
        <v>2</v>
      </c>
      <c r="M1523" s="331">
        <v>2</v>
      </c>
      <c r="N1523" s="161">
        <f t="shared" si="665"/>
        <v>502.6</v>
      </c>
      <c r="O1523" s="161">
        <f t="shared" si="666"/>
        <v>502.6</v>
      </c>
      <c r="P1523" s="187">
        <f t="shared" si="667"/>
        <v>0</v>
      </c>
      <c r="Q1523" s="161">
        <f t="shared" si="668"/>
        <v>0</v>
      </c>
      <c r="R1523" s="85"/>
      <c r="S1523" s="86">
        <f t="shared" si="669"/>
        <v>3</v>
      </c>
      <c r="T1523" s="87">
        <f t="shared" si="664"/>
        <v>-1</v>
      </c>
      <c r="U1523">
        <v>3</v>
      </c>
    </row>
    <row r="1524" spans="2:21" ht="20.100000000000001" hidden="1" customHeight="1">
      <c r="B1524" s="77">
        <v>11</v>
      </c>
      <c r="C1524" s="78" t="s">
        <v>2692</v>
      </c>
      <c r="D1524" s="79" t="s">
        <v>2848</v>
      </c>
      <c r="E1524" s="80" t="s">
        <v>2849</v>
      </c>
      <c r="F1524" s="81">
        <v>181.83</v>
      </c>
      <c r="G1524" s="222">
        <v>1</v>
      </c>
      <c r="H1524" s="186"/>
      <c r="I1524" s="186"/>
      <c r="J1524" s="308"/>
      <c r="K1524" s="227"/>
      <c r="L1524" s="82">
        <f t="shared" ref="L1524:L1587" si="670">G1524+I1524-J1524-K1524+H1524</f>
        <v>1</v>
      </c>
      <c r="M1524" s="331">
        <v>1</v>
      </c>
      <c r="N1524" s="161">
        <f t="shared" si="665"/>
        <v>181.83</v>
      </c>
      <c r="O1524" s="161">
        <f t="shared" si="666"/>
        <v>181.83</v>
      </c>
      <c r="P1524" s="187">
        <f t="shared" si="667"/>
        <v>0</v>
      </c>
      <c r="Q1524" s="161">
        <f t="shared" si="668"/>
        <v>0</v>
      </c>
      <c r="R1524" s="85"/>
      <c r="S1524" s="86">
        <f t="shared" si="669"/>
        <v>1</v>
      </c>
      <c r="T1524" s="87">
        <f t="shared" si="664"/>
        <v>0</v>
      </c>
      <c r="U1524">
        <v>1</v>
      </c>
    </row>
    <row r="1525" spans="2:21" ht="20.100000000000001" hidden="1" customHeight="1">
      <c r="B1525" s="77">
        <v>11</v>
      </c>
      <c r="C1525" s="78" t="s">
        <v>2692</v>
      </c>
      <c r="D1525" s="79" t="s">
        <v>2850</v>
      </c>
      <c r="E1525" s="80" t="s">
        <v>2851</v>
      </c>
      <c r="F1525" s="81">
        <v>181.83</v>
      </c>
      <c r="G1525" s="222">
        <v>1</v>
      </c>
      <c r="H1525" s="186"/>
      <c r="I1525" s="186"/>
      <c r="J1525" s="308"/>
      <c r="K1525" s="227"/>
      <c r="L1525" s="82">
        <f t="shared" si="670"/>
        <v>1</v>
      </c>
      <c r="M1525" s="331">
        <v>1</v>
      </c>
      <c r="N1525" s="161">
        <f t="shared" si="665"/>
        <v>181.83</v>
      </c>
      <c r="O1525" s="161">
        <f t="shared" si="666"/>
        <v>181.83</v>
      </c>
      <c r="P1525" s="187">
        <f t="shared" si="667"/>
        <v>0</v>
      </c>
      <c r="Q1525" s="161">
        <f t="shared" si="668"/>
        <v>0</v>
      </c>
      <c r="R1525" s="85"/>
      <c r="S1525" s="86">
        <f t="shared" si="669"/>
        <v>1</v>
      </c>
      <c r="T1525" s="87">
        <f t="shared" si="664"/>
        <v>0</v>
      </c>
      <c r="U1525">
        <v>1</v>
      </c>
    </row>
    <row r="1526" spans="2:21" ht="20.100000000000001" hidden="1" customHeight="1">
      <c r="B1526" s="77">
        <v>11</v>
      </c>
      <c r="C1526" s="78" t="s">
        <v>2692</v>
      </c>
      <c r="D1526" s="79" t="s">
        <v>2852</v>
      </c>
      <c r="E1526" s="80" t="s">
        <v>2853</v>
      </c>
      <c r="F1526" s="81">
        <v>181.83</v>
      </c>
      <c r="G1526" s="222">
        <v>1</v>
      </c>
      <c r="H1526" s="186"/>
      <c r="I1526" s="186"/>
      <c r="J1526" s="308"/>
      <c r="K1526" s="227"/>
      <c r="L1526" s="82">
        <f t="shared" si="670"/>
        <v>1</v>
      </c>
      <c r="M1526" s="331">
        <v>1</v>
      </c>
      <c r="N1526" s="161">
        <f t="shared" si="665"/>
        <v>181.83</v>
      </c>
      <c r="O1526" s="161">
        <f t="shared" si="666"/>
        <v>181.83</v>
      </c>
      <c r="P1526" s="187">
        <f t="shared" si="667"/>
        <v>0</v>
      </c>
      <c r="Q1526" s="161">
        <f t="shared" si="668"/>
        <v>0</v>
      </c>
      <c r="R1526" s="85"/>
      <c r="S1526" s="86">
        <f t="shared" si="669"/>
        <v>1</v>
      </c>
      <c r="T1526" s="87">
        <f t="shared" si="664"/>
        <v>0</v>
      </c>
      <c r="U1526">
        <v>1</v>
      </c>
    </row>
    <row r="1527" spans="2:21" ht="20.100000000000001" hidden="1" customHeight="1">
      <c r="B1527" s="77">
        <v>11</v>
      </c>
      <c r="C1527" s="78" t="s">
        <v>2692</v>
      </c>
      <c r="D1527" s="79" t="s">
        <v>2854</v>
      </c>
      <c r="E1527" s="80" t="s">
        <v>2855</v>
      </c>
      <c r="F1527" s="81">
        <v>188.3</v>
      </c>
      <c r="G1527" s="222">
        <v>2</v>
      </c>
      <c r="H1527" s="186"/>
      <c r="I1527" s="186"/>
      <c r="J1527" s="308"/>
      <c r="K1527" s="227"/>
      <c r="L1527" s="82">
        <f t="shared" si="670"/>
        <v>2</v>
      </c>
      <c r="M1527" s="331">
        <v>2</v>
      </c>
      <c r="N1527" s="161">
        <f t="shared" si="665"/>
        <v>376.6</v>
      </c>
      <c r="O1527" s="161">
        <f t="shared" si="666"/>
        <v>376.6</v>
      </c>
      <c r="P1527" s="187">
        <f t="shared" si="667"/>
        <v>0</v>
      </c>
      <c r="Q1527" s="161">
        <f t="shared" si="668"/>
        <v>0</v>
      </c>
      <c r="R1527" s="85"/>
      <c r="S1527" s="86">
        <f t="shared" si="669"/>
        <v>2</v>
      </c>
      <c r="T1527" s="87">
        <f t="shared" si="664"/>
        <v>0</v>
      </c>
      <c r="U1527">
        <v>2</v>
      </c>
    </row>
    <row r="1528" spans="2:21" ht="20.100000000000001" hidden="1" customHeight="1">
      <c r="B1528" s="77">
        <v>11</v>
      </c>
      <c r="C1528" s="78" t="s">
        <v>2692</v>
      </c>
      <c r="D1528" s="79" t="s">
        <v>2856</v>
      </c>
      <c r="E1528" s="80" t="s">
        <v>2857</v>
      </c>
      <c r="F1528" s="81">
        <v>188.3</v>
      </c>
      <c r="G1528" s="222">
        <v>1</v>
      </c>
      <c r="H1528" s="186"/>
      <c r="I1528" s="186"/>
      <c r="J1528" s="308"/>
      <c r="K1528" s="227"/>
      <c r="L1528" s="82">
        <f t="shared" si="670"/>
        <v>1</v>
      </c>
      <c r="M1528" s="331">
        <v>1</v>
      </c>
      <c r="N1528" s="161">
        <f t="shared" si="665"/>
        <v>188.3</v>
      </c>
      <c r="O1528" s="161">
        <f t="shared" si="666"/>
        <v>188.3</v>
      </c>
      <c r="P1528" s="187">
        <f t="shared" si="667"/>
        <v>0</v>
      </c>
      <c r="Q1528" s="161">
        <f t="shared" si="668"/>
        <v>0</v>
      </c>
      <c r="R1528" s="85"/>
      <c r="S1528" s="86">
        <f t="shared" si="669"/>
        <v>1</v>
      </c>
      <c r="T1528" s="87">
        <f t="shared" si="664"/>
        <v>0</v>
      </c>
      <c r="U1528">
        <v>1</v>
      </c>
    </row>
    <row r="1529" spans="2:21" ht="20.100000000000001" hidden="1" customHeight="1">
      <c r="B1529" s="77">
        <v>11</v>
      </c>
      <c r="C1529" s="78" t="s">
        <v>2692</v>
      </c>
      <c r="D1529" s="79" t="s">
        <v>2858</v>
      </c>
      <c r="E1529" s="80" t="s">
        <v>2859</v>
      </c>
      <c r="F1529" s="81">
        <v>188.3</v>
      </c>
      <c r="G1529" s="222">
        <v>1</v>
      </c>
      <c r="H1529" s="186"/>
      <c r="I1529" s="186"/>
      <c r="J1529" s="308"/>
      <c r="K1529" s="227"/>
      <c r="L1529" s="82">
        <f t="shared" si="670"/>
        <v>1</v>
      </c>
      <c r="M1529" s="331">
        <v>1</v>
      </c>
      <c r="N1529" s="161">
        <f t="shared" si="665"/>
        <v>188.3</v>
      </c>
      <c r="O1529" s="161">
        <f t="shared" si="666"/>
        <v>188.3</v>
      </c>
      <c r="P1529" s="187">
        <f t="shared" si="667"/>
        <v>0</v>
      </c>
      <c r="Q1529" s="161">
        <f t="shared" si="668"/>
        <v>0</v>
      </c>
      <c r="R1529" s="85"/>
      <c r="S1529" s="86">
        <f t="shared" si="669"/>
        <v>1</v>
      </c>
      <c r="T1529" s="87">
        <f t="shared" si="664"/>
        <v>0</v>
      </c>
      <c r="U1529">
        <v>1</v>
      </c>
    </row>
    <row r="1530" spans="2:21" ht="20.100000000000001" hidden="1" customHeight="1">
      <c r="B1530" s="77">
        <v>11</v>
      </c>
      <c r="C1530" s="78" t="s">
        <v>2692</v>
      </c>
      <c r="D1530" s="79" t="s">
        <v>2860</v>
      </c>
      <c r="E1530" s="80" t="s">
        <v>2861</v>
      </c>
      <c r="F1530" s="81">
        <v>188.3</v>
      </c>
      <c r="G1530" s="222">
        <v>2</v>
      </c>
      <c r="H1530" s="186"/>
      <c r="I1530" s="186"/>
      <c r="J1530" s="308"/>
      <c r="K1530" s="227"/>
      <c r="L1530" s="82">
        <f t="shared" si="670"/>
        <v>2</v>
      </c>
      <c r="M1530" s="331">
        <v>2</v>
      </c>
      <c r="N1530" s="161">
        <f t="shared" si="665"/>
        <v>376.6</v>
      </c>
      <c r="O1530" s="161">
        <f t="shared" si="666"/>
        <v>376.6</v>
      </c>
      <c r="P1530" s="187">
        <f t="shared" si="667"/>
        <v>0</v>
      </c>
      <c r="Q1530" s="161">
        <f t="shared" si="668"/>
        <v>0</v>
      </c>
      <c r="R1530" s="85"/>
      <c r="S1530" s="86">
        <f t="shared" si="669"/>
        <v>2</v>
      </c>
      <c r="T1530" s="87">
        <f t="shared" si="664"/>
        <v>0</v>
      </c>
      <c r="U1530">
        <v>2</v>
      </c>
    </row>
    <row r="1531" spans="2:21" ht="20.100000000000001" hidden="1" customHeight="1">
      <c r="B1531" s="77">
        <v>11</v>
      </c>
      <c r="C1531" s="78" t="s">
        <v>2692</v>
      </c>
      <c r="D1531" s="79" t="s">
        <v>2862</v>
      </c>
      <c r="E1531" s="80" t="s">
        <v>2863</v>
      </c>
      <c r="F1531" s="81">
        <v>188.3</v>
      </c>
      <c r="G1531" s="222">
        <v>1</v>
      </c>
      <c r="H1531" s="186"/>
      <c r="I1531" s="186"/>
      <c r="J1531" s="308"/>
      <c r="K1531" s="227"/>
      <c r="L1531" s="82">
        <f t="shared" si="670"/>
        <v>1</v>
      </c>
      <c r="M1531" s="331">
        <v>1</v>
      </c>
      <c r="N1531" s="161">
        <f t="shared" si="665"/>
        <v>188.3</v>
      </c>
      <c r="O1531" s="161">
        <f t="shared" si="666"/>
        <v>188.3</v>
      </c>
      <c r="P1531" s="187">
        <f t="shared" si="667"/>
        <v>0</v>
      </c>
      <c r="Q1531" s="161">
        <f t="shared" si="668"/>
        <v>0</v>
      </c>
      <c r="R1531" s="85"/>
      <c r="S1531" s="86">
        <f t="shared" si="669"/>
        <v>1</v>
      </c>
      <c r="T1531" s="87">
        <f t="shared" si="664"/>
        <v>0</v>
      </c>
      <c r="U1531">
        <v>1</v>
      </c>
    </row>
    <row r="1532" spans="2:21" ht="20.100000000000001" hidden="1" customHeight="1">
      <c r="B1532" s="77">
        <v>11</v>
      </c>
      <c r="C1532" s="78" t="s">
        <v>2692</v>
      </c>
      <c r="D1532" s="79" t="s">
        <v>2864</v>
      </c>
      <c r="E1532" s="80" t="s">
        <v>2865</v>
      </c>
      <c r="F1532" s="81">
        <v>507.5</v>
      </c>
      <c r="G1532" s="222">
        <v>1</v>
      </c>
      <c r="H1532" s="186"/>
      <c r="I1532" s="186"/>
      <c r="J1532" s="308"/>
      <c r="K1532" s="227"/>
      <c r="L1532" s="82">
        <f t="shared" si="670"/>
        <v>1</v>
      </c>
      <c r="M1532" s="331">
        <v>1</v>
      </c>
      <c r="N1532" s="161">
        <f t="shared" si="665"/>
        <v>507.5</v>
      </c>
      <c r="O1532" s="161">
        <f t="shared" si="666"/>
        <v>507.5</v>
      </c>
      <c r="P1532" s="187">
        <f t="shared" si="667"/>
        <v>0</v>
      </c>
      <c r="Q1532" s="161">
        <f t="shared" si="668"/>
        <v>0</v>
      </c>
      <c r="R1532" s="85"/>
      <c r="S1532" s="86">
        <f t="shared" si="669"/>
        <v>1</v>
      </c>
      <c r="T1532" s="87">
        <f t="shared" si="664"/>
        <v>0</v>
      </c>
      <c r="U1532">
        <v>1</v>
      </c>
    </row>
    <row r="1533" spans="2:21" ht="20.100000000000001" hidden="1" customHeight="1">
      <c r="B1533" s="77">
        <v>11</v>
      </c>
      <c r="C1533" s="78" t="s">
        <v>2692</v>
      </c>
      <c r="D1533" s="79" t="s">
        <v>2866</v>
      </c>
      <c r="E1533" s="80" t="s">
        <v>2867</v>
      </c>
      <c r="F1533" s="81">
        <v>321.3</v>
      </c>
      <c r="G1533" s="222">
        <v>3</v>
      </c>
      <c r="H1533" s="186"/>
      <c r="I1533" s="186"/>
      <c r="J1533" s="308"/>
      <c r="K1533" s="227"/>
      <c r="L1533" s="82">
        <f t="shared" si="670"/>
        <v>3</v>
      </c>
      <c r="M1533" s="331">
        <v>3</v>
      </c>
      <c r="N1533" s="161">
        <f t="shared" si="665"/>
        <v>963.90000000000009</v>
      </c>
      <c r="O1533" s="161">
        <f t="shared" si="666"/>
        <v>963.90000000000009</v>
      </c>
      <c r="P1533" s="187">
        <f t="shared" si="667"/>
        <v>0</v>
      </c>
      <c r="Q1533" s="161">
        <f t="shared" si="668"/>
        <v>0</v>
      </c>
      <c r="R1533" s="85"/>
      <c r="S1533" s="86">
        <f t="shared" si="669"/>
        <v>3</v>
      </c>
      <c r="T1533" s="87">
        <f t="shared" si="664"/>
        <v>0</v>
      </c>
      <c r="U1533">
        <v>3</v>
      </c>
    </row>
    <row r="1534" spans="2:21" ht="20.100000000000001" hidden="1" customHeight="1">
      <c r="B1534" s="77">
        <v>11</v>
      </c>
      <c r="C1534" s="78" t="s">
        <v>2692</v>
      </c>
      <c r="D1534" s="79" t="s">
        <v>2868</v>
      </c>
      <c r="E1534" s="80" t="s">
        <v>2869</v>
      </c>
      <c r="F1534" s="81">
        <v>300.3</v>
      </c>
      <c r="G1534" s="222">
        <v>1</v>
      </c>
      <c r="H1534" s="186"/>
      <c r="I1534" s="186"/>
      <c r="J1534" s="308"/>
      <c r="K1534" s="227"/>
      <c r="L1534" s="82">
        <f t="shared" si="670"/>
        <v>1</v>
      </c>
      <c r="M1534" s="331">
        <v>1</v>
      </c>
      <c r="N1534" s="161">
        <f t="shared" si="665"/>
        <v>300.3</v>
      </c>
      <c r="O1534" s="161">
        <f t="shared" si="666"/>
        <v>300.3</v>
      </c>
      <c r="P1534" s="187">
        <f t="shared" si="667"/>
        <v>0</v>
      </c>
      <c r="Q1534" s="161">
        <f t="shared" si="668"/>
        <v>0</v>
      </c>
      <c r="R1534" s="85"/>
      <c r="S1534" s="86">
        <f t="shared" si="669"/>
        <v>1</v>
      </c>
      <c r="T1534" s="87">
        <f t="shared" si="664"/>
        <v>0</v>
      </c>
      <c r="U1534">
        <v>1</v>
      </c>
    </row>
    <row r="1535" spans="2:21" ht="20.100000000000001" hidden="1" customHeight="1">
      <c r="B1535" s="77">
        <v>11</v>
      </c>
      <c r="C1535" s="78" t="s">
        <v>2692</v>
      </c>
      <c r="D1535" s="79" t="s">
        <v>2870</v>
      </c>
      <c r="E1535" s="80" t="s">
        <v>2871</v>
      </c>
      <c r="F1535" s="81">
        <v>300.3</v>
      </c>
      <c r="G1535" s="222">
        <v>1</v>
      </c>
      <c r="H1535" s="186"/>
      <c r="I1535" s="186"/>
      <c r="J1535" s="308"/>
      <c r="K1535" s="227"/>
      <c r="L1535" s="82">
        <f t="shared" si="670"/>
        <v>1</v>
      </c>
      <c r="M1535" s="331">
        <v>1</v>
      </c>
      <c r="N1535" s="161">
        <f t="shared" si="665"/>
        <v>300.3</v>
      </c>
      <c r="O1535" s="161">
        <f t="shared" si="666"/>
        <v>300.3</v>
      </c>
      <c r="P1535" s="187">
        <f t="shared" si="667"/>
        <v>0</v>
      </c>
      <c r="Q1535" s="161">
        <f t="shared" si="668"/>
        <v>0</v>
      </c>
      <c r="R1535" s="85"/>
      <c r="S1535" s="86">
        <f t="shared" si="669"/>
        <v>1</v>
      </c>
      <c r="T1535" s="87">
        <f t="shared" si="664"/>
        <v>0</v>
      </c>
      <c r="U1535">
        <v>1</v>
      </c>
    </row>
    <row r="1536" spans="2:21" ht="20.100000000000001" hidden="1" customHeight="1">
      <c r="B1536" s="77">
        <v>11</v>
      </c>
      <c r="C1536" s="78" t="s">
        <v>2692</v>
      </c>
      <c r="D1536" s="79" t="s">
        <v>2872</v>
      </c>
      <c r="E1536" s="80" t="s">
        <v>2873</v>
      </c>
      <c r="F1536" s="81">
        <v>300.3</v>
      </c>
      <c r="G1536" s="222">
        <v>1</v>
      </c>
      <c r="H1536" s="186"/>
      <c r="I1536" s="186"/>
      <c r="J1536" s="308"/>
      <c r="K1536" s="227"/>
      <c r="L1536" s="82">
        <f t="shared" si="670"/>
        <v>1</v>
      </c>
      <c r="M1536" s="331">
        <v>1</v>
      </c>
      <c r="N1536" s="161">
        <f t="shared" si="665"/>
        <v>300.3</v>
      </c>
      <c r="O1536" s="161">
        <f t="shared" si="666"/>
        <v>300.3</v>
      </c>
      <c r="P1536" s="187">
        <f t="shared" si="667"/>
        <v>0</v>
      </c>
      <c r="Q1536" s="161">
        <f t="shared" si="668"/>
        <v>0</v>
      </c>
      <c r="R1536" s="85"/>
      <c r="S1536" s="86">
        <f t="shared" si="669"/>
        <v>1</v>
      </c>
      <c r="T1536" s="87">
        <f t="shared" si="664"/>
        <v>0</v>
      </c>
      <c r="U1536">
        <v>1</v>
      </c>
    </row>
    <row r="1537" spans="2:21" ht="20.100000000000001" hidden="1" customHeight="1">
      <c r="B1537" s="77">
        <v>11</v>
      </c>
      <c r="C1537" s="78" t="s">
        <v>2692</v>
      </c>
      <c r="D1537" s="79" t="s">
        <v>2874</v>
      </c>
      <c r="E1537" s="80" t="s">
        <v>2875</v>
      </c>
      <c r="F1537" s="81">
        <v>300.3</v>
      </c>
      <c r="G1537" s="222">
        <v>1</v>
      </c>
      <c r="H1537" s="186"/>
      <c r="I1537" s="186"/>
      <c r="J1537" s="308"/>
      <c r="K1537" s="227"/>
      <c r="L1537" s="82">
        <f t="shared" si="670"/>
        <v>1</v>
      </c>
      <c r="M1537" s="331">
        <v>1</v>
      </c>
      <c r="N1537" s="161">
        <f t="shared" si="665"/>
        <v>300.3</v>
      </c>
      <c r="O1537" s="161">
        <f t="shared" si="666"/>
        <v>300.3</v>
      </c>
      <c r="P1537" s="187">
        <f t="shared" si="667"/>
        <v>0</v>
      </c>
      <c r="Q1537" s="161">
        <f t="shared" si="668"/>
        <v>0</v>
      </c>
      <c r="R1537" s="85"/>
      <c r="S1537" s="86">
        <f t="shared" si="669"/>
        <v>1</v>
      </c>
      <c r="T1537" s="87">
        <f t="shared" si="664"/>
        <v>0</v>
      </c>
      <c r="U1537">
        <v>1</v>
      </c>
    </row>
    <row r="1538" spans="2:21" ht="20.100000000000001" hidden="1" customHeight="1">
      <c r="B1538" s="77">
        <v>11</v>
      </c>
      <c r="C1538" s="78" t="s">
        <v>2692</v>
      </c>
      <c r="D1538" s="79" t="s">
        <v>2876</v>
      </c>
      <c r="E1538" s="80" t="s">
        <v>2877</v>
      </c>
      <c r="F1538" s="81">
        <v>293.83</v>
      </c>
      <c r="G1538" s="222">
        <v>1</v>
      </c>
      <c r="H1538" s="186"/>
      <c r="I1538" s="186"/>
      <c r="J1538" s="308"/>
      <c r="K1538" s="227"/>
      <c r="L1538" s="82">
        <f t="shared" si="670"/>
        <v>1</v>
      </c>
      <c r="M1538" s="331">
        <v>1</v>
      </c>
      <c r="N1538" s="161">
        <f t="shared" si="665"/>
        <v>293.83</v>
      </c>
      <c r="O1538" s="161">
        <f t="shared" si="666"/>
        <v>293.83</v>
      </c>
      <c r="P1538" s="187">
        <f t="shared" si="667"/>
        <v>0</v>
      </c>
      <c r="Q1538" s="161">
        <f t="shared" si="668"/>
        <v>0</v>
      </c>
      <c r="R1538" s="85"/>
      <c r="S1538" s="86">
        <f t="shared" si="669"/>
        <v>1</v>
      </c>
      <c r="T1538" s="87">
        <f t="shared" si="664"/>
        <v>0</v>
      </c>
      <c r="U1538">
        <v>1</v>
      </c>
    </row>
    <row r="1539" spans="2:21" ht="20.100000000000001" hidden="1" customHeight="1">
      <c r="B1539" s="77">
        <v>11</v>
      </c>
      <c r="C1539" s="78" t="s">
        <v>2692</v>
      </c>
      <c r="D1539" s="79" t="s">
        <v>2878</v>
      </c>
      <c r="E1539" s="80" t="s">
        <v>2879</v>
      </c>
      <c r="F1539" s="81">
        <v>293.83</v>
      </c>
      <c r="G1539" s="222">
        <v>1</v>
      </c>
      <c r="H1539" s="186"/>
      <c r="I1539" s="186"/>
      <c r="J1539" s="308"/>
      <c r="K1539" s="227"/>
      <c r="L1539" s="82">
        <f t="shared" si="670"/>
        <v>1</v>
      </c>
      <c r="M1539" s="331">
        <v>1</v>
      </c>
      <c r="N1539" s="161">
        <f t="shared" si="665"/>
        <v>293.83</v>
      </c>
      <c r="O1539" s="161">
        <f t="shared" si="666"/>
        <v>293.83</v>
      </c>
      <c r="P1539" s="187">
        <f t="shared" si="667"/>
        <v>0</v>
      </c>
      <c r="Q1539" s="161">
        <f t="shared" si="668"/>
        <v>0</v>
      </c>
      <c r="R1539" s="85"/>
      <c r="S1539" s="86">
        <f t="shared" si="669"/>
        <v>1</v>
      </c>
      <c r="T1539" s="87">
        <f t="shared" si="664"/>
        <v>0</v>
      </c>
      <c r="U1539">
        <v>1</v>
      </c>
    </row>
    <row r="1540" spans="2:21" ht="20.100000000000001" hidden="1" customHeight="1">
      <c r="B1540" s="77">
        <v>11</v>
      </c>
      <c r="C1540" s="78" t="s">
        <v>2692</v>
      </c>
      <c r="D1540" s="79" t="s">
        <v>2880</v>
      </c>
      <c r="E1540" s="80" t="s">
        <v>2881</v>
      </c>
      <c r="F1540" s="81">
        <v>293.83</v>
      </c>
      <c r="G1540" s="222">
        <v>1</v>
      </c>
      <c r="H1540" s="186"/>
      <c r="I1540" s="186"/>
      <c r="J1540" s="308"/>
      <c r="K1540" s="227"/>
      <c r="L1540" s="82">
        <f t="shared" si="670"/>
        <v>1</v>
      </c>
      <c r="M1540" s="331">
        <v>1</v>
      </c>
      <c r="N1540" s="161">
        <f t="shared" si="665"/>
        <v>293.83</v>
      </c>
      <c r="O1540" s="161">
        <f t="shared" si="666"/>
        <v>293.83</v>
      </c>
      <c r="P1540" s="187">
        <f t="shared" si="667"/>
        <v>0</v>
      </c>
      <c r="Q1540" s="161">
        <f t="shared" si="668"/>
        <v>0</v>
      </c>
      <c r="R1540" s="85"/>
      <c r="S1540" s="86">
        <f t="shared" si="669"/>
        <v>1</v>
      </c>
      <c r="T1540" s="87">
        <f t="shared" si="664"/>
        <v>0</v>
      </c>
      <c r="U1540">
        <v>1</v>
      </c>
    </row>
    <row r="1541" spans="2:21" ht="20.100000000000001" hidden="1" customHeight="1">
      <c r="B1541" s="77">
        <v>11</v>
      </c>
      <c r="C1541" s="78" t="s">
        <v>2692</v>
      </c>
      <c r="D1541" s="79" t="s">
        <v>2882</v>
      </c>
      <c r="E1541" s="80" t="s">
        <v>2883</v>
      </c>
      <c r="F1541" s="81">
        <v>293.83</v>
      </c>
      <c r="G1541" s="222">
        <v>1</v>
      </c>
      <c r="H1541" s="186"/>
      <c r="I1541" s="186"/>
      <c r="J1541" s="308"/>
      <c r="K1541" s="227"/>
      <c r="L1541" s="82">
        <f t="shared" si="670"/>
        <v>1</v>
      </c>
      <c r="M1541" s="331">
        <v>1</v>
      </c>
      <c r="N1541" s="161">
        <f t="shared" si="665"/>
        <v>293.83</v>
      </c>
      <c r="O1541" s="161">
        <f t="shared" si="666"/>
        <v>293.83</v>
      </c>
      <c r="P1541" s="187">
        <f t="shared" si="667"/>
        <v>0</v>
      </c>
      <c r="Q1541" s="161">
        <f t="shared" si="668"/>
        <v>0</v>
      </c>
      <c r="R1541" s="85"/>
      <c r="S1541" s="86">
        <f t="shared" si="669"/>
        <v>1</v>
      </c>
      <c r="T1541" s="87">
        <f t="shared" si="664"/>
        <v>0</v>
      </c>
      <c r="U1541">
        <v>1</v>
      </c>
    </row>
    <row r="1542" spans="2:21" ht="20.100000000000001" hidden="1" customHeight="1">
      <c r="B1542" s="77">
        <v>11</v>
      </c>
      <c r="C1542" s="78" t="s">
        <v>2692</v>
      </c>
      <c r="D1542" s="79" t="s">
        <v>2884</v>
      </c>
      <c r="E1542" s="80" t="s">
        <v>2885</v>
      </c>
      <c r="F1542" s="81">
        <v>300.83</v>
      </c>
      <c r="G1542" s="222">
        <v>1</v>
      </c>
      <c r="H1542" s="186"/>
      <c r="I1542" s="186"/>
      <c r="J1542" s="308"/>
      <c r="K1542" s="227"/>
      <c r="L1542" s="82">
        <f t="shared" si="670"/>
        <v>1</v>
      </c>
      <c r="M1542" s="331">
        <v>1</v>
      </c>
      <c r="N1542" s="161">
        <f t="shared" si="665"/>
        <v>300.83</v>
      </c>
      <c r="O1542" s="161">
        <f t="shared" si="666"/>
        <v>300.83</v>
      </c>
      <c r="P1542" s="187">
        <f t="shared" si="667"/>
        <v>0</v>
      </c>
      <c r="Q1542" s="161">
        <f t="shared" si="668"/>
        <v>0</v>
      </c>
      <c r="R1542" s="85"/>
      <c r="S1542" s="86">
        <f t="shared" si="669"/>
        <v>1</v>
      </c>
      <c r="T1542" s="87">
        <f t="shared" si="664"/>
        <v>0</v>
      </c>
      <c r="U1542">
        <v>1</v>
      </c>
    </row>
    <row r="1543" spans="2:21" ht="20.100000000000001" hidden="1" customHeight="1">
      <c r="B1543" s="77">
        <v>11</v>
      </c>
      <c r="C1543" s="78" t="s">
        <v>2692</v>
      </c>
      <c r="D1543" s="79" t="s">
        <v>2886</v>
      </c>
      <c r="E1543" s="80" t="s">
        <v>2887</v>
      </c>
      <c r="F1543" s="81">
        <v>237.83</v>
      </c>
      <c r="G1543" s="222">
        <v>1</v>
      </c>
      <c r="H1543" s="186"/>
      <c r="I1543" s="186"/>
      <c r="J1543" s="308"/>
      <c r="K1543" s="227"/>
      <c r="L1543" s="82">
        <f t="shared" si="670"/>
        <v>1</v>
      </c>
      <c r="M1543" s="331">
        <v>1</v>
      </c>
      <c r="N1543" s="161">
        <f t="shared" si="665"/>
        <v>237.83</v>
      </c>
      <c r="O1543" s="161">
        <f t="shared" si="666"/>
        <v>237.83</v>
      </c>
      <c r="P1543" s="187">
        <f t="shared" si="667"/>
        <v>0</v>
      </c>
      <c r="Q1543" s="161">
        <f t="shared" si="668"/>
        <v>0</v>
      </c>
      <c r="R1543" s="85"/>
      <c r="S1543" s="86">
        <f t="shared" si="669"/>
        <v>1</v>
      </c>
      <c r="T1543" s="87">
        <f t="shared" si="664"/>
        <v>0</v>
      </c>
      <c r="U1543">
        <v>1</v>
      </c>
    </row>
    <row r="1544" spans="2:21" ht="20.100000000000001" hidden="1" customHeight="1">
      <c r="B1544" s="77">
        <v>11</v>
      </c>
      <c r="C1544" s="78" t="s">
        <v>2692</v>
      </c>
      <c r="D1544" s="79" t="s">
        <v>2888</v>
      </c>
      <c r="E1544" s="80" t="s">
        <v>2889</v>
      </c>
      <c r="F1544" s="81">
        <v>321.3</v>
      </c>
      <c r="G1544" s="222">
        <v>1</v>
      </c>
      <c r="H1544" s="186"/>
      <c r="I1544" s="186"/>
      <c r="J1544" s="308"/>
      <c r="K1544" s="227"/>
      <c r="L1544" s="82">
        <f t="shared" si="670"/>
        <v>1</v>
      </c>
      <c r="M1544" s="331">
        <v>1</v>
      </c>
      <c r="N1544" s="161">
        <f t="shared" si="665"/>
        <v>321.3</v>
      </c>
      <c r="O1544" s="161">
        <f t="shared" si="666"/>
        <v>321.3</v>
      </c>
      <c r="P1544" s="187">
        <f t="shared" si="667"/>
        <v>0</v>
      </c>
      <c r="Q1544" s="161">
        <f t="shared" si="668"/>
        <v>0</v>
      </c>
      <c r="R1544" s="85"/>
      <c r="S1544" s="86">
        <f t="shared" si="669"/>
        <v>1</v>
      </c>
      <c r="T1544" s="87">
        <f t="shared" si="664"/>
        <v>0</v>
      </c>
      <c r="U1544">
        <v>1</v>
      </c>
    </row>
    <row r="1545" spans="2:21" ht="20.100000000000001" hidden="1" customHeight="1">
      <c r="B1545" s="77">
        <v>11</v>
      </c>
      <c r="C1545" s="78" t="s">
        <v>2692</v>
      </c>
      <c r="D1545" s="79" t="s">
        <v>2890</v>
      </c>
      <c r="E1545" s="80" t="s">
        <v>2891</v>
      </c>
      <c r="F1545" s="81">
        <v>300.83</v>
      </c>
      <c r="G1545" s="222">
        <v>2</v>
      </c>
      <c r="H1545" s="186"/>
      <c r="I1545" s="186"/>
      <c r="J1545" s="308"/>
      <c r="K1545" s="227"/>
      <c r="L1545" s="82">
        <f t="shared" si="670"/>
        <v>2</v>
      </c>
      <c r="M1545" s="331">
        <v>2</v>
      </c>
      <c r="N1545" s="161">
        <f t="shared" si="665"/>
        <v>601.66</v>
      </c>
      <c r="O1545" s="161">
        <f t="shared" si="666"/>
        <v>601.66</v>
      </c>
      <c r="P1545" s="187">
        <f t="shared" si="667"/>
        <v>0</v>
      </c>
      <c r="Q1545" s="161">
        <f t="shared" si="668"/>
        <v>0</v>
      </c>
      <c r="R1545" s="85"/>
      <c r="S1545" s="86">
        <f t="shared" si="669"/>
        <v>2</v>
      </c>
      <c r="T1545" s="87">
        <f t="shared" si="664"/>
        <v>0</v>
      </c>
      <c r="U1545">
        <v>2</v>
      </c>
    </row>
    <row r="1546" spans="2:21" ht="20.100000000000001" hidden="1" customHeight="1">
      <c r="B1546" s="77">
        <v>11</v>
      </c>
      <c r="C1546" s="78" t="s">
        <v>2692</v>
      </c>
      <c r="D1546" s="79" t="s">
        <v>2892</v>
      </c>
      <c r="E1546" s="80" t="s">
        <v>2893</v>
      </c>
      <c r="F1546" s="81">
        <v>300.83</v>
      </c>
      <c r="G1546" s="222">
        <v>1</v>
      </c>
      <c r="H1546" s="186"/>
      <c r="I1546" s="186"/>
      <c r="J1546" s="308"/>
      <c r="K1546" s="227"/>
      <c r="L1546" s="82">
        <f t="shared" si="670"/>
        <v>1</v>
      </c>
      <c r="M1546" s="331">
        <v>1</v>
      </c>
      <c r="N1546" s="161">
        <f t="shared" si="665"/>
        <v>300.83</v>
      </c>
      <c r="O1546" s="161">
        <f t="shared" si="666"/>
        <v>300.83</v>
      </c>
      <c r="P1546" s="187">
        <f t="shared" si="667"/>
        <v>0</v>
      </c>
      <c r="Q1546" s="161">
        <f t="shared" si="668"/>
        <v>0</v>
      </c>
      <c r="R1546" s="85"/>
      <c r="S1546" s="86">
        <f t="shared" si="669"/>
        <v>2</v>
      </c>
      <c r="T1546" s="87">
        <f t="shared" si="664"/>
        <v>-1</v>
      </c>
      <c r="U1546">
        <v>2</v>
      </c>
    </row>
    <row r="1547" spans="2:21" ht="20.100000000000001" hidden="1" customHeight="1">
      <c r="B1547" s="77">
        <v>11</v>
      </c>
      <c r="C1547" s="78" t="s">
        <v>2692</v>
      </c>
      <c r="D1547" s="79" t="s">
        <v>2894</v>
      </c>
      <c r="E1547" s="80" t="s">
        <v>2895</v>
      </c>
      <c r="F1547" s="81">
        <v>314.83</v>
      </c>
      <c r="G1547" s="222">
        <v>1</v>
      </c>
      <c r="H1547" s="186"/>
      <c r="I1547" s="186"/>
      <c r="J1547" s="308"/>
      <c r="K1547" s="227"/>
      <c r="L1547" s="82">
        <f t="shared" si="670"/>
        <v>1</v>
      </c>
      <c r="M1547" s="331">
        <v>1</v>
      </c>
      <c r="N1547" s="161">
        <f t="shared" si="665"/>
        <v>314.83</v>
      </c>
      <c r="O1547" s="161">
        <f t="shared" si="666"/>
        <v>314.83</v>
      </c>
      <c r="P1547" s="187">
        <f t="shared" si="667"/>
        <v>0</v>
      </c>
      <c r="Q1547" s="161">
        <f t="shared" si="668"/>
        <v>0</v>
      </c>
      <c r="R1547" s="85"/>
      <c r="S1547" s="86">
        <f t="shared" si="669"/>
        <v>1</v>
      </c>
      <c r="T1547" s="87">
        <f t="shared" si="664"/>
        <v>0</v>
      </c>
      <c r="U1547">
        <v>1</v>
      </c>
    </row>
    <row r="1548" spans="2:21" ht="20.100000000000001" hidden="1" customHeight="1">
      <c r="B1548" s="77">
        <v>11</v>
      </c>
      <c r="C1548" s="78" t="s">
        <v>2692</v>
      </c>
      <c r="D1548" s="79" t="s">
        <v>2896</v>
      </c>
      <c r="E1548" s="80" t="s">
        <v>2897</v>
      </c>
      <c r="F1548" s="81">
        <v>314.83</v>
      </c>
      <c r="G1548" s="222"/>
      <c r="H1548" s="186"/>
      <c r="I1548" s="186"/>
      <c r="J1548" s="308"/>
      <c r="K1548" s="227"/>
      <c r="L1548" s="82">
        <f t="shared" si="670"/>
        <v>0</v>
      </c>
      <c r="M1548" s="331"/>
      <c r="N1548" s="161">
        <f t="shared" si="665"/>
        <v>0</v>
      </c>
      <c r="O1548" s="161">
        <f t="shared" si="666"/>
        <v>0</v>
      </c>
      <c r="P1548" s="187">
        <f t="shared" si="667"/>
        <v>0</v>
      </c>
      <c r="Q1548" s="161">
        <f t="shared" si="668"/>
        <v>0</v>
      </c>
      <c r="R1548" s="85"/>
      <c r="S1548" s="86">
        <f t="shared" si="669"/>
        <v>1</v>
      </c>
      <c r="T1548" s="87">
        <f t="shared" si="664"/>
        <v>-1</v>
      </c>
      <c r="U1548">
        <v>1</v>
      </c>
    </row>
    <row r="1549" spans="2:21" ht="20.100000000000001" hidden="1" customHeight="1">
      <c r="B1549" s="77">
        <v>11</v>
      </c>
      <c r="C1549" s="78" t="s">
        <v>2692</v>
      </c>
      <c r="D1549" s="79" t="s">
        <v>2898</v>
      </c>
      <c r="E1549" s="80" t="s">
        <v>2899</v>
      </c>
      <c r="F1549" s="81">
        <v>300.83</v>
      </c>
      <c r="G1549" s="222">
        <v>1</v>
      </c>
      <c r="H1549" s="186"/>
      <c r="I1549" s="186"/>
      <c r="J1549" s="308"/>
      <c r="K1549" s="227"/>
      <c r="L1549" s="82">
        <f t="shared" si="670"/>
        <v>1</v>
      </c>
      <c r="M1549" s="331">
        <v>1</v>
      </c>
      <c r="N1549" s="161">
        <f t="shared" si="665"/>
        <v>300.83</v>
      </c>
      <c r="O1549" s="161">
        <f t="shared" si="666"/>
        <v>300.83</v>
      </c>
      <c r="P1549" s="187">
        <f t="shared" si="667"/>
        <v>0</v>
      </c>
      <c r="Q1549" s="161">
        <f t="shared" si="668"/>
        <v>0</v>
      </c>
      <c r="R1549" s="85"/>
      <c r="S1549" s="86">
        <f t="shared" si="669"/>
        <v>1</v>
      </c>
      <c r="T1549" s="87">
        <f t="shared" si="664"/>
        <v>0</v>
      </c>
      <c r="U1549">
        <v>1</v>
      </c>
    </row>
    <row r="1550" spans="2:21" ht="20.100000000000001" hidden="1" customHeight="1">
      <c r="B1550" s="77">
        <v>11</v>
      </c>
      <c r="C1550" s="78" t="s">
        <v>2692</v>
      </c>
      <c r="D1550" s="79" t="s">
        <v>2900</v>
      </c>
      <c r="E1550" s="80" t="s">
        <v>2901</v>
      </c>
      <c r="F1550" s="81">
        <v>209.3</v>
      </c>
      <c r="G1550" s="222">
        <v>1</v>
      </c>
      <c r="H1550" s="186"/>
      <c r="I1550" s="186"/>
      <c r="J1550" s="308"/>
      <c r="K1550" s="227"/>
      <c r="L1550" s="82">
        <f t="shared" si="670"/>
        <v>1</v>
      </c>
      <c r="M1550" s="331">
        <v>1</v>
      </c>
      <c r="N1550" s="161">
        <f t="shared" si="665"/>
        <v>209.3</v>
      </c>
      <c r="O1550" s="161">
        <f t="shared" si="666"/>
        <v>209.3</v>
      </c>
      <c r="P1550" s="187">
        <f t="shared" si="667"/>
        <v>0</v>
      </c>
      <c r="Q1550" s="161">
        <f t="shared" si="668"/>
        <v>0</v>
      </c>
      <c r="R1550" s="85"/>
      <c r="S1550" s="86">
        <f t="shared" si="669"/>
        <v>1</v>
      </c>
      <c r="T1550" s="87">
        <f t="shared" si="664"/>
        <v>0</v>
      </c>
      <c r="U1550">
        <v>1</v>
      </c>
    </row>
    <row r="1551" spans="2:21" ht="20.100000000000001" hidden="1" customHeight="1">
      <c r="B1551" s="77">
        <v>11</v>
      </c>
      <c r="C1551" s="78" t="s">
        <v>2692</v>
      </c>
      <c r="D1551" s="79" t="s">
        <v>2902</v>
      </c>
      <c r="E1551" s="80" t="s">
        <v>2903</v>
      </c>
      <c r="F1551" s="81">
        <v>209.3</v>
      </c>
      <c r="G1551" s="222">
        <v>1</v>
      </c>
      <c r="H1551" s="186"/>
      <c r="I1551" s="186"/>
      <c r="J1551" s="308"/>
      <c r="K1551" s="227"/>
      <c r="L1551" s="82">
        <f t="shared" si="670"/>
        <v>1</v>
      </c>
      <c r="M1551" s="331">
        <v>1</v>
      </c>
      <c r="N1551" s="161">
        <f t="shared" si="665"/>
        <v>209.3</v>
      </c>
      <c r="O1551" s="161">
        <f t="shared" si="666"/>
        <v>209.3</v>
      </c>
      <c r="P1551" s="187">
        <f t="shared" si="667"/>
        <v>0</v>
      </c>
      <c r="Q1551" s="161">
        <f t="shared" si="668"/>
        <v>0</v>
      </c>
      <c r="R1551" s="85"/>
      <c r="S1551" s="86">
        <f t="shared" si="669"/>
        <v>1</v>
      </c>
      <c r="T1551" s="87">
        <f t="shared" si="664"/>
        <v>0</v>
      </c>
      <c r="U1551">
        <v>1</v>
      </c>
    </row>
    <row r="1552" spans="2:21" ht="20.100000000000001" hidden="1" customHeight="1">
      <c r="B1552" s="77">
        <v>11</v>
      </c>
      <c r="C1552" s="78" t="s">
        <v>2692</v>
      </c>
      <c r="D1552" s="79" t="s">
        <v>2904</v>
      </c>
      <c r="E1552" s="80" t="s">
        <v>2905</v>
      </c>
      <c r="F1552" s="81">
        <v>230.83</v>
      </c>
      <c r="G1552" s="222">
        <v>1</v>
      </c>
      <c r="H1552" s="186"/>
      <c r="I1552" s="186"/>
      <c r="J1552" s="308"/>
      <c r="K1552" s="227"/>
      <c r="L1552" s="82">
        <f t="shared" si="670"/>
        <v>1</v>
      </c>
      <c r="M1552" s="331">
        <v>1</v>
      </c>
      <c r="N1552" s="161">
        <f t="shared" si="665"/>
        <v>230.83</v>
      </c>
      <c r="O1552" s="161">
        <f t="shared" si="666"/>
        <v>230.83</v>
      </c>
      <c r="P1552" s="187">
        <f t="shared" si="667"/>
        <v>0</v>
      </c>
      <c r="Q1552" s="161">
        <f t="shared" si="668"/>
        <v>0</v>
      </c>
      <c r="R1552" s="85"/>
      <c r="S1552" s="86">
        <f t="shared" si="669"/>
        <v>1</v>
      </c>
      <c r="T1552" s="87">
        <f t="shared" si="664"/>
        <v>0</v>
      </c>
      <c r="U1552">
        <v>1</v>
      </c>
    </row>
    <row r="1553" spans="2:31" ht="20.100000000000001" hidden="1" customHeight="1">
      <c r="B1553" s="77">
        <v>11</v>
      </c>
      <c r="C1553" s="78" t="s">
        <v>2692</v>
      </c>
      <c r="D1553" s="79" t="s">
        <v>2906</v>
      </c>
      <c r="E1553" s="80" t="s">
        <v>2907</v>
      </c>
      <c r="F1553" s="81">
        <v>195.83</v>
      </c>
      <c r="G1553" s="222">
        <v>1</v>
      </c>
      <c r="H1553" s="186"/>
      <c r="I1553" s="186"/>
      <c r="J1553" s="308"/>
      <c r="K1553" s="227"/>
      <c r="L1553" s="82">
        <f t="shared" si="670"/>
        <v>1</v>
      </c>
      <c r="M1553" s="331">
        <v>1</v>
      </c>
      <c r="N1553" s="161">
        <f t="shared" si="665"/>
        <v>195.83</v>
      </c>
      <c r="O1553" s="161">
        <f t="shared" si="666"/>
        <v>195.83</v>
      </c>
      <c r="P1553" s="187">
        <f t="shared" si="667"/>
        <v>0</v>
      </c>
      <c r="Q1553" s="161">
        <f t="shared" si="668"/>
        <v>0</v>
      </c>
      <c r="R1553" s="85"/>
      <c r="S1553" s="86">
        <f t="shared" si="669"/>
        <v>1</v>
      </c>
      <c r="T1553" s="87">
        <f t="shared" si="664"/>
        <v>0</v>
      </c>
      <c r="U1553">
        <v>1</v>
      </c>
    </row>
    <row r="1554" spans="2:31" ht="20.100000000000001" hidden="1" customHeight="1">
      <c r="B1554" s="77">
        <v>11</v>
      </c>
      <c r="C1554" s="78" t="s">
        <v>2692</v>
      </c>
      <c r="D1554" s="79" t="s">
        <v>2908</v>
      </c>
      <c r="E1554" s="80" t="s">
        <v>2909</v>
      </c>
      <c r="F1554" s="81">
        <v>174.83</v>
      </c>
      <c r="G1554" s="222">
        <v>1</v>
      </c>
      <c r="H1554" s="186"/>
      <c r="I1554" s="186"/>
      <c r="J1554" s="308"/>
      <c r="K1554" s="227"/>
      <c r="L1554" s="82">
        <f t="shared" si="670"/>
        <v>1</v>
      </c>
      <c r="M1554" s="331">
        <v>1</v>
      </c>
      <c r="N1554" s="161">
        <f t="shared" si="665"/>
        <v>174.83</v>
      </c>
      <c r="O1554" s="161">
        <f t="shared" si="666"/>
        <v>174.83</v>
      </c>
      <c r="P1554" s="187">
        <f t="shared" si="667"/>
        <v>0</v>
      </c>
      <c r="Q1554" s="161">
        <f t="shared" si="668"/>
        <v>0</v>
      </c>
      <c r="R1554" s="85"/>
      <c r="S1554" s="86">
        <f t="shared" si="669"/>
        <v>1</v>
      </c>
      <c r="T1554" s="87">
        <f t="shared" si="664"/>
        <v>0</v>
      </c>
      <c r="U1554">
        <v>1</v>
      </c>
    </row>
    <row r="1555" spans="2:31" ht="20.100000000000001" hidden="1" customHeight="1">
      <c r="B1555" s="77">
        <v>11</v>
      </c>
      <c r="C1555" s="78" t="s">
        <v>2692</v>
      </c>
      <c r="D1555" s="79" t="s">
        <v>2910</v>
      </c>
      <c r="E1555" s="80" t="s">
        <v>2911</v>
      </c>
      <c r="F1555" s="81">
        <v>230.83</v>
      </c>
      <c r="G1555" s="222">
        <v>2</v>
      </c>
      <c r="H1555" s="186"/>
      <c r="I1555" s="186"/>
      <c r="J1555" s="308"/>
      <c r="K1555" s="227"/>
      <c r="L1555" s="82">
        <f t="shared" si="670"/>
        <v>2</v>
      </c>
      <c r="M1555" s="331">
        <v>2</v>
      </c>
      <c r="N1555" s="161">
        <f t="shared" si="665"/>
        <v>461.66</v>
      </c>
      <c r="O1555" s="161">
        <f t="shared" si="666"/>
        <v>461.66</v>
      </c>
      <c r="P1555" s="187">
        <f t="shared" si="667"/>
        <v>0</v>
      </c>
      <c r="Q1555" s="161">
        <f t="shared" si="668"/>
        <v>0</v>
      </c>
      <c r="R1555" s="85"/>
      <c r="S1555" s="86">
        <f t="shared" si="669"/>
        <v>2</v>
      </c>
      <c r="T1555" s="87">
        <f t="shared" si="664"/>
        <v>0</v>
      </c>
      <c r="U1555">
        <v>2</v>
      </c>
    </row>
    <row r="1556" spans="2:31" ht="20.100000000000001" hidden="1" customHeight="1">
      <c r="B1556" s="77">
        <v>11</v>
      </c>
      <c r="C1556" s="78" t="s">
        <v>2692</v>
      </c>
      <c r="D1556" s="79" t="s">
        <v>2912</v>
      </c>
      <c r="E1556" s="80" t="s">
        <v>2913</v>
      </c>
      <c r="F1556" s="81">
        <v>174.83</v>
      </c>
      <c r="G1556" s="222">
        <v>1</v>
      </c>
      <c r="H1556" s="186"/>
      <c r="I1556" s="186"/>
      <c r="J1556" s="308"/>
      <c r="K1556" s="227"/>
      <c r="L1556" s="82">
        <f t="shared" si="670"/>
        <v>1</v>
      </c>
      <c r="M1556" s="331">
        <v>1</v>
      </c>
      <c r="N1556" s="161">
        <f t="shared" si="665"/>
        <v>174.83</v>
      </c>
      <c r="O1556" s="161">
        <f t="shared" si="666"/>
        <v>174.83</v>
      </c>
      <c r="P1556" s="187">
        <f t="shared" si="667"/>
        <v>0</v>
      </c>
      <c r="Q1556" s="161">
        <f t="shared" si="668"/>
        <v>0</v>
      </c>
      <c r="R1556" s="85"/>
      <c r="S1556" s="86">
        <f t="shared" si="669"/>
        <v>1</v>
      </c>
      <c r="T1556" s="87">
        <f t="shared" si="664"/>
        <v>0</v>
      </c>
      <c r="U1556">
        <v>1</v>
      </c>
    </row>
    <row r="1557" spans="2:31" ht="20.100000000000001" hidden="1" customHeight="1">
      <c r="B1557" s="77">
        <v>11</v>
      </c>
      <c r="C1557" s="78" t="s">
        <v>2692</v>
      </c>
      <c r="D1557" s="79" t="s">
        <v>2914</v>
      </c>
      <c r="E1557" s="80" t="s">
        <v>2915</v>
      </c>
      <c r="F1557" s="81">
        <v>174.83</v>
      </c>
      <c r="G1557" s="222">
        <v>1</v>
      </c>
      <c r="H1557" s="186"/>
      <c r="I1557" s="186"/>
      <c r="J1557" s="308"/>
      <c r="K1557" s="227"/>
      <c r="L1557" s="82">
        <f t="shared" si="670"/>
        <v>1</v>
      </c>
      <c r="M1557" s="331">
        <v>1</v>
      </c>
      <c r="N1557" s="161">
        <f t="shared" si="665"/>
        <v>174.83</v>
      </c>
      <c r="O1557" s="161">
        <f t="shared" si="666"/>
        <v>174.83</v>
      </c>
      <c r="P1557" s="187">
        <f t="shared" si="667"/>
        <v>0</v>
      </c>
      <c r="Q1557" s="161">
        <f t="shared" si="668"/>
        <v>0</v>
      </c>
      <c r="R1557" s="85"/>
      <c r="S1557" s="86">
        <f t="shared" si="669"/>
        <v>1</v>
      </c>
      <c r="T1557" s="87">
        <f t="shared" si="664"/>
        <v>0</v>
      </c>
      <c r="U1557">
        <v>1</v>
      </c>
    </row>
    <row r="1558" spans="2:31" ht="20.100000000000001" hidden="1" customHeight="1">
      <c r="B1558" s="77">
        <v>11</v>
      </c>
      <c r="C1558" s="78" t="s">
        <v>2692</v>
      </c>
      <c r="D1558" s="79" t="s">
        <v>2916</v>
      </c>
      <c r="E1558" s="80" t="s">
        <v>2917</v>
      </c>
      <c r="F1558" s="81">
        <v>174.83</v>
      </c>
      <c r="G1558" s="222">
        <v>1</v>
      </c>
      <c r="H1558" s="186"/>
      <c r="I1558" s="186"/>
      <c r="J1558" s="308"/>
      <c r="K1558" s="227"/>
      <c r="L1558" s="82">
        <f t="shared" si="670"/>
        <v>1</v>
      </c>
      <c r="M1558" s="331">
        <v>1</v>
      </c>
      <c r="N1558" s="161">
        <f t="shared" si="665"/>
        <v>174.83</v>
      </c>
      <c r="O1558" s="161">
        <f t="shared" si="666"/>
        <v>174.83</v>
      </c>
      <c r="P1558" s="187">
        <f t="shared" si="667"/>
        <v>0</v>
      </c>
      <c r="Q1558" s="161">
        <f t="shared" si="668"/>
        <v>0</v>
      </c>
      <c r="R1558" s="85"/>
      <c r="S1558" s="86">
        <f t="shared" si="669"/>
        <v>1</v>
      </c>
      <c r="T1558" s="87">
        <f t="shared" si="664"/>
        <v>0</v>
      </c>
      <c r="U1558">
        <v>1</v>
      </c>
    </row>
    <row r="1559" spans="2:31" ht="20.100000000000001" hidden="1" customHeight="1">
      <c r="B1559" s="77">
        <v>11</v>
      </c>
      <c r="C1559" s="78" t="s">
        <v>2692</v>
      </c>
      <c r="D1559" s="79" t="s">
        <v>2918</v>
      </c>
      <c r="E1559" s="80" t="s">
        <v>2919</v>
      </c>
      <c r="F1559" s="81">
        <v>206.33</v>
      </c>
      <c r="G1559" s="222">
        <v>1</v>
      </c>
      <c r="H1559" s="186"/>
      <c r="I1559" s="186"/>
      <c r="J1559" s="308"/>
      <c r="K1559" s="227"/>
      <c r="L1559" s="82">
        <f t="shared" si="670"/>
        <v>1</v>
      </c>
      <c r="M1559" s="331">
        <v>1</v>
      </c>
      <c r="N1559" s="161">
        <f t="shared" si="665"/>
        <v>206.33</v>
      </c>
      <c r="O1559" s="161">
        <f t="shared" si="666"/>
        <v>206.33</v>
      </c>
      <c r="P1559" s="187">
        <f t="shared" si="667"/>
        <v>0</v>
      </c>
      <c r="Q1559" s="161">
        <f t="shared" si="668"/>
        <v>0</v>
      </c>
      <c r="R1559" s="85"/>
      <c r="S1559" s="86">
        <f t="shared" si="669"/>
        <v>1</v>
      </c>
      <c r="T1559" s="87">
        <f t="shared" si="664"/>
        <v>0</v>
      </c>
      <c r="U1559">
        <v>1</v>
      </c>
    </row>
    <row r="1560" spans="2:31" ht="20.100000000000001" hidden="1" customHeight="1">
      <c r="B1560" s="77">
        <v>11</v>
      </c>
      <c r="C1560" s="78" t="s">
        <v>2692</v>
      </c>
      <c r="D1560" s="79" t="s">
        <v>2920</v>
      </c>
      <c r="E1560" s="80" t="s">
        <v>2921</v>
      </c>
      <c r="F1560" s="81">
        <v>206.33</v>
      </c>
      <c r="G1560" s="222">
        <v>5</v>
      </c>
      <c r="H1560" s="186"/>
      <c r="I1560" s="186"/>
      <c r="J1560" s="308"/>
      <c r="K1560" s="227"/>
      <c r="L1560" s="82">
        <f t="shared" si="670"/>
        <v>5</v>
      </c>
      <c r="M1560" s="331">
        <v>5</v>
      </c>
      <c r="N1560" s="161">
        <f t="shared" si="665"/>
        <v>1031.6500000000001</v>
      </c>
      <c r="O1560" s="161">
        <f t="shared" si="666"/>
        <v>1031.6500000000001</v>
      </c>
      <c r="P1560" s="187">
        <f t="shared" si="667"/>
        <v>0</v>
      </c>
      <c r="Q1560" s="161">
        <f t="shared" si="668"/>
        <v>0</v>
      </c>
      <c r="R1560" s="85"/>
      <c r="S1560" s="86">
        <f t="shared" si="669"/>
        <v>5</v>
      </c>
      <c r="T1560" s="87">
        <f t="shared" si="664"/>
        <v>0</v>
      </c>
      <c r="U1560">
        <v>5</v>
      </c>
    </row>
    <row r="1561" spans="2:31" ht="20.100000000000001" hidden="1" customHeight="1">
      <c r="B1561" s="77">
        <v>11</v>
      </c>
      <c r="C1561" s="78" t="s">
        <v>2692</v>
      </c>
      <c r="D1561" s="79" t="s">
        <v>2922</v>
      </c>
      <c r="E1561" s="80" t="s">
        <v>2923</v>
      </c>
      <c r="F1561" s="81">
        <v>206.33</v>
      </c>
      <c r="G1561" s="222">
        <v>1</v>
      </c>
      <c r="H1561" s="186"/>
      <c r="I1561" s="186"/>
      <c r="J1561" s="308"/>
      <c r="K1561" s="227"/>
      <c r="L1561" s="82">
        <f t="shared" si="670"/>
        <v>1</v>
      </c>
      <c r="M1561" s="331">
        <v>1</v>
      </c>
      <c r="N1561" s="161">
        <f t="shared" si="665"/>
        <v>206.33</v>
      </c>
      <c r="O1561" s="161">
        <f t="shared" si="666"/>
        <v>206.33</v>
      </c>
      <c r="P1561" s="187">
        <f t="shared" si="667"/>
        <v>0</v>
      </c>
      <c r="Q1561" s="161">
        <f t="shared" si="668"/>
        <v>0</v>
      </c>
      <c r="R1561" s="85"/>
      <c r="S1561" s="86">
        <f t="shared" si="669"/>
        <v>1</v>
      </c>
      <c r="T1561" s="87">
        <f t="shared" si="664"/>
        <v>0</v>
      </c>
      <c r="U1561">
        <v>1</v>
      </c>
    </row>
    <row r="1562" spans="2:31" ht="20.100000000000001" hidden="1" customHeight="1">
      <c r="B1562" s="77">
        <v>11</v>
      </c>
      <c r="C1562" s="78" t="s">
        <v>2692</v>
      </c>
      <c r="D1562" s="79" t="s">
        <v>2924</v>
      </c>
      <c r="E1562" s="80" t="s">
        <v>2925</v>
      </c>
      <c r="F1562" s="81">
        <v>272.3</v>
      </c>
      <c r="G1562" s="222">
        <v>1</v>
      </c>
      <c r="H1562" s="186"/>
      <c r="I1562" s="186"/>
      <c r="J1562" s="308"/>
      <c r="K1562" s="227"/>
      <c r="L1562" s="82">
        <f t="shared" si="670"/>
        <v>1</v>
      </c>
      <c r="M1562" s="331">
        <v>1</v>
      </c>
      <c r="N1562" s="161">
        <f t="shared" si="665"/>
        <v>272.3</v>
      </c>
      <c r="O1562" s="161">
        <f t="shared" si="666"/>
        <v>272.3</v>
      </c>
      <c r="P1562" s="187">
        <f t="shared" si="667"/>
        <v>0</v>
      </c>
      <c r="Q1562" s="161">
        <f t="shared" si="668"/>
        <v>0</v>
      </c>
      <c r="R1562" s="85"/>
      <c r="S1562" s="86">
        <f t="shared" si="669"/>
        <v>1</v>
      </c>
      <c r="T1562" s="87">
        <f t="shared" si="664"/>
        <v>0</v>
      </c>
      <c r="U1562">
        <v>1</v>
      </c>
    </row>
    <row r="1563" spans="2:31" ht="20.100000000000001" hidden="1" customHeight="1">
      <c r="B1563" s="77">
        <v>11</v>
      </c>
      <c r="C1563" s="78" t="s">
        <v>2692</v>
      </c>
      <c r="D1563" s="79" t="s">
        <v>2926</v>
      </c>
      <c r="E1563" s="80" t="s">
        <v>2927</v>
      </c>
      <c r="F1563" s="81">
        <v>272.3</v>
      </c>
      <c r="G1563" s="222">
        <v>1</v>
      </c>
      <c r="H1563" s="186"/>
      <c r="I1563" s="186"/>
      <c r="J1563" s="308"/>
      <c r="K1563" s="227"/>
      <c r="L1563" s="82">
        <f t="shared" si="670"/>
        <v>1</v>
      </c>
      <c r="M1563" s="331">
        <v>1</v>
      </c>
      <c r="N1563" s="161">
        <f t="shared" si="665"/>
        <v>272.3</v>
      </c>
      <c r="O1563" s="161">
        <f t="shared" si="666"/>
        <v>272.3</v>
      </c>
      <c r="P1563" s="187">
        <f t="shared" si="667"/>
        <v>0</v>
      </c>
      <c r="Q1563" s="161">
        <f t="shared" si="668"/>
        <v>0</v>
      </c>
      <c r="R1563" s="85"/>
      <c r="S1563" s="86">
        <f t="shared" si="669"/>
        <v>1</v>
      </c>
      <c r="T1563" s="87">
        <f t="shared" si="664"/>
        <v>0</v>
      </c>
      <c r="U1563">
        <v>1</v>
      </c>
    </row>
    <row r="1564" spans="2:31" ht="20.100000000000001" hidden="1" customHeight="1">
      <c r="B1564" s="77">
        <v>11</v>
      </c>
      <c r="C1564" s="78" t="s">
        <v>2692</v>
      </c>
      <c r="D1564" s="79" t="s">
        <v>2928</v>
      </c>
      <c r="E1564" s="80" t="s">
        <v>2929</v>
      </c>
      <c r="F1564" s="81">
        <v>147.5</v>
      </c>
      <c r="G1564" s="222">
        <v>3</v>
      </c>
      <c r="H1564" s="186"/>
      <c r="I1564" s="186"/>
      <c r="J1564" s="308"/>
      <c r="K1564" s="227"/>
      <c r="L1564" s="82">
        <f t="shared" si="670"/>
        <v>3</v>
      </c>
      <c r="M1564" s="331">
        <v>3</v>
      </c>
      <c r="N1564" s="161">
        <f t="shared" si="665"/>
        <v>442.5</v>
      </c>
      <c r="O1564" s="161">
        <f t="shared" si="666"/>
        <v>442.5</v>
      </c>
      <c r="P1564" s="187">
        <f t="shared" si="667"/>
        <v>0</v>
      </c>
      <c r="Q1564" s="161">
        <f t="shared" si="668"/>
        <v>0</v>
      </c>
      <c r="R1564" s="85" t="s">
        <v>2150</v>
      </c>
      <c r="S1564" s="86">
        <f t="shared" si="669"/>
        <v>3</v>
      </c>
      <c r="T1564" s="87">
        <f t="shared" si="664"/>
        <v>0</v>
      </c>
      <c r="U1564">
        <v>3</v>
      </c>
      <c r="V1564" s="88" t="s">
        <v>45</v>
      </c>
      <c r="AD1564" s="17">
        <f>M1564</f>
        <v>3</v>
      </c>
      <c r="AE1564" s="89">
        <f>AD1564*F1564</f>
        <v>442.5</v>
      </c>
    </row>
    <row r="1565" spans="2:31" ht="20.100000000000001" hidden="1" customHeight="1">
      <c r="B1565" s="77">
        <v>11</v>
      </c>
      <c r="C1565" s="78" t="s">
        <v>2692</v>
      </c>
      <c r="D1565" s="79" t="s">
        <v>2930</v>
      </c>
      <c r="E1565" s="80" t="s">
        <v>2931</v>
      </c>
      <c r="F1565" s="81">
        <v>287.5</v>
      </c>
      <c r="G1565" s="222">
        <v>2</v>
      </c>
      <c r="H1565" s="186"/>
      <c r="I1565" s="186"/>
      <c r="J1565" s="308"/>
      <c r="K1565" s="227"/>
      <c r="L1565" s="82">
        <f t="shared" si="670"/>
        <v>2</v>
      </c>
      <c r="M1565" s="331">
        <v>2</v>
      </c>
      <c r="N1565" s="161">
        <f t="shared" si="665"/>
        <v>575</v>
      </c>
      <c r="O1565" s="161">
        <f t="shared" si="666"/>
        <v>575</v>
      </c>
      <c r="P1565" s="187">
        <f t="shared" si="667"/>
        <v>0</v>
      </c>
      <c r="Q1565" s="161">
        <f t="shared" si="668"/>
        <v>0</v>
      </c>
      <c r="R1565" s="85"/>
      <c r="S1565" s="86">
        <f t="shared" si="669"/>
        <v>2</v>
      </c>
      <c r="T1565" s="87">
        <f t="shared" si="664"/>
        <v>0</v>
      </c>
      <c r="U1565">
        <v>2</v>
      </c>
      <c r="V1565" s="88" t="s">
        <v>45</v>
      </c>
      <c r="AD1565" s="17">
        <f>M1565</f>
        <v>2</v>
      </c>
      <c r="AE1565" s="89">
        <f>AD1565*F1565</f>
        <v>575</v>
      </c>
    </row>
    <row r="1566" spans="2:31" ht="20.100000000000001" hidden="1" customHeight="1">
      <c r="B1566" s="77">
        <v>11</v>
      </c>
      <c r="C1566" s="78" t="s">
        <v>2692</v>
      </c>
      <c r="D1566" s="79" t="s">
        <v>2932</v>
      </c>
      <c r="E1566" s="80" t="s">
        <v>2933</v>
      </c>
      <c r="F1566" s="81">
        <v>287.5</v>
      </c>
      <c r="G1566" s="222">
        <v>2</v>
      </c>
      <c r="H1566" s="186"/>
      <c r="I1566" s="186"/>
      <c r="J1566" s="308"/>
      <c r="K1566" s="227"/>
      <c r="L1566" s="82">
        <f t="shared" si="670"/>
        <v>2</v>
      </c>
      <c r="M1566" s="331">
        <v>2</v>
      </c>
      <c r="N1566" s="161">
        <f t="shared" si="665"/>
        <v>575</v>
      </c>
      <c r="O1566" s="161">
        <f t="shared" si="666"/>
        <v>575</v>
      </c>
      <c r="P1566" s="187">
        <f t="shared" si="667"/>
        <v>0</v>
      </c>
      <c r="Q1566" s="161">
        <f t="shared" si="668"/>
        <v>0</v>
      </c>
      <c r="R1566" s="85"/>
      <c r="S1566" s="86">
        <f t="shared" si="669"/>
        <v>2</v>
      </c>
      <c r="T1566" s="87">
        <f t="shared" si="664"/>
        <v>0</v>
      </c>
      <c r="U1566">
        <v>2</v>
      </c>
      <c r="V1566" s="88" t="s">
        <v>45</v>
      </c>
      <c r="AD1566" s="17">
        <f>M1566</f>
        <v>2</v>
      </c>
      <c r="AE1566" s="89">
        <f>AD1566*F1566</f>
        <v>575</v>
      </c>
    </row>
    <row r="1567" spans="2:31" ht="20.100000000000001" hidden="1" customHeight="1">
      <c r="B1567" s="77">
        <v>11</v>
      </c>
      <c r="C1567" s="78" t="s">
        <v>2692</v>
      </c>
      <c r="D1567" s="79" t="s">
        <v>2934</v>
      </c>
      <c r="E1567" s="80" t="s">
        <v>2935</v>
      </c>
      <c r="F1567" s="81">
        <v>209.3</v>
      </c>
      <c r="G1567" s="222">
        <v>2</v>
      </c>
      <c r="H1567" s="186"/>
      <c r="I1567" s="186"/>
      <c r="J1567" s="308"/>
      <c r="K1567" s="227"/>
      <c r="L1567" s="82">
        <f t="shared" si="670"/>
        <v>2</v>
      </c>
      <c r="M1567" s="331">
        <v>2</v>
      </c>
      <c r="N1567" s="161">
        <f t="shared" si="665"/>
        <v>418.6</v>
      </c>
      <c r="O1567" s="161">
        <f t="shared" si="666"/>
        <v>418.6</v>
      </c>
      <c r="P1567" s="187">
        <f t="shared" si="667"/>
        <v>0</v>
      </c>
      <c r="Q1567" s="161">
        <f t="shared" si="668"/>
        <v>0</v>
      </c>
      <c r="R1567" s="85"/>
      <c r="S1567" s="86">
        <f t="shared" si="669"/>
        <v>0</v>
      </c>
      <c r="T1567" s="87">
        <f t="shared" si="664"/>
        <v>2</v>
      </c>
    </row>
    <row r="1568" spans="2:31" ht="20.100000000000001" hidden="1" customHeight="1">
      <c r="B1568" s="77">
        <v>11</v>
      </c>
      <c r="C1568" s="78" t="s">
        <v>2692</v>
      </c>
      <c r="D1568" s="79" t="s">
        <v>2936</v>
      </c>
      <c r="E1568" s="80" t="s">
        <v>2937</v>
      </c>
      <c r="F1568" s="81">
        <v>209.3</v>
      </c>
      <c r="G1568" s="222">
        <v>2</v>
      </c>
      <c r="H1568" s="186"/>
      <c r="I1568" s="186"/>
      <c r="J1568" s="308"/>
      <c r="K1568" s="227"/>
      <c r="L1568" s="82">
        <f t="shared" si="670"/>
        <v>2</v>
      </c>
      <c r="M1568" s="331">
        <v>2</v>
      </c>
      <c r="N1568" s="161">
        <f t="shared" si="665"/>
        <v>418.6</v>
      </c>
      <c r="O1568" s="161">
        <f t="shared" si="666"/>
        <v>418.6</v>
      </c>
      <c r="P1568" s="187">
        <f t="shared" si="667"/>
        <v>0</v>
      </c>
      <c r="Q1568" s="161">
        <f t="shared" si="668"/>
        <v>0</v>
      </c>
      <c r="R1568" s="85"/>
      <c r="S1568" s="86">
        <f t="shared" si="669"/>
        <v>0</v>
      </c>
      <c r="T1568" s="87">
        <f t="shared" si="664"/>
        <v>2</v>
      </c>
    </row>
    <row r="1569" spans="2:31" ht="20.100000000000001" hidden="1" customHeight="1">
      <c r="B1569" s="77">
        <v>11</v>
      </c>
      <c r="C1569" s="78" t="s">
        <v>2692</v>
      </c>
      <c r="D1569" s="79" t="s">
        <v>2938</v>
      </c>
      <c r="E1569" s="80" t="s">
        <v>2939</v>
      </c>
      <c r="F1569" s="81">
        <v>209.3</v>
      </c>
      <c r="G1569" s="222">
        <v>3</v>
      </c>
      <c r="H1569" s="186"/>
      <c r="I1569" s="186"/>
      <c r="J1569" s="308"/>
      <c r="K1569" s="227"/>
      <c r="L1569" s="82">
        <f t="shared" si="670"/>
        <v>3</v>
      </c>
      <c r="M1569" s="331">
        <v>3</v>
      </c>
      <c r="N1569" s="161">
        <f t="shared" si="665"/>
        <v>627.90000000000009</v>
      </c>
      <c r="O1569" s="161">
        <f t="shared" si="666"/>
        <v>627.90000000000009</v>
      </c>
      <c r="P1569" s="187">
        <f t="shared" si="667"/>
        <v>0</v>
      </c>
      <c r="Q1569" s="161">
        <f t="shared" si="668"/>
        <v>0</v>
      </c>
      <c r="R1569" s="85"/>
      <c r="S1569" s="86">
        <f t="shared" si="669"/>
        <v>0</v>
      </c>
      <c r="T1569" s="87">
        <f t="shared" si="664"/>
        <v>3</v>
      </c>
    </row>
    <row r="1570" spans="2:31" ht="20.100000000000001" hidden="1" customHeight="1">
      <c r="B1570" s="77">
        <v>11</v>
      </c>
      <c r="C1570" s="78" t="s">
        <v>2692</v>
      </c>
      <c r="D1570" s="79" t="s">
        <v>2940</v>
      </c>
      <c r="E1570" s="80" t="s">
        <v>2941</v>
      </c>
      <c r="F1570" s="81">
        <v>130</v>
      </c>
      <c r="G1570" s="222"/>
      <c r="H1570" s="186"/>
      <c r="I1570" s="186"/>
      <c r="J1570" s="308"/>
      <c r="K1570" s="227"/>
      <c r="L1570" s="82">
        <f t="shared" si="670"/>
        <v>0</v>
      </c>
      <c r="M1570" s="331">
        <v>0</v>
      </c>
      <c r="N1570" s="161">
        <f t="shared" si="665"/>
        <v>0</v>
      </c>
      <c r="O1570" s="161">
        <f t="shared" si="666"/>
        <v>0</v>
      </c>
      <c r="P1570" s="187">
        <f t="shared" si="667"/>
        <v>0</v>
      </c>
      <c r="Q1570" s="161">
        <f t="shared" si="668"/>
        <v>0</v>
      </c>
      <c r="R1570" s="85"/>
      <c r="S1570" s="86">
        <f t="shared" si="669"/>
        <v>0</v>
      </c>
      <c r="T1570" s="87">
        <f t="shared" si="664"/>
        <v>0</v>
      </c>
    </row>
    <row r="1571" spans="2:31" ht="20.100000000000001" hidden="1" customHeight="1">
      <c r="B1571" s="77">
        <v>11</v>
      </c>
      <c r="C1571" s="78" t="s">
        <v>2692</v>
      </c>
      <c r="D1571" s="79" t="s">
        <v>2942</v>
      </c>
      <c r="E1571" s="80" t="s">
        <v>2943</v>
      </c>
      <c r="F1571" s="81">
        <v>140</v>
      </c>
      <c r="G1571" s="222">
        <v>5</v>
      </c>
      <c r="H1571" s="186"/>
      <c r="I1571" s="186"/>
      <c r="J1571" s="308"/>
      <c r="K1571" s="227"/>
      <c r="L1571" s="82">
        <f t="shared" si="670"/>
        <v>5</v>
      </c>
      <c r="M1571" s="331">
        <v>5</v>
      </c>
      <c r="N1571" s="161">
        <f t="shared" si="665"/>
        <v>700</v>
      </c>
      <c r="O1571" s="161">
        <f t="shared" si="666"/>
        <v>700</v>
      </c>
      <c r="P1571" s="187">
        <f t="shared" si="667"/>
        <v>0</v>
      </c>
      <c r="Q1571" s="161">
        <f t="shared" si="668"/>
        <v>0</v>
      </c>
      <c r="R1571" s="85" t="s">
        <v>2944</v>
      </c>
      <c r="S1571" s="86">
        <f t="shared" si="669"/>
        <v>0</v>
      </c>
      <c r="T1571" s="87">
        <f t="shared" si="664"/>
        <v>5</v>
      </c>
    </row>
    <row r="1572" spans="2:31" ht="20.100000000000001" hidden="1" customHeight="1">
      <c r="B1572" s="77">
        <v>11</v>
      </c>
      <c r="C1572" s="78" t="s">
        <v>2692</v>
      </c>
      <c r="D1572" s="79" t="s">
        <v>2945</v>
      </c>
      <c r="E1572" s="80" t="s">
        <v>2946</v>
      </c>
      <c r="F1572" s="81">
        <v>115</v>
      </c>
      <c r="G1572" s="222">
        <v>22</v>
      </c>
      <c r="H1572" s="186"/>
      <c r="I1572" s="186"/>
      <c r="J1572" s="308"/>
      <c r="K1572" s="227"/>
      <c r="L1572" s="82">
        <f t="shared" si="670"/>
        <v>22</v>
      </c>
      <c r="M1572" s="331">
        <v>22</v>
      </c>
      <c r="N1572" s="161">
        <f t="shared" si="665"/>
        <v>2530</v>
      </c>
      <c r="O1572" s="161">
        <f t="shared" si="666"/>
        <v>2530</v>
      </c>
      <c r="P1572" s="187">
        <f t="shared" si="667"/>
        <v>0</v>
      </c>
      <c r="Q1572" s="161">
        <f t="shared" si="668"/>
        <v>0</v>
      </c>
      <c r="R1572" s="85"/>
      <c r="S1572" s="86">
        <f t="shared" si="669"/>
        <v>22</v>
      </c>
      <c r="T1572" s="87">
        <f t="shared" si="664"/>
        <v>0</v>
      </c>
      <c r="U1572">
        <v>22</v>
      </c>
    </row>
    <row r="1573" spans="2:31" ht="20.100000000000001" hidden="1" customHeight="1">
      <c r="B1573" s="77">
        <v>11</v>
      </c>
      <c r="C1573" s="78" t="s">
        <v>2692</v>
      </c>
      <c r="D1573" s="79" t="s">
        <v>2947</v>
      </c>
      <c r="E1573" s="80" t="s">
        <v>2948</v>
      </c>
      <c r="F1573" s="81">
        <v>1215</v>
      </c>
      <c r="G1573" s="222">
        <v>1</v>
      </c>
      <c r="H1573" s="186"/>
      <c r="I1573" s="186"/>
      <c r="J1573" s="308"/>
      <c r="K1573" s="227"/>
      <c r="L1573" s="82">
        <f t="shared" si="670"/>
        <v>1</v>
      </c>
      <c r="M1573" s="331">
        <v>1</v>
      </c>
      <c r="N1573" s="161">
        <f t="shared" si="665"/>
        <v>1215</v>
      </c>
      <c r="O1573" s="161">
        <f t="shared" si="666"/>
        <v>1215</v>
      </c>
      <c r="P1573" s="187">
        <f t="shared" si="667"/>
        <v>0</v>
      </c>
      <c r="Q1573" s="161">
        <f t="shared" si="668"/>
        <v>0</v>
      </c>
      <c r="R1573" s="85"/>
      <c r="S1573" s="86">
        <f t="shared" si="669"/>
        <v>1</v>
      </c>
      <c r="T1573" s="87">
        <f t="shared" si="664"/>
        <v>0</v>
      </c>
      <c r="U1573">
        <v>1</v>
      </c>
      <c r="V1573" s="88" t="s">
        <v>45</v>
      </c>
      <c r="AD1573" s="17">
        <f t="shared" ref="AD1573:AD1582" si="671">M1573</f>
        <v>1</v>
      </c>
      <c r="AE1573" s="89">
        <f t="shared" ref="AE1573:AE1582" si="672">AD1573*F1573</f>
        <v>1215</v>
      </c>
    </row>
    <row r="1574" spans="2:31" ht="20.100000000000001" hidden="1" customHeight="1">
      <c r="B1574" s="77">
        <v>11</v>
      </c>
      <c r="C1574" s="78" t="s">
        <v>2692</v>
      </c>
      <c r="D1574" s="79" t="s">
        <v>2949</v>
      </c>
      <c r="E1574" s="80" t="s">
        <v>2950</v>
      </c>
      <c r="F1574" s="81">
        <v>1476</v>
      </c>
      <c r="G1574" s="222">
        <v>1</v>
      </c>
      <c r="H1574" s="186"/>
      <c r="I1574" s="186"/>
      <c r="J1574" s="308"/>
      <c r="K1574" s="227"/>
      <c r="L1574" s="82">
        <f t="shared" si="670"/>
        <v>1</v>
      </c>
      <c r="M1574" s="331">
        <v>1</v>
      </c>
      <c r="N1574" s="161">
        <f t="shared" si="665"/>
        <v>1476</v>
      </c>
      <c r="O1574" s="161">
        <f t="shared" si="666"/>
        <v>1476</v>
      </c>
      <c r="P1574" s="187">
        <f t="shared" si="667"/>
        <v>0</v>
      </c>
      <c r="Q1574" s="161">
        <f t="shared" si="668"/>
        <v>0</v>
      </c>
      <c r="R1574" s="85"/>
      <c r="S1574" s="86">
        <f t="shared" si="669"/>
        <v>1</v>
      </c>
      <c r="T1574" s="87">
        <f t="shared" si="664"/>
        <v>0</v>
      </c>
      <c r="U1574">
        <v>1</v>
      </c>
      <c r="V1574" s="88" t="s">
        <v>45</v>
      </c>
      <c r="AD1574" s="17">
        <f t="shared" si="671"/>
        <v>1</v>
      </c>
      <c r="AE1574" s="89">
        <f t="shared" si="672"/>
        <v>1476</v>
      </c>
    </row>
    <row r="1575" spans="2:31" ht="20.100000000000001" hidden="1" customHeight="1">
      <c r="B1575" s="77">
        <v>11</v>
      </c>
      <c r="C1575" s="78" t="s">
        <v>2692</v>
      </c>
      <c r="D1575" s="79" t="s">
        <v>2951</v>
      </c>
      <c r="E1575" s="80" t="s">
        <v>2952</v>
      </c>
      <c r="F1575" s="81">
        <v>985.5</v>
      </c>
      <c r="G1575" s="222">
        <v>1</v>
      </c>
      <c r="H1575" s="186"/>
      <c r="I1575" s="186"/>
      <c r="J1575" s="308"/>
      <c r="K1575" s="227"/>
      <c r="L1575" s="82">
        <f t="shared" si="670"/>
        <v>1</v>
      </c>
      <c r="M1575" s="331">
        <v>1</v>
      </c>
      <c r="N1575" s="161">
        <f t="shared" si="665"/>
        <v>985.5</v>
      </c>
      <c r="O1575" s="161">
        <f t="shared" si="666"/>
        <v>985.5</v>
      </c>
      <c r="P1575" s="187">
        <f t="shared" si="667"/>
        <v>0</v>
      </c>
      <c r="Q1575" s="161">
        <f t="shared" si="668"/>
        <v>0</v>
      </c>
      <c r="R1575" s="85"/>
      <c r="S1575" s="86">
        <f t="shared" si="669"/>
        <v>1</v>
      </c>
      <c r="T1575" s="87">
        <f t="shared" si="664"/>
        <v>0</v>
      </c>
      <c r="U1575">
        <v>1</v>
      </c>
      <c r="V1575" s="88" t="s">
        <v>45</v>
      </c>
      <c r="AD1575" s="17">
        <f t="shared" si="671"/>
        <v>1</v>
      </c>
      <c r="AE1575" s="89">
        <f t="shared" si="672"/>
        <v>985.5</v>
      </c>
    </row>
    <row r="1576" spans="2:31" ht="20.100000000000001" hidden="1" customHeight="1">
      <c r="B1576" s="77">
        <v>11</v>
      </c>
      <c r="C1576" s="78" t="s">
        <v>2692</v>
      </c>
      <c r="D1576" s="79" t="s">
        <v>2953</v>
      </c>
      <c r="E1576" s="80" t="s">
        <v>2954</v>
      </c>
      <c r="F1576" s="81">
        <v>1215</v>
      </c>
      <c r="G1576" s="222">
        <v>1</v>
      </c>
      <c r="H1576" s="186"/>
      <c r="I1576" s="186"/>
      <c r="J1576" s="308"/>
      <c r="K1576" s="227"/>
      <c r="L1576" s="82">
        <f t="shared" si="670"/>
        <v>1</v>
      </c>
      <c r="M1576" s="331">
        <v>1</v>
      </c>
      <c r="N1576" s="161">
        <f t="shared" si="665"/>
        <v>1215</v>
      </c>
      <c r="O1576" s="161">
        <f t="shared" si="666"/>
        <v>1215</v>
      </c>
      <c r="P1576" s="187">
        <f t="shared" si="667"/>
        <v>0</v>
      </c>
      <c r="Q1576" s="161">
        <f t="shared" si="668"/>
        <v>0</v>
      </c>
      <c r="R1576" s="85"/>
      <c r="S1576" s="86">
        <f t="shared" si="669"/>
        <v>1</v>
      </c>
      <c r="T1576" s="87">
        <f t="shared" si="664"/>
        <v>0</v>
      </c>
      <c r="U1576">
        <v>1</v>
      </c>
      <c r="V1576" s="88" t="s">
        <v>45</v>
      </c>
      <c r="AD1576" s="17">
        <f t="shared" si="671"/>
        <v>1</v>
      </c>
      <c r="AE1576" s="89">
        <f t="shared" si="672"/>
        <v>1215</v>
      </c>
    </row>
    <row r="1577" spans="2:31" ht="20.100000000000001" hidden="1" customHeight="1">
      <c r="B1577" s="77">
        <v>11</v>
      </c>
      <c r="C1577" s="78" t="s">
        <v>2692</v>
      </c>
      <c r="D1577" s="79" t="s">
        <v>2955</v>
      </c>
      <c r="E1577" s="80" t="s">
        <v>2956</v>
      </c>
      <c r="F1577" s="81">
        <v>495</v>
      </c>
      <c r="G1577" s="222">
        <v>3</v>
      </c>
      <c r="H1577" s="186"/>
      <c r="I1577" s="186"/>
      <c r="J1577" s="308"/>
      <c r="K1577" s="227"/>
      <c r="L1577" s="82">
        <f t="shared" si="670"/>
        <v>3</v>
      </c>
      <c r="M1577" s="331">
        <v>3</v>
      </c>
      <c r="N1577" s="161">
        <f t="shared" si="665"/>
        <v>1485</v>
      </c>
      <c r="O1577" s="161">
        <f t="shared" si="666"/>
        <v>1485</v>
      </c>
      <c r="P1577" s="187">
        <f t="shared" si="667"/>
        <v>0</v>
      </c>
      <c r="Q1577" s="161">
        <f t="shared" si="668"/>
        <v>0</v>
      </c>
      <c r="R1577" s="85"/>
      <c r="S1577" s="86">
        <f t="shared" si="669"/>
        <v>3</v>
      </c>
      <c r="T1577" s="87">
        <f t="shared" si="664"/>
        <v>0</v>
      </c>
      <c r="U1577">
        <v>3</v>
      </c>
      <c r="V1577" s="88" t="s">
        <v>45</v>
      </c>
      <c r="AD1577" s="17">
        <f t="shared" si="671"/>
        <v>3</v>
      </c>
      <c r="AE1577" s="89">
        <f t="shared" si="672"/>
        <v>1485</v>
      </c>
    </row>
    <row r="1578" spans="2:31" ht="20.100000000000001" hidden="1" customHeight="1">
      <c r="B1578" s="77">
        <v>11</v>
      </c>
      <c r="C1578" s="78" t="s">
        <v>2692</v>
      </c>
      <c r="D1578" s="79" t="s">
        <v>2957</v>
      </c>
      <c r="E1578" s="80" t="s">
        <v>2958</v>
      </c>
      <c r="F1578" s="81">
        <v>1215</v>
      </c>
      <c r="G1578" s="222">
        <v>1</v>
      </c>
      <c r="H1578" s="186"/>
      <c r="I1578" s="186"/>
      <c r="J1578" s="308"/>
      <c r="K1578" s="227"/>
      <c r="L1578" s="82">
        <f t="shared" si="670"/>
        <v>1</v>
      </c>
      <c r="M1578" s="331">
        <v>1</v>
      </c>
      <c r="N1578" s="161">
        <f t="shared" si="665"/>
        <v>1215</v>
      </c>
      <c r="O1578" s="161">
        <f t="shared" si="666"/>
        <v>1215</v>
      </c>
      <c r="P1578" s="187">
        <f t="shared" si="667"/>
        <v>0</v>
      </c>
      <c r="Q1578" s="161">
        <f t="shared" si="668"/>
        <v>0</v>
      </c>
      <c r="R1578" s="85"/>
      <c r="S1578" s="86">
        <f t="shared" si="669"/>
        <v>1</v>
      </c>
      <c r="T1578" s="87">
        <f t="shared" si="664"/>
        <v>0</v>
      </c>
      <c r="U1578">
        <v>1</v>
      </c>
      <c r="V1578" s="88" t="s">
        <v>45</v>
      </c>
      <c r="AD1578" s="17">
        <f t="shared" si="671"/>
        <v>1</v>
      </c>
      <c r="AE1578" s="89">
        <f t="shared" si="672"/>
        <v>1215</v>
      </c>
    </row>
    <row r="1579" spans="2:31" ht="20.100000000000001" hidden="1" customHeight="1">
      <c r="B1579" s="77">
        <v>11</v>
      </c>
      <c r="C1579" s="78" t="s">
        <v>2692</v>
      </c>
      <c r="D1579" s="79" t="s">
        <v>2959</v>
      </c>
      <c r="E1579" s="80" t="s">
        <v>2960</v>
      </c>
      <c r="F1579" s="81">
        <v>985.5</v>
      </c>
      <c r="G1579" s="222">
        <v>1</v>
      </c>
      <c r="H1579" s="186"/>
      <c r="I1579" s="186"/>
      <c r="J1579" s="308"/>
      <c r="K1579" s="227"/>
      <c r="L1579" s="82">
        <f t="shared" si="670"/>
        <v>1</v>
      </c>
      <c r="M1579" s="331">
        <v>1</v>
      </c>
      <c r="N1579" s="161">
        <f t="shared" si="665"/>
        <v>985.5</v>
      </c>
      <c r="O1579" s="161">
        <f t="shared" si="666"/>
        <v>985.5</v>
      </c>
      <c r="P1579" s="187">
        <f t="shared" si="667"/>
        <v>0</v>
      </c>
      <c r="Q1579" s="161">
        <f t="shared" si="668"/>
        <v>0</v>
      </c>
      <c r="R1579" s="85"/>
      <c r="S1579" s="86">
        <f t="shared" si="669"/>
        <v>1</v>
      </c>
      <c r="T1579" s="87">
        <f t="shared" si="664"/>
        <v>0</v>
      </c>
      <c r="U1579">
        <v>1</v>
      </c>
      <c r="V1579" s="88" t="s">
        <v>45</v>
      </c>
      <c r="AD1579" s="17">
        <f t="shared" si="671"/>
        <v>1</v>
      </c>
      <c r="AE1579" s="89">
        <f t="shared" si="672"/>
        <v>985.5</v>
      </c>
    </row>
    <row r="1580" spans="2:31" ht="20.100000000000001" hidden="1" customHeight="1">
      <c r="B1580" s="77">
        <v>11</v>
      </c>
      <c r="C1580" s="78" t="s">
        <v>2692</v>
      </c>
      <c r="D1580" s="79" t="s">
        <v>2961</v>
      </c>
      <c r="E1580" s="80" t="s">
        <v>2962</v>
      </c>
      <c r="F1580" s="81">
        <v>90</v>
      </c>
      <c r="G1580" s="222">
        <v>20</v>
      </c>
      <c r="H1580" s="186"/>
      <c r="I1580" s="186">
        <v>40</v>
      </c>
      <c r="J1580" s="308"/>
      <c r="K1580" s="227">
        <v>46</v>
      </c>
      <c r="L1580" s="82">
        <f t="shared" si="670"/>
        <v>14</v>
      </c>
      <c r="M1580" s="331">
        <v>14</v>
      </c>
      <c r="N1580" s="161">
        <f t="shared" si="665"/>
        <v>1260</v>
      </c>
      <c r="O1580" s="161">
        <f t="shared" si="666"/>
        <v>1260</v>
      </c>
      <c r="P1580" s="187">
        <f t="shared" si="667"/>
        <v>0</v>
      </c>
      <c r="Q1580" s="161">
        <f t="shared" si="668"/>
        <v>0</v>
      </c>
      <c r="R1580" s="85"/>
      <c r="S1580" s="86">
        <f t="shared" si="669"/>
        <v>21</v>
      </c>
      <c r="T1580" s="87">
        <f t="shared" si="664"/>
        <v>-7</v>
      </c>
      <c r="U1580">
        <v>21</v>
      </c>
      <c r="AD1580" s="17">
        <f t="shared" si="671"/>
        <v>14</v>
      </c>
      <c r="AE1580" s="89">
        <f t="shared" si="672"/>
        <v>1260</v>
      </c>
    </row>
    <row r="1581" spans="2:31" ht="20.100000000000001" hidden="1" customHeight="1">
      <c r="B1581" s="77">
        <v>11</v>
      </c>
      <c r="C1581" s="78" t="s">
        <v>2692</v>
      </c>
      <c r="D1581" s="79" t="s">
        <v>2963</v>
      </c>
      <c r="E1581" s="80" t="s">
        <v>2964</v>
      </c>
      <c r="F1581" s="81">
        <v>139.30000000000001</v>
      </c>
      <c r="G1581" s="222">
        <v>4</v>
      </c>
      <c r="H1581" s="186"/>
      <c r="I1581" s="186"/>
      <c r="J1581" s="308"/>
      <c r="K1581" s="227"/>
      <c r="L1581" s="82">
        <f t="shared" si="670"/>
        <v>4</v>
      </c>
      <c r="M1581" s="331">
        <v>4</v>
      </c>
      <c r="N1581" s="161">
        <f t="shared" si="665"/>
        <v>557.20000000000005</v>
      </c>
      <c r="O1581" s="161">
        <f t="shared" si="666"/>
        <v>557.20000000000005</v>
      </c>
      <c r="P1581" s="187">
        <f t="shared" si="667"/>
        <v>0</v>
      </c>
      <c r="Q1581" s="161">
        <f t="shared" si="668"/>
        <v>0</v>
      </c>
      <c r="R1581" s="85"/>
      <c r="S1581" s="86">
        <f t="shared" si="669"/>
        <v>0</v>
      </c>
      <c r="T1581" s="87">
        <f t="shared" ref="T1581:T1641" si="673">M1581-S1581</f>
        <v>4</v>
      </c>
      <c r="AD1581" s="17">
        <f t="shared" si="671"/>
        <v>4</v>
      </c>
      <c r="AE1581" s="89">
        <f t="shared" si="672"/>
        <v>557.20000000000005</v>
      </c>
    </row>
    <row r="1582" spans="2:31" ht="20.100000000000001" hidden="1" customHeight="1">
      <c r="B1582" s="77">
        <v>11</v>
      </c>
      <c r="C1582" s="78" t="s">
        <v>2692</v>
      </c>
      <c r="D1582" s="79" t="s">
        <v>2965</v>
      </c>
      <c r="E1582" s="80" t="s">
        <v>2966</v>
      </c>
      <c r="F1582" s="81">
        <v>244.3</v>
      </c>
      <c r="G1582" s="222">
        <v>3</v>
      </c>
      <c r="H1582" s="186"/>
      <c r="I1582" s="186"/>
      <c r="J1582" s="308"/>
      <c r="K1582" s="227"/>
      <c r="L1582" s="82">
        <f t="shared" si="670"/>
        <v>3</v>
      </c>
      <c r="M1582" s="331">
        <v>3</v>
      </c>
      <c r="N1582" s="161">
        <f t="shared" ref="N1582:N1641" si="674">F1582*L1582</f>
        <v>732.90000000000009</v>
      </c>
      <c r="O1582" s="161">
        <f t="shared" ref="O1582:O1641" si="675">M1582*F1582</f>
        <v>732.90000000000009</v>
      </c>
      <c r="P1582" s="187">
        <f t="shared" ref="P1582:P1641" si="676">L1582-M1582</f>
        <v>0</v>
      </c>
      <c r="Q1582" s="161">
        <f t="shared" ref="Q1582:Q1641" si="677">N1582-O1582</f>
        <v>0</v>
      </c>
      <c r="R1582" s="85"/>
      <c r="S1582" s="86">
        <f t="shared" ref="S1582:S1641" si="678">U1582+Y1582+W1582+AA1582</f>
        <v>0</v>
      </c>
      <c r="T1582" s="87">
        <f t="shared" si="673"/>
        <v>3</v>
      </c>
      <c r="AD1582" s="17">
        <f t="shared" si="671"/>
        <v>3</v>
      </c>
      <c r="AE1582" s="89">
        <f t="shared" si="672"/>
        <v>732.90000000000009</v>
      </c>
    </row>
    <row r="1583" spans="2:31" ht="20.100000000000001" hidden="1" customHeight="1">
      <c r="B1583" s="77">
        <v>11</v>
      </c>
      <c r="C1583" s="78" t="s">
        <v>2692</v>
      </c>
      <c r="D1583" s="79" t="s">
        <v>2967</v>
      </c>
      <c r="E1583" s="80" t="s">
        <v>2968</v>
      </c>
      <c r="F1583" s="81">
        <v>244.3</v>
      </c>
      <c r="G1583" s="222">
        <v>1</v>
      </c>
      <c r="H1583" s="186"/>
      <c r="I1583" s="186"/>
      <c r="J1583" s="308"/>
      <c r="K1583" s="227"/>
      <c r="L1583" s="82">
        <f t="shared" si="670"/>
        <v>1</v>
      </c>
      <c r="M1583" s="331">
        <v>1</v>
      </c>
      <c r="N1583" s="161">
        <f t="shared" si="674"/>
        <v>244.3</v>
      </c>
      <c r="O1583" s="161">
        <f t="shared" si="675"/>
        <v>244.3</v>
      </c>
      <c r="P1583" s="187">
        <f t="shared" si="676"/>
        <v>0</v>
      </c>
      <c r="Q1583" s="161">
        <f t="shared" si="677"/>
        <v>0</v>
      </c>
      <c r="R1583" s="85"/>
      <c r="S1583" s="86">
        <f t="shared" si="678"/>
        <v>0</v>
      </c>
      <c r="T1583" s="87">
        <f t="shared" si="673"/>
        <v>1</v>
      </c>
    </row>
    <row r="1584" spans="2:31" ht="20.100000000000001" hidden="1" customHeight="1">
      <c r="B1584" s="77">
        <v>11</v>
      </c>
      <c r="C1584" s="78" t="s">
        <v>2692</v>
      </c>
      <c r="D1584" s="79" t="s">
        <v>2969</v>
      </c>
      <c r="E1584" s="80" t="s">
        <v>2970</v>
      </c>
      <c r="F1584" s="81">
        <v>97.3</v>
      </c>
      <c r="G1584" s="222">
        <v>2</v>
      </c>
      <c r="H1584" s="186"/>
      <c r="I1584" s="186"/>
      <c r="J1584" s="308"/>
      <c r="K1584" s="227"/>
      <c r="L1584" s="82">
        <f t="shared" si="670"/>
        <v>2</v>
      </c>
      <c r="M1584" s="331">
        <v>2</v>
      </c>
      <c r="N1584" s="161">
        <f t="shared" si="674"/>
        <v>194.6</v>
      </c>
      <c r="O1584" s="161">
        <f t="shared" si="675"/>
        <v>194.6</v>
      </c>
      <c r="P1584" s="187">
        <f t="shared" si="676"/>
        <v>0</v>
      </c>
      <c r="Q1584" s="161">
        <f t="shared" si="677"/>
        <v>0</v>
      </c>
      <c r="R1584" s="85"/>
      <c r="S1584" s="86">
        <f t="shared" si="678"/>
        <v>0</v>
      </c>
      <c r="T1584" s="87">
        <f t="shared" si="673"/>
        <v>2</v>
      </c>
    </row>
    <row r="1585" spans="2:21" ht="20.100000000000001" hidden="1" customHeight="1">
      <c r="B1585" s="77">
        <v>11</v>
      </c>
      <c r="C1585" s="78" t="s">
        <v>2692</v>
      </c>
      <c r="D1585" s="79" t="s">
        <v>2971</v>
      </c>
      <c r="E1585" s="80" t="s">
        <v>2972</v>
      </c>
      <c r="F1585" s="81">
        <v>139.30000000000001</v>
      </c>
      <c r="G1585" s="222">
        <v>4</v>
      </c>
      <c r="H1585" s="186"/>
      <c r="I1585" s="186"/>
      <c r="J1585" s="308"/>
      <c r="K1585" s="227"/>
      <c r="L1585" s="82">
        <f t="shared" si="670"/>
        <v>4</v>
      </c>
      <c r="M1585" s="331">
        <v>4</v>
      </c>
      <c r="N1585" s="161">
        <f t="shared" si="674"/>
        <v>557.20000000000005</v>
      </c>
      <c r="O1585" s="161">
        <f t="shared" si="675"/>
        <v>557.20000000000005</v>
      </c>
      <c r="P1585" s="187">
        <f t="shared" si="676"/>
        <v>0</v>
      </c>
      <c r="Q1585" s="161">
        <f t="shared" si="677"/>
        <v>0</v>
      </c>
      <c r="R1585" s="85"/>
      <c r="S1585" s="86">
        <f t="shared" si="678"/>
        <v>0</v>
      </c>
      <c r="T1585" s="87">
        <f t="shared" si="673"/>
        <v>4</v>
      </c>
    </row>
    <row r="1586" spans="2:21" ht="20.100000000000001" hidden="1" customHeight="1">
      <c r="B1586" s="77">
        <v>11</v>
      </c>
      <c r="C1586" s="78" t="s">
        <v>2692</v>
      </c>
      <c r="D1586" s="79" t="s">
        <v>2973</v>
      </c>
      <c r="E1586" s="80" t="s">
        <v>2974</v>
      </c>
      <c r="F1586" s="81">
        <v>112</v>
      </c>
      <c r="G1586" s="222"/>
      <c r="H1586" s="186"/>
      <c r="I1586" s="186"/>
      <c r="J1586" s="308"/>
      <c r="K1586" s="227"/>
      <c r="L1586" s="82">
        <f t="shared" si="670"/>
        <v>0</v>
      </c>
      <c r="M1586" s="331"/>
      <c r="N1586" s="161">
        <f t="shared" si="674"/>
        <v>0</v>
      </c>
      <c r="O1586" s="161">
        <f t="shared" si="675"/>
        <v>0</v>
      </c>
      <c r="P1586" s="187">
        <f t="shared" si="676"/>
        <v>0</v>
      </c>
      <c r="Q1586" s="161">
        <f t="shared" si="677"/>
        <v>0</v>
      </c>
      <c r="R1586" s="85"/>
      <c r="S1586" s="86">
        <f t="shared" si="678"/>
        <v>0</v>
      </c>
      <c r="T1586" s="87">
        <f t="shared" si="673"/>
        <v>0</v>
      </c>
    </row>
    <row r="1587" spans="2:21" ht="20.100000000000001" hidden="1" customHeight="1">
      <c r="B1587" s="77">
        <v>11</v>
      </c>
      <c r="C1587" s="78" t="s">
        <v>2692</v>
      </c>
      <c r="D1587" s="79" t="s">
        <v>2975</v>
      </c>
      <c r="E1587" s="80" t="s">
        <v>2976</v>
      </c>
      <c r="F1587" s="81">
        <v>184</v>
      </c>
      <c r="G1587" s="222">
        <v>4</v>
      </c>
      <c r="H1587" s="186"/>
      <c r="I1587" s="186"/>
      <c r="J1587" s="308"/>
      <c r="K1587" s="227"/>
      <c r="L1587" s="82">
        <f t="shared" si="670"/>
        <v>4</v>
      </c>
      <c r="M1587" s="331">
        <v>4</v>
      </c>
      <c r="N1587" s="161">
        <f t="shared" si="674"/>
        <v>736</v>
      </c>
      <c r="O1587" s="161">
        <f t="shared" si="675"/>
        <v>736</v>
      </c>
      <c r="P1587" s="187">
        <f t="shared" si="676"/>
        <v>0</v>
      </c>
      <c r="Q1587" s="161">
        <f t="shared" si="677"/>
        <v>0</v>
      </c>
      <c r="R1587" s="85"/>
      <c r="S1587" s="86">
        <f t="shared" si="678"/>
        <v>4</v>
      </c>
      <c r="T1587" s="87">
        <f t="shared" si="673"/>
        <v>0</v>
      </c>
      <c r="U1587">
        <v>4</v>
      </c>
    </row>
    <row r="1588" spans="2:21" ht="20.100000000000001" hidden="1" customHeight="1">
      <c r="B1588" s="77">
        <v>11</v>
      </c>
      <c r="C1588" s="78" t="s">
        <v>2692</v>
      </c>
      <c r="D1588" s="79" t="s">
        <v>2977</v>
      </c>
      <c r="E1588" s="80" t="s">
        <v>2978</v>
      </c>
      <c r="F1588" s="81">
        <v>83.3</v>
      </c>
      <c r="G1588" s="222">
        <v>2</v>
      </c>
      <c r="H1588" s="186"/>
      <c r="I1588" s="186"/>
      <c r="J1588" s="308"/>
      <c r="K1588" s="227"/>
      <c r="L1588" s="82">
        <f t="shared" ref="L1588:L1651" si="679">G1588+I1588-J1588-K1588+H1588</f>
        <v>2</v>
      </c>
      <c r="M1588" s="331">
        <v>2</v>
      </c>
      <c r="N1588" s="161">
        <f t="shared" si="674"/>
        <v>166.6</v>
      </c>
      <c r="O1588" s="161">
        <f t="shared" si="675"/>
        <v>166.6</v>
      </c>
      <c r="P1588" s="187">
        <f t="shared" si="676"/>
        <v>0</v>
      </c>
      <c r="Q1588" s="161">
        <f t="shared" si="677"/>
        <v>0</v>
      </c>
      <c r="R1588" s="85"/>
      <c r="S1588" s="86">
        <f t="shared" si="678"/>
        <v>0</v>
      </c>
      <c r="T1588" s="87">
        <f t="shared" si="673"/>
        <v>2</v>
      </c>
    </row>
    <row r="1589" spans="2:21" ht="20.100000000000001" hidden="1" customHeight="1">
      <c r="B1589" s="77">
        <v>11</v>
      </c>
      <c r="C1589" s="78" t="s">
        <v>2692</v>
      </c>
      <c r="D1589" s="79" t="s">
        <v>2979</v>
      </c>
      <c r="E1589" s="80" t="s">
        <v>2980</v>
      </c>
      <c r="F1589" s="81">
        <v>244.3</v>
      </c>
      <c r="G1589" s="222">
        <v>2</v>
      </c>
      <c r="H1589" s="186"/>
      <c r="I1589" s="186"/>
      <c r="J1589" s="308"/>
      <c r="K1589" s="227"/>
      <c r="L1589" s="82">
        <f t="shared" si="679"/>
        <v>2</v>
      </c>
      <c r="M1589" s="331">
        <v>2</v>
      </c>
      <c r="N1589" s="161">
        <f t="shared" si="674"/>
        <v>488.6</v>
      </c>
      <c r="O1589" s="161">
        <f t="shared" si="675"/>
        <v>488.6</v>
      </c>
      <c r="P1589" s="187">
        <f t="shared" si="676"/>
        <v>0</v>
      </c>
      <c r="Q1589" s="161">
        <f t="shared" si="677"/>
        <v>0</v>
      </c>
      <c r="R1589" s="85"/>
      <c r="S1589" s="86">
        <f t="shared" si="678"/>
        <v>0</v>
      </c>
      <c r="T1589" s="87">
        <f t="shared" si="673"/>
        <v>2</v>
      </c>
    </row>
    <row r="1590" spans="2:21" ht="20.100000000000001" hidden="1" customHeight="1">
      <c r="B1590" s="77">
        <v>11</v>
      </c>
      <c r="C1590" s="78" t="s">
        <v>2692</v>
      </c>
      <c r="D1590" s="79" t="s">
        <v>2981</v>
      </c>
      <c r="E1590" s="80" t="s">
        <v>2982</v>
      </c>
      <c r="F1590" s="81">
        <v>209.3</v>
      </c>
      <c r="G1590" s="222">
        <v>5</v>
      </c>
      <c r="H1590" s="186"/>
      <c r="I1590" s="186"/>
      <c r="J1590" s="308"/>
      <c r="K1590" s="227"/>
      <c r="L1590" s="82">
        <f t="shared" si="679"/>
        <v>5</v>
      </c>
      <c r="M1590" s="331">
        <v>5</v>
      </c>
      <c r="N1590" s="161">
        <f t="shared" si="674"/>
        <v>1046.5</v>
      </c>
      <c r="O1590" s="161">
        <f t="shared" si="675"/>
        <v>1046.5</v>
      </c>
      <c r="P1590" s="187">
        <f t="shared" si="676"/>
        <v>0</v>
      </c>
      <c r="Q1590" s="161">
        <f t="shared" si="677"/>
        <v>0</v>
      </c>
      <c r="R1590" s="85"/>
      <c r="S1590" s="86">
        <f t="shared" si="678"/>
        <v>0</v>
      </c>
      <c r="T1590" s="87">
        <f t="shared" si="673"/>
        <v>5</v>
      </c>
    </row>
    <row r="1591" spans="2:21" ht="20.100000000000001" hidden="1" customHeight="1">
      <c r="B1591" s="77">
        <v>11</v>
      </c>
      <c r="C1591" s="78" t="s">
        <v>2692</v>
      </c>
      <c r="D1591" s="79" t="s">
        <v>2983</v>
      </c>
      <c r="E1591" s="80" t="s">
        <v>2984</v>
      </c>
      <c r="F1591" s="81">
        <v>139.30000000000001</v>
      </c>
      <c r="G1591" s="222">
        <v>5</v>
      </c>
      <c r="H1591" s="186"/>
      <c r="I1591" s="186"/>
      <c r="J1591" s="308"/>
      <c r="K1591" s="227"/>
      <c r="L1591" s="82">
        <f t="shared" si="679"/>
        <v>5</v>
      </c>
      <c r="M1591" s="331">
        <v>5</v>
      </c>
      <c r="N1591" s="161">
        <f t="shared" si="674"/>
        <v>696.5</v>
      </c>
      <c r="O1591" s="161">
        <f t="shared" si="675"/>
        <v>696.5</v>
      </c>
      <c r="P1591" s="187">
        <f t="shared" si="676"/>
        <v>0</v>
      </c>
      <c r="Q1591" s="161">
        <f t="shared" si="677"/>
        <v>0</v>
      </c>
      <c r="R1591" s="85"/>
      <c r="S1591" s="86">
        <f t="shared" si="678"/>
        <v>0</v>
      </c>
      <c r="T1591" s="87">
        <f t="shared" si="673"/>
        <v>5</v>
      </c>
    </row>
    <row r="1592" spans="2:21" ht="20.100000000000001" hidden="1" customHeight="1">
      <c r="B1592" s="77">
        <v>11</v>
      </c>
      <c r="C1592" s="78" t="s">
        <v>2692</v>
      </c>
      <c r="D1592" s="79" t="s">
        <v>2985</v>
      </c>
      <c r="E1592" s="80" t="s">
        <v>2986</v>
      </c>
      <c r="F1592" s="81">
        <v>62.3</v>
      </c>
      <c r="G1592" s="222">
        <v>1</v>
      </c>
      <c r="H1592" s="186"/>
      <c r="I1592" s="186"/>
      <c r="J1592" s="308"/>
      <c r="K1592" s="227"/>
      <c r="L1592" s="82">
        <f t="shared" si="679"/>
        <v>1</v>
      </c>
      <c r="M1592" s="331">
        <v>1</v>
      </c>
      <c r="N1592" s="161">
        <f t="shared" si="674"/>
        <v>62.3</v>
      </c>
      <c r="O1592" s="161">
        <f t="shared" si="675"/>
        <v>62.3</v>
      </c>
      <c r="P1592" s="187">
        <f t="shared" si="676"/>
        <v>0</v>
      </c>
      <c r="Q1592" s="161">
        <f t="shared" si="677"/>
        <v>0</v>
      </c>
      <c r="R1592" s="85"/>
      <c r="S1592" s="86">
        <f t="shared" si="678"/>
        <v>0</v>
      </c>
      <c r="T1592" s="87">
        <f t="shared" si="673"/>
        <v>1</v>
      </c>
    </row>
    <row r="1593" spans="2:21" ht="20.100000000000001" hidden="1" customHeight="1">
      <c r="B1593" s="77">
        <v>11</v>
      </c>
      <c r="C1593" s="78" t="s">
        <v>2692</v>
      </c>
      <c r="D1593" s="79" t="s">
        <v>2987</v>
      </c>
      <c r="E1593" s="80" t="s">
        <v>2988</v>
      </c>
      <c r="F1593" s="81">
        <v>125.3</v>
      </c>
      <c r="G1593" s="222">
        <v>1</v>
      </c>
      <c r="H1593" s="186"/>
      <c r="I1593" s="186"/>
      <c r="J1593" s="308"/>
      <c r="K1593" s="227"/>
      <c r="L1593" s="82">
        <f t="shared" si="679"/>
        <v>1</v>
      </c>
      <c r="M1593" s="331">
        <v>1</v>
      </c>
      <c r="N1593" s="161">
        <f t="shared" si="674"/>
        <v>125.3</v>
      </c>
      <c r="O1593" s="161">
        <f t="shared" si="675"/>
        <v>125.3</v>
      </c>
      <c r="P1593" s="187">
        <f t="shared" si="676"/>
        <v>0</v>
      </c>
      <c r="Q1593" s="161">
        <f t="shared" si="677"/>
        <v>0</v>
      </c>
      <c r="R1593" s="85"/>
      <c r="S1593" s="86">
        <f t="shared" si="678"/>
        <v>0</v>
      </c>
      <c r="T1593" s="87">
        <f t="shared" si="673"/>
        <v>1</v>
      </c>
    </row>
    <row r="1594" spans="2:21" ht="20.100000000000001" hidden="1" customHeight="1">
      <c r="B1594" s="77">
        <v>11</v>
      </c>
      <c r="C1594" s="78" t="s">
        <v>2692</v>
      </c>
      <c r="D1594" s="79" t="s">
        <v>2989</v>
      </c>
      <c r="E1594" s="80" t="s">
        <v>2990</v>
      </c>
      <c r="F1594" s="81">
        <v>209.3</v>
      </c>
      <c r="G1594" s="222">
        <v>1</v>
      </c>
      <c r="H1594" s="186"/>
      <c r="I1594" s="186"/>
      <c r="J1594" s="308"/>
      <c r="K1594" s="227"/>
      <c r="L1594" s="82">
        <f t="shared" si="679"/>
        <v>1</v>
      </c>
      <c r="M1594" s="331">
        <v>1</v>
      </c>
      <c r="N1594" s="161">
        <f t="shared" si="674"/>
        <v>209.3</v>
      </c>
      <c r="O1594" s="161">
        <f t="shared" si="675"/>
        <v>209.3</v>
      </c>
      <c r="P1594" s="187">
        <f t="shared" si="676"/>
        <v>0</v>
      </c>
      <c r="Q1594" s="161">
        <f t="shared" si="677"/>
        <v>0</v>
      </c>
      <c r="R1594" s="85"/>
      <c r="S1594" s="86">
        <f t="shared" si="678"/>
        <v>0</v>
      </c>
      <c r="T1594" s="87">
        <f t="shared" si="673"/>
        <v>1</v>
      </c>
    </row>
    <row r="1595" spans="2:21" ht="20.100000000000001" hidden="1" customHeight="1">
      <c r="B1595" s="77">
        <v>11</v>
      </c>
      <c r="C1595" s="78" t="s">
        <v>2692</v>
      </c>
      <c r="D1595" s="79" t="s">
        <v>2991</v>
      </c>
      <c r="E1595" s="80" t="s">
        <v>2992</v>
      </c>
      <c r="F1595" s="81">
        <v>209.3</v>
      </c>
      <c r="G1595" s="222">
        <v>1</v>
      </c>
      <c r="H1595" s="186"/>
      <c r="I1595" s="186"/>
      <c r="J1595" s="308"/>
      <c r="K1595" s="227"/>
      <c r="L1595" s="82">
        <f t="shared" si="679"/>
        <v>1</v>
      </c>
      <c r="M1595" s="331">
        <v>1</v>
      </c>
      <c r="N1595" s="161">
        <f t="shared" si="674"/>
        <v>209.3</v>
      </c>
      <c r="O1595" s="161">
        <f t="shared" si="675"/>
        <v>209.3</v>
      </c>
      <c r="P1595" s="187">
        <f t="shared" si="676"/>
        <v>0</v>
      </c>
      <c r="Q1595" s="161">
        <f t="shared" si="677"/>
        <v>0</v>
      </c>
      <c r="R1595" s="85"/>
      <c r="S1595" s="86">
        <f t="shared" si="678"/>
        <v>0</v>
      </c>
      <c r="T1595" s="87">
        <f t="shared" si="673"/>
        <v>1</v>
      </c>
    </row>
    <row r="1596" spans="2:21" ht="20.100000000000001" hidden="1" customHeight="1">
      <c r="B1596" s="77">
        <v>11</v>
      </c>
      <c r="C1596" s="78" t="s">
        <v>2692</v>
      </c>
      <c r="D1596" s="79" t="s">
        <v>2993</v>
      </c>
      <c r="E1596" s="80" t="s">
        <v>2994</v>
      </c>
      <c r="F1596" s="81">
        <v>83.3</v>
      </c>
      <c r="G1596" s="222">
        <v>4</v>
      </c>
      <c r="H1596" s="186"/>
      <c r="I1596" s="186"/>
      <c r="J1596" s="308"/>
      <c r="K1596" s="227"/>
      <c r="L1596" s="82">
        <f t="shared" si="679"/>
        <v>4</v>
      </c>
      <c r="M1596" s="331">
        <v>4</v>
      </c>
      <c r="N1596" s="161">
        <f t="shared" si="674"/>
        <v>333.2</v>
      </c>
      <c r="O1596" s="161">
        <f t="shared" si="675"/>
        <v>333.2</v>
      </c>
      <c r="P1596" s="187">
        <f t="shared" si="676"/>
        <v>0</v>
      </c>
      <c r="Q1596" s="161">
        <f t="shared" si="677"/>
        <v>0</v>
      </c>
      <c r="R1596" s="85"/>
      <c r="S1596" s="86">
        <f t="shared" si="678"/>
        <v>0</v>
      </c>
      <c r="T1596" s="87">
        <f t="shared" si="673"/>
        <v>4</v>
      </c>
    </row>
    <row r="1597" spans="2:21" ht="20.100000000000001" hidden="1" customHeight="1">
      <c r="B1597" s="77">
        <v>11</v>
      </c>
      <c r="C1597" s="78" t="s">
        <v>2692</v>
      </c>
      <c r="D1597" s="79" t="s">
        <v>2995</v>
      </c>
      <c r="E1597" s="80" t="s">
        <v>2996</v>
      </c>
      <c r="F1597" s="81">
        <v>181.3</v>
      </c>
      <c r="G1597" s="222">
        <v>5</v>
      </c>
      <c r="H1597" s="186"/>
      <c r="I1597" s="186"/>
      <c r="J1597" s="308"/>
      <c r="K1597" s="227"/>
      <c r="L1597" s="82">
        <f t="shared" si="679"/>
        <v>5</v>
      </c>
      <c r="M1597" s="331">
        <v>5</v>
      </c>
      <c r="N1597" s="161">
        <f t="shared" si="674"/>
        <v>906.5</v>
      </c>
      <c r="O1597" s="161">
        <f t="shared" si="675"/>
        <v>906.5</v>
      </c>
      <c r="P1597" s="187">
        <f t="shared" si="676"/>
        <v>0</v>
      </c>
      <c r="Q1597" s="161">
        <f t="shared" si="677"/>
        <v>0</v>
      </c>
      <c r="R1597" s="85"/>
      <c r="S1597" s="86">
        <f t="shared" si="678"/>
        <v>0</v>
      </c>
      <c r="T1597" s="87">
        <f t="shared" si="673"/>
        <v>5</v>
      </c>
    </row>
    <row r="1598" spans="2:21" ht="20.100000000000001" hidden="1" customHeight="1">
      <c r="B1598" s="77">
        <v>11</v>
      </c>
      <c r="C1598" s="78" t="s">
        <v>2692</v>
      </c>
      <c r="D1598" s="79" t="s">
        <v>2997</v>
      </c>
      <c r="E1598" s="80" t="s">
        <v>2998</v>
      </c>
      <c r="F1598" s="81">
        <v>181.3</v>
      </c>
      <c r="G1598" s="222">
        <v>2</v>
      </c>
      <c r="H1598" s="186"/>
      <c r="I1598" s="186"/>
      <c r="J1598" s="308"/>
      <c r="K1598" s="227"/>
      <c r="L1598" s="82">
        <f t="shared" si="679"/>
        <v>2</v>
      </c>
      <c r="M1598" s="331">
        <v>2</v>
      </c>
      <c r="N1598" s="161">
        <f t="shared" si="674"/>
        <v>362.6</v>
      </c>
      <c r="O1598" s="161">
        <f t="shared" si="675"/>
        <v>362.6</v>
      </c>
      <c r="P1598" s="187">
        <f t="shared" si="676"/>
        <v>0</v>
      </c>
      <c r="Q1598" s="161">
        <f t="shared" si="677"/>
        <v>0</v>
      </c>
      <c r="R1598" s="85"/>
      <c r="S1598" s="86">
        <f t="shared" si="678"/>
        <v>0</v>
      </c>
      <c r="T1598" s="87">
        <f t="shared" si="673"/>
        <v>2</v>
      </c>
    </row>
    <row r="1599" spans="2:21" ht="20.100000000000001" hidden="1" customHeight="1">
      <c r="B1599" s="77">
        <v>11</v>
      </c>
      <c r="C1599" s="78" t="s">
        <v>2692</v>
      </c>
      <c r="D1599" s="79" t="s">
        <v>2999</v>
      </c>
      <c r="E1599" s="80" t="s">
        <v>3000</v>
      </c>
      <c r="F1599" s="81">
        <v>181.3</v>
      </c>
      <c r="G1599" s="222">
        <v>1</v>
      </c>
      <c r="H1599" s="186"/>
      <c r="I1599" s="186"/>
      <c r="J1599" s="308"/>
      <c r="K1599" s="227"/>
      <c r="L1599" s="82">
        <f t="shared" si="679"/>
        <v>1</v>
      </c>
      <c r="M1599" s="331">
        <v>1</v>
      </c>
      <c r="N1599" s="161">
        <f t="shared" si="674"/>
        <v>181.3</v>
      </c>
      <c r="O1599" s="161">
        <f t="shared" si="675"/>
        <v>181.3</v>
      </c>
      <c r="P1599" s="187">
        <f t="shared" si="676"/>
        <v>0</v>
      </c>
      <c r="Q1599" s="161">
        <f t="shared" si="677"/>
        <v>0</v>
      </c>
      <c r="R1599" s="85"/>
      <c r="S1599" s="86">
        <f t="shared" si="678"/>
        <v>0</v>
      </c>
      <c r="T1599" s="87">
        <f t="shared" si="673"/>
        <v>1</v>
      </c>
    </row>
    <row r="1600" spans="2:21" ht="20.100000000000001" hidden="1" customHeight="1">
      <c r="B1600" s="77">
        <v>11</v>
      </c>
      <c r="C1600" s="78" t="s">
        <v>2692</v>
      </c>
      <c r="D1600" s="79" t="s">
        <v>3001</v>
      </c>
      <c r="E1600" s="80" t="s">
        <v>3002</v>
      </c>
      <c r="F1600" s="81">
        <v>174.3</v>
      </c>
      <c r="G1600" s="222">
        <v>2</v>
      </c>
      <c r="H1600" s="186"/>
      <c r="I1600" s="186"/>
      <c r="J1600" s="308"/>
      <c r="K1600" s="227"/>
      <c r="L1600" s="82">
        <f t="shared" si="679"/>
        <v>2</v>
      </c>
      <c r="M1600" s="331">
        <v>2</v>
      </c>
      <c r="N1600" s="161">
        <f t="shared" si="674"/>
        <v>348.6</v>
      </c>
      <c r="O1600" s="161">
        <f t="shared" si="675"/>
        <v>348.6</v>
      </c>
      <c r="P1600" s="187">
        <f t="shared" si="676"/>
        <v>0</v>
      </c>
      <c r="Q1600" s="161">
        <f t="shared" si="677"/>
        <v>0</v>
      </c>
      <c r="R1600" s="85"/>
      <c r="S1600" s="86">
        <f t="shared" si="678"/>
        <v>0</v>
      </c>
      <c r="T1600" s="87">
        <f t="shared" si="673"/>
        <v>2</v>
      </c>
    </row>
    <row r="1601" spans="2:20" ht="20.100000000000001" hidden="1" customHeight="1">
      <c r="B1601" s="77">
        <v>11</v>
      </c>
      <c r="C1601" s="78" t="s">
        <v>2692</v>
      </c>
      <c r="D1601" s="79" t="s">
        <v>3003</v>
      </c>
      <c r="E1601" s="80" t="s">
        <v>3004</v>
      </c>
      <c r="F1601" s="81">
        <v>174.3</v>
      </c>
      <c r="G1601" s="222">
        <v>3</v>
      </c>
      <c r="H1601" s="186"/>
      <c r="I1601" s="186"/>
      <c r="J1601" s="308"/>
      <c r="K1601" s="227"/>
      <c r="L1601" s="82">
        <f t="shared" si="679"/>
        <v>3</v>
      </c>
      <c r="M1601" s="331">
        <v>3</v>
      </c>
      <c r="N1601" s="161">
        <f t="shared" si="674"/>
        <v>522.90000000000009</v>
      </c>
      <c r="O1601" s="161">
        <f t="shared" si="675"/>
        <v>522.90000000000009</v>
      </c>
      <c r="P1601" s="187">
        <f t="shared" si="676"/>
        <v>0</v>
      </c>
      <c r="Q1601" s="161">
        <f t="shared" si="677"/>
        <v>0</v>
      </c>
      <c r="R1601" s="85"/>
      <c r="S1601" s="86">
        <f t="shared" si="678"/>
        <v>0</v>
      </c>
      <c r="T1601" s="87">
        <f t="shared" si="673"/>
        <v>3</v>
      </c>
    </row>
    <row r="1602" spans="2:20" ht="20.100000000000001" hidden="1" customHeight="1">
      <c r="B1602" s="77">
        <v>11</v>
      </c>
      <c r="C1602" s="78" t="s">
        <v>2692</v>
      </c>
      <c r="D1602" s="79" t="s">
        <v>3005</v>
      </c>
      <c r="E1602" s="80" t="s">
        <v>3006</v>
      </c>
      <c r="F1602" s="81">
        <v>174.3</v>
      </c>
      <c r="G1602" s="222">
        <v>2</v>
      </c>
      <c r="H1602" s="186"/>
      <c r="I1602" s="186"/>
      <c r="J1602" s="308"/>
      <c r="K1602" s="227"/>
      <c r="L1602" s="82">
        <f t="shared" si="679"/>
        <v>2</v>
      </c>
      <c r="M1602" s="331">
        <v>2</v>
      </c>
      <c r="N1602" s="161">
        <f t="shared" si="674"/>
        <v>348.6</v>
      </c>
      <c r="O1602" s="161">
        <f t="shared" si="675"/>
        <v>348.6</v>
      </c>
      <c r="P1602" s="187">
        <f t="shared" si="676"/>
        <v>0</v>
      </c>
      <c r="Q1602" s="161">
        <f t="shared" si="677"/>
        <v>0</v>
      </c>
      <c r="R1602" s="85"/>
      <c r="S1602" s="86">
        <f t="shared" si="678"/>
        <v>0</v>
      </c>
      <c r="T1602" s="87">
        <f t="shared" si="673"/>
        <v>2</v>
      </c>
    </row>
    <row r="1603" spans="2:20" ht="20.100000000000001" hidden="1" customHeight="1">
      <c r="B1603" s="77">
        <v>11</v>
      </c>
      <c r="C1603" s="78" t="s">
        <v>2692</v>
      </c>
      <c r="D1603" s="79" t="s">
        <v>3007</v>
      </c>
      <c r="E1603" s="80" t="s">
        <v>3008</v>
      </c>
      <c r="F1603" s="81">
        <v>62.3</v>
      </c>
      <c r="G1603" s="222">
        <v>5</v>
      </c>
      <c r="H1603" s="186"/>
      <c r="I1603" s="186"/>
      <c r="J1603" s="308"/>
      <c r="K1603" s="227"/>
      <c r="L1603" s="82">
        <f t="shared" si="679"/>
        <v>5</v>
      </c>
      <c r="M1603" s="331">
        <v>5</v>
      </c>
      <c r="N1603" s="161">
        <f t="shared" si="674"/>
        <v>311.5</v>
      </c>
      <c r="O1603" s="161">
        <f t="shared" si="675"/>
        <v>311.5</v>
      </c>
      <c r="P1603" s="187">
        <f t="shared" si="676"/>
        <v>0</v>
      </c>
      <c r="Q1603" s="161">
        <f t="shared" si="677"/>
        <v>0</v>
      </c>
      <c r="R1603" s="85"/>
      <c r="S1603" s="86">
        <f t="shared" si="678"/>
        <v>0</v>
      </c>
      <c r="T1603" s="87">
        <f t="shared" si="673"/>
        <v>5</v>
      </c>
    </row>
    <row r="1604" spans="2:20" ht="20.100000000000001" hidden="1" customHeight="1">
      <c r="B1604" s="77">
        <v>11</v>
      </c>
      <c r="C1604" s="78" t="s">
        <v>2692</v>
      </c>
      <c r="D1604" s="79" t="s">
        <v>3009</v>
      </c>
      <c r="E1604" s="80" t="s">
        <v>3010</v>
      </c>
      <c r="F1604" s="81">
        <v>69.3</v>
      </c>
      <c r="G1604" s="222">
        <v>2</v>
      </c>
      <c r="H1604" s="186"/>
      <c r="I1604" s="186"/>
      <c r="J1604" s="308"/>
      <c r="K1604" s="227"/>
      <c r="L1604" s="82">
        <f t="shared" si="679"/>
        <v>2</v>
      </c>
      <c r="M1604" s="331">
        <v>2</v>
      </c>
      <c r="N1604" s="161">
        <f t="shared" si="674"/>
        <v>138.6</v>
      </c>
      <c r="O1604" s="161">
        <f t="shared" si="675"/>
        <v>138.6</v>
      </c>
      <c r="P1604" s="187">
        <f t="shared" si="676"/>
        <v>0</v>
      </c>
      <c r="Q1604" s="161">
        <f t="shared" si="677"/>
        <v>0</v>
      </c>
      <c r="R1604" s="85"/>
      <c r="S1604" s="86">
        <f t="shared" si="678"/>
        <v>0</v>
      </c>
      <c r="T1604" s="87">
        <f t="shared" si="673"/>
        <v>2</v>
      </c>
    </row>
    <row r="1605" spans="2:20" ht="20.100000000000001" hidden="1" customHeight="1">
      <c r="B1605" s="77">
        <v>11</v>
      </c>
      <c r="C1605" s="78" t="s">
        <v>2692</v>
      </c>
      <c r="D1605" s="79" t="s">
        <v>3011</v>
      </c>
      <c r="E1605" s="80" t="s">
        <v>3012</v>
      </c>
      <c r="F1605" s="81">
        <v>62.3</v>
      </c>
      <c r="G1605" s="222">
        <v>2</v>
      </c>
      <c r="H1605" s="186"/>
      <c r="I1605" s="186"/>
      <c r="J1605" s="308"/>
      <c r="K1605" s="227"/>
      <c r="L1605" s="82">
        <f t="shared" si="679"/>
        <v>2</v>
      </c>
      <c r="M1605" s="331">
        <v>2</v>
      </c>
      <c r="N1605" s="161">
        <f t="shared" si="674"/>
        <v>124.6</v>
      </c>
      <c r="O1605" s="161">
        <f t="shared" si="675"/>
        <v>124.6</v>
      </c>
      <c r="P1605" s="187">
        <f t="shared" si="676"/>
        <v>0</v>
      </c>
      <c r="Q1605" s="161">
        <f t="shared" si="677"/>
        <v>0</v>
      </c>
      <c r="R1605" s="85"/>
      <c r="S1605" s="86">
        <f t="shared" si="678"/>
        <v>0</v>
      </c>
      <c r="T1605" s="87">
        <f t="shared" si="673"/>
        <v>2</v>
      </c>
    </row>
    <row r="1606" spans="2:20" ht="20.100000000000001" hidden="1" customHeight="1">
      <c r="B1606" s="77">
        <v>11</v>
      </c>
      <c r="C1606" s="78" t="s">
        <v>2692</v>
      </c>
      <c r="D1606" s="79" t="s">
        <v>3013</v>
      </c>
      <c r="E1606" s="80" t="s">
        <v>3014</v>
      </c>
      <c r="F1606" s="81">
        <v>90.3</v>
      </c>
      <c r="G1606" s="222">
        <v>2</v>
      </c>
      <c r="H1606" s="186"/>
      <c r="I1606" s="186"/>
      <c r="J1606" s="308"/>
      <c r="K1606" s="227"/>
      <c r="L1606" s="82">
        <f t="shared" si="679"/>
        <v>2</v>
      </c>
      <c r="M1606" s="331">
        <v>2</v>
      </c>
      <c r="N1606" s="161">
        <f t="shared" si="674"/>
        <v>180.6</v>
      </c>
      <c r="O1606" s="161">
        <f t="shared" si="675"/>
        <v>180.6</v>
      </c>
      <c r="P1606" s="187">
        <f t="shared" si="676"/>
        <v>0</v>
      </c>
      <c r="Q1606" s="161">
        <f t="shared" si="677"/>
        <v>0</v>
      </c>
      <c r="R1606" s="85"/>
      <c r="S1606" s="86">
        <f t="shared" si="678"/>
        <v>0</v>
      </c>
      <c r="T1606" s="87">
        <f t="shared" si="673"/>
        <v>2</v>
      </c>
    </row>
    <row r="1607" spans="2:20" ht="20.100000000000001" hidden="1" customHeight="1">
      <c r="B1607" s="77">
        <v>11</v>
      </c>
      <c r="C1607" s="78" t="s">
        <v>2692</v>
      </c>
      <c r="D1607" s="79" t="s">
        <v>3015</v>
      </c>
      <c r="E1607" s="80" t="s">
        <v>3016</v>
      </c>
      <c r="F1607" s="81">
        <v>83.3</v>
      </c>
      <c r="G1607" s="222">
        <v>3</v>
      </c>
      <c r="H1607" s="186"/>
      <c r="I1607" s="186"/>
      <c r="J1607" s="308"/>
      <c r="K1607" s="227"/>
      <c r="L1607" s="82">
        <f t="shared" si="679"/>
        <v>3</v>
      </c>
      <c r="M1607" s="331">
        <v>3</v>
      </c>
      <c r="N1607" s="161">
        <f t="shared" si="674"/>
        <v>249.89999999999998</v>
      </c>
      <c r="O1607" s="161">
        <f t="shared" si="675"/>
        <v>249.89999999999998</v>
      </c>
      <c r="P1607" s="187">
        <f t="shared" si="676"/>
        <v>0</v>
      </c>
      <c r="Q1607" s="161">
        <f t="shared" si="677"/>
        <v>0</v>
      </c>
      <c r="R1607" s="85"/>
      <c r="S1607" s="86">
        <f t="shared" si="678"/>
        <v>0</v>
      </c>
      <c r="T1607" s="87">
        <f t="shared" si="673"/>
        <v>3</v>
      </c>
    </row>
    <row r="1608" spans="2:20" ht="20.100000000000001" hidden="1" customHeight="1">
      <c r="B1608" s="77">
        <v>11</v>
      </c>
      <c r="C1608" s="78" t="s">
        <v>2692</v>
      </c>
      <c r="D1608" s="79" t="s">
        <v>3017</v>
      </c>
      <c r="E1608" s="80" t="s">
        <v>3018</v>
      </c>
      <c r="F1608" s="81">
        <v>62.3</v>
      </c>
      <c r="G1608" s="222">
        <v>1</v>
      </c>
      <c r="H1608" s="186"/>
      <c r="I1608" s="186"/>
      <c r="J1608" s="308"/>
      <c r="K1608" s="227"/>
      <c r="L1608" s="82">
        <f t="shared" si="679"/>
        <v>1</v>
      </c>
      <c r="M1608" s="331">
        <v>1</v>
      </c>
      <c r="N1608" s="161">
        <f t="shared" si="674"/>
        <v>62.3</v>
      </c>
      <c r="O1608" s="161">
        <f t="shared" si="675"/>
        <v>62.3</v>
      </c>
      <c r="P1608" s="187">
        <f t="shared" si="676"/>
        <v>0</v>
      </c>
      <c r="Q1608" s="161">
        <f t="shared" si="677"/>
        <v>0</v>
      </c>
      <c r="R1608" s="85"/>
      <c r="S1608" s="86">
        <f t="shared" si="678"/>
        <v>0</v>
      </c>
      <c r="T1608" s="87">
        <f t="shared" si="673"/>
        <v>1</v>
      </c>
    </row>
    <row r="1609" spans="2:20" ht="20.100000000000001" hidden="1" customHeight="1">
      <c r="B1609" s="77">
        <v>11</v>
      </c>
      <c r="C1609" s="78" t="s">
        <v>2692</v>
      </c>
      <c r="D1609" s="79" t="s">
        <v>3019</v>
      </c>
      <c r="E1609" s="80" t="s">
        <v>3020</v>
      </c>
      <c r="F1609" s="81">
        <v>62.3</v>
      </c>
      <c r="G1609" s="222">
        <v>7</v>
      </c>
      <c r="H1609" s="186"/>
      <c r="I1609" s="186"/>
      <c r="J1609" s="308"/>
      <c r="K1609" s="227"/>
      <c r="L1609" s="82">
        <f t="shared" si="679"/>
        <v>7</v>
      </c>
      <c r="M1609" s="331">
        <v>7</v>
      </c>
      <c r="N1609" s="161">
        <f t="shared" si="674"/>
        <v>436.09999999999997</v>
      </c>
      <c r="O1609" s="161">
        <f t="shared" si="675"/>
        <v>436.09999999999997</v>
      </c>
      <c r="P1609" s="187">
        <f t="shared" si="676"/>
        <v>0</v>
      </c>
      <c r="Q1609" s="161">
        <f t="shared" si="677"/>
        <v>0</v>
      </c>
      <c r="R1609" s="85"/>
      <c r="S1609" s="86">
        <f t="shared" si="678"/>
        <v>0</v>
      </c>
      <c r="T1609" s="87">
        <f t="shared" si="673"/>
        <v>7</v>
      </c>
    </row>
    <row r="1610" spans="2:20" ht="20.100000000000001" hidden="1" customHeight="1">
      <c r="B1610" s="77">
        <v>11</v>
      </c>
      <c r="C1610" s="78" t="s">
        <v>2692</v>
      </c>
      <c r="D1610" s="79" t="s">
        <v>3021</v>
      </c>
      <c r="E1610" s="80" t="s">
        <v>3022</v>
      </c>
      <c r="F1610" s="81">
        <v>62.3</v>
      </c>
      <c r="G1610" s="222">
        <v>3</v>
      </c>
      <c r="H1610" s="186"/>
      <c r="I1610" s="186"/>
      <c r="J1610" s="308"/>
      <c r="K1610" s="227"/>
      <c r="L1610" s="82">
        <f t="shared" si="679"/>
        <v>3</v>
      </c>
      <c r="M1610" s="331">
        <v>3</v>
      </c>
      <c r="N1610" s="161">
        <f t="shared" si="674"/>
        <v>186.89999999999998</v>
      </c>
      <c r="O1610" s="161">
        <f t="shared" si="675"/>
        <v>186.89999999999998</v>
      </c>
      <c r="P1610" s="187">
        <f t="shared" si="676"/>
        <v>0</v>
      </c>
      <c r="Q1610" s="161">
        <f t="shared" si="677"/>
        <v>0</v>
      </c>
      <c r="R1610" s="85"/>
      <c r="S1610" s="86">
        <f t="shared" si="678"/>
        <v>0</v>
      </c>
      <c r="T1610" s="87">
        <f t="shared" si="673"/>
        <v>3</v>
      </c>
    </row>
    <row r="1611" spans="2:20" ht="20.100000000000001" hidden="1" customHeight="1">
      <c r="B1611" s="77">
        <v>11</v>
      </c>
      <c r="C1611" s="78" t="s">
        <v>2692</v>
      </c>
      <c r="D1611" s="79" t="s">
        <v>3023</v>
      </c>
      <c r="E1611" s="80" t="s">
        <v>3024</v>
      </c>
      <c r="F1611" s="81">
        <v>90.3</v>
      </c>
      <c r="G1611" s="222">
        <v>2</v>
      </c>
      <c r="H1611" s="186"/>
      <c r="I1611" s="186"/>
      <c r="J1611" s="308"/>
      <c r="K1611" s="227"/>
      <c r="L1611" s="82">
        <f t="shared" si="679"/>
        <v>2</v>
      </c>
      <c r="M1611" s="331">
        <v>2</v>
      </c>
      <c r="N1611" s="161">
        <f t="shared" si="674"/>
        <v>180.6</v>
      </c>
      <c r="O1611" s="161">
        <f t="shared" si="675"/>
        <v>180.6</v>
      </c>
      <c r="P1611" s="187">
        <f t="shared" si="676"/>
        <v>0</v>
      </c>
      <c r="Q1611" s="161">
        <f t="shared" si="677"/>
        <v>0</v>
      </c>
      <c r="R1611" s="85"/>
      <c r="S1611" s="86">
        <f t="shared" si="678"/>
        <v>0</v>
      </c>
      <c r="T1611" s="87">
        <f t="shared" si="673"/>
        <v>2</v>
      </c>
    </row>
    <row r="1612" spans="2:20" ht="20.100000000000001" hidden="1" customHeight="1">
      <c r="B1612" s="77">
        <v>11</v>
      </c>
      <c r="C1612" s="78" t="s">
        <v>2692</v>
      </c>
      <c r="D1612" s="79" t="s">
        <v>3025</v>
      </c>
      <c r="E1612" s="80" t="s">
        <v>3026</v>
      </c>
      <c r="F1612" s="81">
        <v>90.3</v>
      </c>
      <c r="G1612" s="222">
        <v>2</v>
      </c>
      <c r="H1612" s="186"/>
      <c r="I1612" s="186"/>
      <c r="J1612" s="308"/>
      <c r="K1612" s="227"/>
      <c r="L1612" s="82">
        <f t="shared" si="679"/>
        <v>2</v>
      </c>
      <c r="M1612" s="331">
        <v>2</v>
      </c>
      <c r="N1612" s="161">
        <f t="shared" si="674"/>
        <v>180.6</v>
      </c>
      <c r="O1612" s="161">
        <f t="shared" si="675"/>
        <v>180.6</v>
      </c>
      <c r="P1612" s="187">
        <f t="shared" si="676"/>
        <v>0</v>
      </c>
      <c r="Q1612" s="161">
        <f t="shared" si="677"/>
        <v>0</v>
      </c>
      <c r="R1612" s="85"/>
      <c r="S1612" s="86">
        <f t="shared" si="678"/>
        <v>0</v>
      </c>
      <c r="T1612" s="87">
        <f t="shared" si="673"/>
        <v>2</v>
      </c>
    </row>
    <row r="1613" spans="2:20" ht="20.100000000000001" hidden="1" customHeight="1">
      <c r="B1613" s="77">
        <v>11</v>
      </c>
      <c r="C1613" s="78" t="s">
        <v>2692</v>
      </c>
      <c r="D1613" s="79" t="s">
        <v>3027</v>
      </c>
      <c r="E1613" s="80" t="s">
        <v>3028</v>
      </c>
      <c r="F1613" s="81">
        <v>90.3</v>
      </c>
      <c r="G1613" s="222">
        <v>2</v>
      </c>
      <c r="H1613" s="186"/>
      <c r="I1613" s="186"/>
      <c r="J1613" s="308"/>
      <c r="K1613" s="227"/>
      <c r="L1613" s="82">
        <f t="shared" si="679"/>
        <v>2</v>
      </c>
      <c r="M1613" s="331">
        <v>2</v>
      </c>
      <c r="N1613" s="161">
        <f t="shared" si="674"/>
        <v>180.6</v>
      </c>
      <c r="O1613" s="161">
        <f t="shared" si="675"/>
        <v>180.6</v>
      </c>
      <c r="P1613" s="187">
        <f t="shared" si="676"/>
        <v>0</v>
      </c>
      <c r="Q1613" s="161">
        <f t="shared" si="677"/>
        <v>0</v>
      </c>
      <c r="R1613" s="85"/>
      <c r="S1613" s="86">
        <f t="shared" si="678"/>
        <v>0</v>
      </c>
      <c r="T1613" s="87">
        <f t="shared" si="673"/>
        <v>2</v>
      </c>
    </row>
    <row r="1614" spans="2:20" ht="20.100000000000001" hidden="1" customHeight="1">
      <c r="B1614" s="77">
        <v>11</v>
      </c>
      <c r="C1614" s="78" t="s">
        <v>2692</v>
      </c>
      <c r="D1614" s="79" t="s">
        <v>3029</v>
      </c>
      <c r="E1614" s="80" t="s">
        <v>3030</v>
      </c>
      <c r="F1614" s="81">
        <v>62.3</v>
      </c>
      <c r="G1614" s="222">
        <v>2</v>
      </c>
      <c r="H1614" s="186"/>
      <c r="I1614" s="186"/>
      <c r="J1614" s="308"/>
      <c r="K1614" s="227"/>
      <c r="L1614" s="82">
        <f t="shared" si="679"/>
        <v>2</v>
      </c>
      <c r="M1614" s="331">
        <v>2</v>
      </c>
      <c r="N1614" s="161">
        <f t="shared" si="674"/>
        <v>124.6</v>
      </c>
      <c r="O1614" s="161">
        <f t="shared" si="675"/>
        <v>124.6</v>
      </c>
      <c r="P1614" s="187">
        <f t="shared" si="676"/>
        <v>0</v>
      </c>
      <c r="Q1614" s="161">
        <f t="shared" si="677"/>
        <v>0</v>
      </c>
      <c r="R1614" s="85"/>
      <c r="S1614" s="86">
        <f t="shared" si="678"/>
        <v>0</v>
      </c>
      <c r="T1614" s="87">
        <f t="shared" si="673"/>
        <v>2</v>
      </c>
    </row>
    <row r="1615" spans="2:20" ht="20.100000000000001" hidden="1" customHeight="1">
      <c r="B1615" s="77">
        <v>11</v>
      </c>
      <c r="C1615" s="78" t="s">
        <v>2692</v>
      </c>
      <c r="D1615" s="79" t="s">
        <v>3031</v>
      </c>
      <c r="E1615" s="80" t="s">
        <v>3032</v>
      </c>
      <c r="F1615" s="81">
        <v>209.3</v>
      </c>
      <c r="G1615" s="222">
        <v>2</v>
      </c>
      <c r="H1615" s="186"/>
      <c r="I1615" s="186"/>
      <c r="J1615" s="308"/>
      <c r="K1615" s="227"/>
      <c r="L1615" s="82">
        <f t="shared" si="679"/>
        <v>2</v>
      </c>
      <c r="M1615" s="331">
        <v>2</v>
      </c>
      <c r="N1615" s="161">
        <f t="shared" si="674"/>
        <v>418.6</v>
      </c>
      <c r="O1615" s="161">
        <f t="shared" si="675"/>
        <v>418.6</v>
      </c>
      <c r="P1615" s="187">
        <f t="shared" si="676"/>
        <v>0</v>
      </c>
      <c r="Q1615" s="161">
        <f t="shared" si="677"/>
        <v>0</v>
      </c>
      <c r="R1615" s="85"/>
      <c r="S1615" s="86">
        <f t="shared" si="678"/>
        <v>0</v>
      </c>
      <c r="T1615" s="87">
        <f t="shared" si="673"/>
        <v>2</v>
      </c>
    </row>
    <row r="1616" spans="2:20" ht="20.100000000000001" hidden="1" customHeight="1">
      <c r="B1616" s="77">
        <v>11</v>
      </c>
      <c r="C1616" s="78" t="s">
        <v>2692</v>
      </c>
      <c r="D1616" s="79" t="s">
        <v>3033</v>
      </c>
      <c r="E1616" s="80" t="s">
        <v>3034</v>
      </c>
      <c r="F1616" s="81">
        <v>110</v>
      </c>
      <c r="G1616" s="222">
        <v>22</v>
      </c>
      <c r="H1616" s="186"/>
      <c r="I1616" s="186"/>
      <c r="J1616" s="308"/>
      <c r="K1616" s="227"/>
      <c r="L1616" s="82">
        <f t="shared" si="679"/>
        <v>22</v>
      </c>
      <c r="M1616" s="331">
        <f>14+8</f>
        <v>22</v>
      </c>
      <c r="N1616" s="161">
        <f t="shared" si="674"/>
        <v>2420</v>
      </c>
      <c r="O1616" s="161">
        <f t="shared" si="675"/>
        <v>2420</v>
      </c>
      <c r="P1616" s="187">
        <f t="shared" si="676"/>
        <v>0</v>
      </c>
      <c r="Q1616" s="161">
        <f t="shared" si="677"/>
        <v>0</v>
      </c>
      <c r="R1616" s="85"/>
      <c r="S1616" s="86">
        <f t="shared" si="678"/>
        <v>0</v>
      </c>
      <c r="T1616" s="87">
        <f t="shared" si="673"/>
        <v>22</v>
      </c>
    </row>
    <row r="1617" spans="2:21" ht="20.100000000000001" hidden="1" customHeight="1">
      <c r="B1617" s="77">
        <v>11</v>
      </c>
      <c r="C1617" s="78" t="s">
        <v>2692</v>
      </c>
      <c r="D1617" s="79" t="s">
        <v>3035</v>
      </c>
      <c r="E1617" s="80" t="s">
        <v>3036</v>
      </c>
      <c r="F1617" s="81">
        <v>83.3</v>
      </c>
      <c r="G1617" s="222"/>
      <c r="H1617" s="186"/>
      <c r="I1617" s="186"/>
      <c r="J1617" s="308"/>
      <c r="K1617" s="227"/>
      <c r="L1617" s="82">
        <f t="shared" si="679"/>
        <v>0</v>
      </c>
      <c r="M1617" s="331"/>
      <c r="N1617" s="161">
        <f t="shared" si="674"/>
        <v>0</v>
      </c>
      <c r="O1617" s="161">
        <f t="shared" si="675"/>
        <v>0</v>
      </c>
      <c r="P1617" s="187">
        <f t="shared" si="676"/>
        <v>0</v>
      </c>
      <c r="Q1617" s="161">
        <f t="shared" si="677"/>
        <v>0</v>
      </c>
      <c r="R1617" s="85"/>
      <c r="S1617" s="86">
        <f t="shared" si="678"/>
        <v>0</v>
      </c>
      <c r="T1617" s="87">
        <f t="shared" si="673"/>
        <v>0</v>
      </c>
    </row>
    <row r="1618" spans="2:21" ht="20.100000000000001" hidden="1" customHeight="1">
      <c r="B1618" s="77">
        <v>11</v>
      </c>
      <c r="C1618" s="78" t="s">
        <v>2692</v>
      </c>
      <c r="D1618" s="79" t="s">
        <v>3037</v>
      </c>
      <c r="E1618" s="80" t="s">
        <v>3038</v>
      </c>
      <c r="F1618" s="81">
        <v>139.30000000000001</v>
      </c>
      <c r="G1618" s="222">
        <v>2</v>
      </c>
      <c r="H1618" s="186"/>
      <c r="I1618" s="186"/>
      <c r="J1618" s="308"/>
      <c r="K1618" s="227"/>
      <c r="L1618" s="82">
        <f t="shared" si="679"/>
        <v>2</v>
      </c>
      <c r="M1618" s="331">
        <v>2</v>
      </c>
      <c r="N1618" s="161">
        <f t="shared" si="674"/>
        <v>278.60000000000002</v>
      </c>
      <c r="O1618" s="161">
        <f t="shared" si="675"/>
        <v>278.60000000000002</v>
      </c>
      <c r="P1618" s="187">
        <f t="shared" si="676"/>
        <v>0</v>
      </c>
      <c r="Q1618" s="161">
        <f t="shared" si="677"/>
        <v>0</v>
      </c>
      <c r="R1618" s="85"/>
      <c r="S1618" s="86">
        <f t="shared" si="678"/>
        <v>0</v>
      </c>
      <c r="T1618" s="87">
        <f t="shared" si="673"/>
        <v>2</v>
      </c>
    </row>
    <row r="1619" spans="2:21" ht="20.100000000000001" hidden="1" customHeight="1">
      <c r="B1619" s="77">
        <v>11</v>
      </c>
      <c r="C1619" s="78" t="s">
        <v>2692</v>
      </c>
      <c r="D1619" s="79" t="s">
        <v>3039</v>
      </c>
      <c r="E1619" s="80" t="s">
        <v>3040</v>
      </c>
      <c r="F1619" s="81">
        <v>279.3</v>
      </c>
      <c r="G1619" s="222">
        <v>2</v>
      </c>
      <c r="H1619" s="186"/>
      <c r="I1619" s="186"/>
      <c r="J1619" s="308"/>
      <c r="K1619" s="227"/>
      <c r="L1619" s="82">
        <f t="shared" si="679"/>
        <v>2</v>
      </c>
      <c r="M1619" s="331">
        <v>2</v>
      </c>
      <c r="N1619" s="161">
        <f t="shared" si="674"/>
        <v>558.6</v>
      </c>
      <c r="O1619" s="161">
        <f t="shared" si="675"/>
        <v>558.6</v>
      </c>
      <c r="P1619" s="187">
        <f t="shared" si="676"/>
        <v>0</v>
      </c>
      <c r="Q1619" s="161">
        <f t="shared" si="677"/>
        <v>0</v>
      </c>
      <c r="R1619" s="85"/>
      <c r="S1619" s="86">
        <f t="shared" si="678"/>
        <v>0</v>
      </c>
      <c r="T1619" s="87">
        <f t="shared" si="673"/>
        <v>2</v>
      </c>
    </row>
    <row r="1620" spans="2:21" ht="20.100000000000001" hidden="1" customHeight="1">
      <c r="B1620" s="77">
        <v>11</v>
      </c>
      <c r="C1620" s="78" t="s">
        <v>2692</v>
      </c>
      <c r="D1620" s="79" t="s">
        <v>3041</v>
      </c>
      <c r="E1620" s="80" t="s">
        <v>3042</v>
      </c>
      <c r="F1620" s="81">
        <v>69.3</v>
      </c>
      <c r="G1620" s="222">
        <v>1</v>
      </c>
      <c r="H1620" s="186"/>
      <c r="I1620" s="186"/>
      <c r="J1620" s="308"/>
      <c r="K1620" s="227"/>
      <c r="L1620" s="82">
        <f t="shared" si="679"/>
        <v>1</v>
      </c>
      <c r="M1620" s="331">
        <v>1</v>
      </c>
      <c r="N1620" s="161">
        <f t="shared" si="674"/>
        <v>69.3</v>
      </c>
      <c r="O1620" s="161">
        <f t="shared" si="675"/>
        <v>69.3</v>
      </c>
      <c r="P1620" s="187">
        <f t="shared" si="676"/>
        <v>0</v>
      </c>
      <c r="Q1620" s="161">
        <f t="shared" si="677"/>
        <v>0</v>
      </c>
      <c r="R1620" s="85"/>
      <c r="S1620" s="86">
        <f t="shared" si="678"/>
        <v>0</v>
      </c>
      <c r="T1620" s="87">
        <f t="shared" si="673"/>
        <v>1</v>
      </c>
    </row>
    <row r="1621" spans="2:21" ht="20.100000000000001" hidden="1" customHeight="1">
      <c r="B1621" s="77">
        <v>11</v>
      </c>
      <c r="C1621" s="78" t="s">
        <v>2692</v>
      </c>
      <c r="D1621" s="79" t="s">
        <v>3043</v>
      </c>
      <c r="E1621" s="80" t="s">
        <v>3044</v>
      </c>
      <c r="F1621" s="81">
        <v>153.30000000000001</v>
      </c>
      <c r="G1621" s="222">
        <v>1</v>
      </c>
      <c r="H1621" s="186"/>
      <c r="I1621" s="186"/>
      <c r="J1621" s="308"/>
      <c r="K1621" s="227"/>
      <c r="L1621" s="82">
        <f t="shared" si="679"/>
        <v>1</v>
      </c>
      <c r="M1621" s="331">
        <v>1</v>
      </c>
      <c r="N1621" s="161">
        <f t="shared" si="674"/>
        <v>153.30000000000001</v>
      </c>
      <c r="O1621" s="161">
        <f t="shared" si="675"/>
        <v>153.30000000000001</v>
      </c>
      <c r="P1621" s="187">
        <f t="shared" si="676"/>
        <v>0</v>
      </c>
      <c r="Q1621" s="161">
        <f t="shared" si="677"/>
        <v>0</v>
      </c>
      <c r="R1621" s="85"/>
      <c r="S1621" s="86">
        <f t="shared" si="678"/>
        <v>0</v>
      </c>
      <c r="T1621" s="87">
        <f t="shared" si="673"/>
        <v>1</v>
      </c>
    </row>
    <row r="1622" spans="2:21" ht="20.100000000000001" hidden="1" customHeight="1">
      <c r="B1622" s="77">
        <v>11</v>
      </c>
      <c r="C1622" s="78" t="s">
        <v>2692</v>
      </c>
      <c r="D1622" s="79" t="s">
        <v>3045</v>
      </c>
      <c r="E1622" s="80" t="s">
        <v>3046</v>
      </c>
      <c r="F1622" s="81">
        <v>139.30000000000001</v>
      </c>
      <c r="G1622" s="222"/>
      <c r="H1622" s="186"/>
      <c r="I1622" s="186"/>
      <c r="J1622" s="308"/>
      <c r="K1622" s="227"/>
      <c r="L1622" s="82">
        <f t="shared" si="679"/>
        <v>0</v>
      </c>
      <c r="M1622" s="331"/>
      <c r="N1622" s="161">
        <f t="shared" si="674"/>
        <v>0</v>
      </c>
      <c r="O1622" s="161">
        <f t="shared" si="675"/>
        <v>0</v>
      </c>
      <c r="P1622" s="187">
        <f t="shared" si="676"/>
        <v>0</v>
      </c>
      <c r="Q1622" s="161">
        <f t="shared" si="677"/>
        <v>0</v>
      </c>
      <c r="R1622" s="85"/>
      <c r="S1622" s="86">
        <f t="shared" si="678"/>
        <v>0</v>
      </c>
      <c r="T1622" s="87">
        <f t="shared" si="673"/>
        <v>0</v>
      </c>
    </row>
    <row r="1623" spans="2:21" ht="20.100000000000001" hidden="1" customHeight="1">
      <c r="B1623" s="77">
        <v>12</v>
      </c>
      <c r="C1623" s="78" t="s">
        <v>3047</v>
      </c>
      <c r="D1623" s="79" t="s">
        <v>3048</v>
      </c>
      <c r="E1623" s="80" t="s">
        <v>3049</v>
      </c>
      <c r="F1623" s="81">
        <v>18.2</v>
      </c>
      <c r="G1623" s="222">
        <v>3</v>
      </c>
      <c r="H1623" s="186"/>
      <c r="I1623" s="186"/>
      <c r="J1623" s="308"/>
      <c r="K1623" s="227"/>
      <c r="L1623" s="82">
        <f t="shared" si="679"/>
        <v>3</v>
      </c>
      <c r="M1623" s="331">
        <v>3</v>
      </c>
      <c r="N1623" s="161">
        <f t="shared" si="674"/>
        <v>54.599999999999994</v>
      </c>
      <c r="O1623" s="161">
        <f t="shared" si="675"/>
        <v>54.599999999999994</v>
      </c>
      <c r="P1623" s="187">
        <f t="shared" si="676"/>
        <v>0</v>
      </c>
      <c r="Q1623" s="161">
        <f t="shared" si="677"/>
        <v>0</v>
      </c>
      <c r="R1623" s="85"/>
      <c r="S1623" s="86">
        <f t="shared" si="678"/>
        <v>3</v>
      </c>
      <c r="T1623" s="87">
        <f t="shared" si="673"/>
        <v>0</v>
      </c>
      <c r="U1623">
        <v>3</v>
      </c>
    </row>
    <row r="1624" spans="2:21" ht="20.100000000000001" hidden="1" customHeight="1">
      <c r="B1624" s="77">
        <v>12</v>
      </c>
      <c r="C1624" s="78" t="s">
        <v>3047</v>
      </c>
      <c r="D1624" s="79" t="s">
        <v>3050</v>
      </c>
      <c r="E1624" s="80" t="s">
        <v>3051</v>
      </c>
      <c r="F1624" s="81">
        <v>41.67</v>
      </c>
      <c r="G1624" s="222"/>
      <c r="H1624" s="186"/>
      <c r="I1624" s="186"/>
      <c r="J1624" s="308"/>
      <c r="K1624" s="227"/>
      <c r="L1624" s="82">
        <f t="shared" si="679"/>
        <v>0</v>
      </c>
      <c r="M1624" s="331"/>
      <c r="N1624" s="161">
        <f t="shared" si="674"/>
        <v>0</v>
      </c>
      <c r="O1624" s="161">
        <f t="shared" si="675"/>
        <v>0</v>
      </c>
      <c r="P1624" s="187">
        <f t="shared" si="676"/>
        <v>0</v>
      </c>
      <c r="Q1624" s="161">
        <f t="shared" si="677"/>
        <v>0</v>
      </c>
      <c r="R1624" s="85"/>
      <c r="S1624" s="86">
        <f t="shared" si="678"/>
        <v>36</v>
      </c>
      <c r="T1624" s="87">
        <f t="shared" si="673"/>
        <v>-36</v>
      </c>
      <c r="U1624">
        <v>36</v>
      </c>
    </row>
    <row r="1625" spans="2:21" ht="20.100000000000001" hidden="1" customHeight="1">
      <c r="B1625" s="77">
        <v>12</v>
      </c>
      <c r="C1625" s="78" t="s">
        <v>3047</v>
      </c>
      <c r="D1625" s="79" t="s">
        <v>3052</v>
      </c>
      <c r="E1625" s="80" t="s">
        <v>3053</v>
      </c>
      <c r="F1625" s="81">
        <v>37.869999999999997</v>
      </c>
      <c r="G1625" s="222">
        <v>30</v>
      </c>
      <c r="H1625" s="186"/>
      <c r="I1625" s="186"/>
      <c r="J1625" s="308"/>
      <c r="K1625" s="227"/>
      <c r="L1625" s="82">
        <f t="shared" si="679"/>
        <v>30</v>
      </c>
      <c r="M1625" s="331">
        <v>31</v>
      </c>
      <c r="N1625" s="161">
        <f t="shared" si="674"/>
        <v>1136.0999999999999</v>
      </c>
      <c r="O1625" s="161">
        <f t="shared" si="675"/>
        <v>1173.97</v>
      </c>
      <c r="P1625" s="187">
        <f t="shared" si="676"/>
        <v>-1</v>
      </c>
      <c r="Q1625" s="161">
        <f t="shared" si="677"/>
        <v>-37.870000000000118</v>
      </c>
      <c r="R1625" s="85"/>
      <c r="S1625" s="86">
        <f t="shared" si="678"/>
        <v>12</v>
      </c>
      <c r="T1625" s="87">
        <f t="shared" si="673"/>
        <v>19</v>
      </c>
      <c r="U1625">
        <v>12</v>
      </c>
    </row>
    <row r="1626" spans="2:21" ht="20.100000000000001" hidden="1" customHeight="1">
      <c r="B1626" s="77">
        <v>12</v>
      </c>
      <c r="C1626" s="78" t="s">
        <v>3047</v>
      </c>
      <c r="D1626" s="79" t="s">
        <v>3054</v>
      </c>
      <c r="E1626" s="80" t="s">
        <v>3055</v>
      </c>
      <c r="F1626" s="81">
        <v>41.67</v>
      </c>
      <c r="G1626" s="222">
        <v>9</v>
      </c>
      <c r="H1626" s="186"/>
      <c r="I1626" s="186"/>
      <c r="J1626" s="308"/>
      <c r="K1626" s="227"/>
      <c r="L1626" s="82">
        <f t="shared" si="679"/>
        <v>9</v>
      </c>
      <c r="M1626" s="331">
        <v>9</v>
      </c>
      <c r="N1626" s="161">
        <f t="shared" si="674"/>
        <v>375.03000000000003</v>
      </c>
      <c r="O1626" s="161">
        <f t="shared" si="675"/>
        <v>375.03000000000003</v>
      </c>
      <c r="P1626" s="187">
        <f t="shared" si="676"/>
        <v>0</v>
      </c>
      <c r="Q1626" s="161">
        <f t="shared" si="677"/>
        <v>0</v>
      </c>
      <c r="R1626" s="85"/>
      <c r="S1626" s="86">
        <f t="shared" si="678"/>
        <v>27</v>
      </c>
      <c r="T1626" s="87">
        <f t="shared" si="673"/>
        <v>-18</v>
      </c>
      <c r="U1626">
        <v>27</v>
      </c>
    </row>
    <row r="1627" spans="2:21" ht="20.100000000000001" customHeight="1">
      <c r="B1627" s="77">
        <v>12</v>
      </c>
      <c r="C1627" s="78" t="s">
        <v>3047</v>
      </c>
      <c r="D1627" s="79" t="s">
        <v>3056</v>
      </c>
      <c r="E1627" s="80" t="s">
        <v>3057</v>
      </c>
      <c r="F1627" s="81">
        <v>68.150000000000006</v>
      </c>
      <c r="G1627" s="222">
        <v>27</v>
      </c>
      <c r="H1627" s="186"/>
      <c r="I1627" s="186"/>
      <c r="J1627" s="308"/>
      <c r="K1627" s="227">
        <v>15</v>
      </c>
      <c r="L1627" s="82">
        <f t="shared" si="679"/>
        <v>12</v>
      </c>
      <c r="M1627" s="331">
        <v>8</v>
      </c>
      <c r="N1627" s="161">
        <f t="shared" si="674"/>
        <v>817.80000000000007</v>
      </c>
      <c r="O1627" s="161">
        <f t="shared" si="675"/>
        <v>545.20000000000005</v>
      </c>
      <c r="P1627" s="187">
        <f t="shared" si="676"/>
        <v>4</v>
      </c>
      <c r="Q1627" s="161">
        <f t="shared" si="677"/>
        <v>272.60000000000002</v>
      </c>
      <c r="R1627" s="85"/>
      <c r="S1627" s="86">
        <f t="shared" si="678"/>
        <v>4</v>
      </c>
      <c r="T1627" s="87">
        <f t="shared" si="673"/>
        <v>4</v>
      </c>
      <c r="U1627">
        <v>4</v>
      </c>
    </row>
    <row r="1628" spans="2:21" ht="20.100000000000001" hidden="1" customHeight="1">
      <c r="B1628" s="77">
        <v>12</v>
      </c>
      <c r="C1628" s="78" t="s">
        <v>3047</v>
      </c>
      <c r="D1628" s="95" t="s">
        <v>3058</v>
      </c>
      <c r="E1628" s="80" t="s">
        <v>3059</v>
      </c>
      <c r="F1628" s="81">
        <v>135.4528</v>
      </c>
      <c r="G1628" s="222">
        <v>3</v>
      </c>
      <c r="H1628" s="186"/>
      <c r="I1628" s="186"/>
      <c r="J1628" s="308"/>
      <c r="K1628" s="227"/>
      <c r="L1628" s="82">
        <f t="shared" si="679"/>
        <v>3</v>
      </c>
      <c r="M1628" s="331">
        <v>3</v>
      </c>
      <c r="N1628" s="161">
        <f t="shared" si="674"/>
        <v>406.35839999999996</v>
      </c>
      <c r="O1628" s="161">
        <f t="shared" si="675"/>
        <v>406.35839999999996</v>
      </c>
      <c r="P1628" s="187">
        <f t="shared" si="676"/>
        <v>0</v>
      </c>
      <c r="Q1628" s="161">
        <f t="shared" si="677"/>
        <v>0</v>
      </c>
      <c r="R1628" s="85"/>
      <c r="S1628" s="86">
        <f t="shared" si="678"/>
        <v>3</v>
      </c>
      <c r="T1628" s="87">
        <f t="shared" si="673"/>
        <v>0</v>
      </c>
      <c r="U1628">
        <v>3</v>
      </c>
    </row>
    <row r="1629" spans="2:21" ht="20.100000000000001" hidden="1" customHeight="1">
      <c r="B1629" s="77">
        <v>12</v>
      </c>
      <c r="C1629" s="78" t="s">
        <v>3047</v>
      </c>
      <c r="D1629" s="79" t="s">
        <v>3060</v>
      </c>
      <c r="E1629" s="80" t="s">
        <v>3061</v>
      </c>
      <c r="F1629" s="81">
        <v>90</v>
      </c>
      <c r="G1629" s="222">
        <v>2</v>
      </c>
      <c r="H1629" s="186"/>
      <c r="I1629" s="186"/>
      <c r="J1629" s="308"/>
      <c r="K1629" s="227"/>
      <c r="L1629" s="82">
        <f t="shared" si="679"/>
        <v>2</v>
      </c>
      <c r="M1629" s="331">
        <v>2</v>
      </c>
      <c r="N1629" s="161">
        <f t="shared" si="674"/>
        <v>180</v>
      </c>
      <c r="O1629" s="161">
        <f t="shared" si="675"/>
        <v>180</v>
      </c>
      <c r="P1629" s="187">
        <f t="shared" si="676"/>
        <v>0</v>
      </c>
      <c r="Q1629" s="161">
        <f t="shared" si="677"/>
        <v>0</v>
      </c>
      <c r="R1629" s="85"/>
      <c r="S1629" s="86">
        <f t="shared" si="678"/>
        <v>3</v>
      </c>
      <c r="T1629" s="87">
        <f t="shared" si="673"/>
        <v>-1</v>
      </c>
      <c r="U1629">
        <v>3</v>
      </c>
    </row>
    <row r="1630" spans="2:21" ht="20.100000000000001" hidden="1" customHeight="1">
      <c r="B1630" s="77">
        <v>12</v>
      </c>
      <c r="C1630" s="78" t="s">
        <v>3047</v>
      </c>
      <c r="D1630" s="79" t="s">
        <v>3062</v>
      </c>
      <c r="E1630" s="80" t="s">
        <v>3063</v>
      </c>
      <c r="F1630" s="81">
        <v>90</v>
      </c>
      <c r="G1630" s="222"/>
      <c r="H1630" s="186"/>
      <c r="I1630" s="186"/>
      <c r="J1630" s="308"/>
      <c r="K1630" s="227"/>
      <c r="L1630" s="82">
        <f t="shared" si="679"/>
        <v>0</v>
      </c>
      <c r="M1630" s="331"/>
      <c r="N1630" s="161">
        <f t="shared" si="674"/>
        <v>0</v>
      </c>
      <c r="O1630" s="161">
        <f t="shared" si="675"/>
        <v>0</v>
      </c>
      <c r="P1630" s="187">
        <f t="shared" si="676"/>
        <v>0</v>
      </c>
      <c r="Q1630" s="161">
        <f t="shared" si="677"/>
        <v>0</v>
      </c>
      <c r="R1630" s="85"/>
      <c r="S1630" s="86">
        <f t="shared" si="678"/>
        <v>1</v>
      </c>
      <c r="T1630" s="87">
        <f t="shared" si="673"/>
        <v>-1</v>
      </c>
      <c r="U1630">
        <v>1</v>
      </c>
    </row>
    <row r="1631" spans="2:21" ht="20.100000000000001" hidden="1" customHeight="1">
      <c r="B1631" s="77">
        <v>12</v>
      </c>
      <c r="C1631" s="78" t="s">
        <v>3047</v>
      </c>
      <c r="D1631" s="79" t="s">
        <v>3064</v>
      </c>
      <c r="E1631" s="80" t="s">
        <v>3065</v>
      </c>
      <c r="F1631" s="81">
        <v>90</v>
      </c>
      <c r="G1631" s="222">
        <v>1</v>
      </c>
      <c r="H1631" s="186"/>
      <c r="I1631" s="186"/>
      <c r="J1631" s="308"/>
      <c r="K1631" s="227">
        <v>1</v>
      </c>
      <c r="L1631" s="82">
        <f t="shared" si="679"/>
        <v>0</v>
      </c>
      <c r="M1631" s="331"/>
      <c r="N1631" s="161">
        <f t="shared" si="674"/>
        <v>0</v>
      </c>
      <c r="O1631" s="161">
        <f t="shared" si="675"/>
        <v>0</v>
      </c>
      <c r="P1631" s="187">
        <f t="shared" si="676"/>
        <v>0</v>
      </c>
      <c r="Q1631" s="161">
        <f t="shared" si="677"/>
        <v>0</v>
      </c>
      <c r="R1631" s="85"/>
      <c r="S1631" s="86">
        <f t="shared" si="678"/>
        <v>2</v>
      </c>
      <c r="T1631" s="87">
        <f t="shared" si="673"/>
        <v>-2</v>
      </c>
      <c r="U1631">
        <v>2</v>
      </c>
    </row>
    <row r="1632" spans="2:21" ht="20.100000000000001" hidden="1" customHeight="1">
      <c r="B1632" s="77">
        <v>12</v>
      </c>
      <c r="C1632" s="78" t="s">
        <v>3047</v>
      </c>
      <c r="D1632" s="79" t="s">
        <v>3066</v>
      </c>
      <c r="E1632" s="80" t="s">
        <v>3067</v>
      </c>
      <c r="F1632" s="81">
        <v>54.56</v>
      </c>
      <c r="G1632" s="222"/>
      <c r="H1632" s="186"/>
      <c r="I1632" s="186"/>
      <c r="J1632" s="308"/>
      <c r="K1632" s="227"/>
      <c r="L1632" s="82">
        <f t="shared" si="679"/>
        <v>0</v>
      </c>
      <c r="M1632" s="331"/>
      <c r="N1632" s="161">
        <f t="shared" si="674"/>
        <v>0</v>
      </c>
      <c r="O1632" s="161">
        <f t="shared" si="675"/>
        <v>0</v>
      </c>
      <c r="P1632" s="187">
        <f t="shared" si="676"/>
        <v>0</v>
      </c>
      <c r="Q1632" s="161">
        <f t="shared" si="677"/>
        <v>0</v>
      </c>
      <c r="R1632" s="85"/>
      <c r="S1632" s="86">
        <f t="shared" si="678"/>
        <v>2</v>
      </c>
      <c r="T1632" s="87">
        <f t="shared" si="673"/>
        <v>-2</v>
      </c>
      <c r="U1632">
        <v>2</v>
      </c>
    </row>
    <row r="1633" spans="2:21" ht="20.100000000000001" hidden="1" customHeight="1">
      <c r="B1633" s="77">
        <v>12</v>
      </c>
      <c r="C1633" s="78" t="s">
        <v>3047</v>
      </c>
      <c r="D1633" s="79" t="s">
        <v>3068</v>
      </c>
      <c r="E1633" s="80" t="s">
        <v>3069</v>
      </c>
      <c r="F1633" s="81">
        <v>54.56</v>
      </c>
      <c r="G1633" s="222"/>
      <c r="H1633" s="186"/>
      <c r="I1633" s="186"/>
      <c r="J1633" s="308"/>
      <c r="K1633" s="227"/>
      <c r="L1633" s="82">
        <f t="shared" si="679"/>
        <v>0</v>
      </c>
      <c r="M1633" s="331"/>
      <c r="N1633" s="161">
        <f t="shared" si="674"/>
        <v>0</v>
      </c>
      <c r="O1633" s="161">
        <f t="shared" si="675"/>
        <v>0</v>
      </c>
      <c r="P1633" s="187">
        <f t="shared" si="676"/>
        <v>0</v>
      </c>
      <c r="Q1633" s="161">
        <f t="shared" si="677"/>
        <v>0</v>
      </c>
      <c r="R1633" s="85"/>
      <c r="S1633" s="86">
        <f t="shared" si="678"/>
        <v>1</v>
      </c>
      <c r="T1633" s="87">
        <f t="shared" si="673"/>
        <v>-1</v>
      </c>
      <c r="U1633">
        <v>1</v>
      </c>
    </row>
    <row r="1634" spans="2:21" ht="20.100000000000001" customHeight="1">
      <c r="B1634" s="77">
        <v>12</v>
      </c>
      <c r="C1634" s="78" t="s">
        <v>3047</v>
      </c>
      <c r="D1634" s="79" t="s">
        <v>3068</v>
      </c>
      <c r="E1634" s="80" t="s">
        <v>3069</v>
      </c>
      <c r="F1634" s="81">
        <v>54.56</v>
      </c>
      <c r="G1634" s="222">
        <v>3</v>
      </c>
      <c r="H1634" s="186"/>
      <c r="I1634" s="186"/>
      <c r="J1634" s="308"/>
      <c r="K1634" s="227"/>
      <c r="L1634" s="82">
        <f t="shared" si="679"/>
        <v>3</v>
      </c>
      <c r="M1634" s="331">
        <v>2</v>
      </c>
      <c r="N1634" s="161">
        <f t="shared" si="674"/>
        <v>163.68</v>
      </c>
      <c r="O1634" s="161">
        <f t="shared" si="675"/>
        <v>109.12</v>
      </c>
      <c r="P1634" s="187">
        <f t="shared" si="676"/>
        <v>1</v>
      </c>
      <c r="Q1634" s="161">
        <f t="shared" si="677"/>
        <v>54.56</v>
      </c>
      <c r="R1634" s="85"/>
      <c r="S1634" s="86">
        <f t="shared" si="678"/>
        <v>3</v>
      </c>
      <c r="T1634" s="87">
        <f t="shared" si="673"/>
        <v>-1</v>
      </c>
      <c r="U1634">
        <v>3</v>
      </c>
    </row>
    <row r="1635" spans="2:21" ht="20.100000000000001" hidden="1" customHeight="1">
      <c r="B1635" s="77">
        <v>12</v>
      </c>
      <c r="C1635" s="78" t="s">
        <v>3047</v>
      </c>
      <c r="D1635" s="79" t="s">
        <v>3070</v>
      </c>
      <c r="E1635" s="80" t="s">
        <v>3071</v>
      </c>
      <c r="F1635" s="81">
        <v>16.350000000000001</v>
      </c>
      <c r="G1635" s="222"/>
      <c r="H1635" s="186"/>
      <c r="I1635" s="186"/>
      <c r="J1635" s="308"/>
      <c r="K1635" s="227"/>
      <c r="L1635" s="82">
        <f t="shared" si="679"/>
        <v>0</v>
      </c>
      <c r="M1635" s="331"/>
      <c r="N1635" s="161">
        <f t="shared" si="674"/>
        <v>0</v>
      </c>
      <c r="O1635" s="161">
        <f t="shared" si="675"/>
        <v>0</v>
      </c>
      <c r="P1635" s="187">
        <f t="shared" si="676"/>
        <v>0</v>
      </c>
      <c r="Q1635" s="161">
        <f t="shared" si="677"/>
        <v>0</v>
      </c>
      <c r="R1635" s="85"/>
      <c r="S1635" s="86">
        <f t="shared" si="678"/>
        <v>13</v>
      </c>
      <c r="T1635" s="87">
        <f t="shared" si="673"/>
        <v>-13</v>
      </c>
      <c r="U1635">
        <v>13</v>
      </c>
    </row>
    <row r="1636" spans="2:21" ht="20.100000000000001" hidden="1" customHeight="1">
      <c r="B1636" s="77">
        <v>12</v>
      </c>
      <c r="C1636" s="78" t="s">
        <v>3047</v>
      </c>
      <c r="D1636" s="79" t="s">
        <v>3072</v>
      </c>
      <c r="E1636" s="80" t="s">
        <v>3073</v>
      </c>
      <c r="F1636" s="81">
        <v>16.350000000000001</v>
      </c>
      <c r="G1636" s="222"/>
      <c r="H1636" s="186"/>
      <c r="I1636" s="186"/>
      <c r="J1636" s="308"/>
      <c r="K1636" s="227"/>
      <c r="L1636" s="82">
        <f t="shared" si="679"/>
        <v>0</v>
      </c>
      <c r="M1636" s="331"/>
      <c r="N1636" s="161">
        <f t="shared" si="674"/>
        <v>0</v>
      </c>
      <c r="O1636" s="161">
        <f t="shared" si="675"/>
        <v>0</v>
      </c>
      <c r="P1636" s="187">
        <f t="shared" si="676"/>
        <v>0</v>
      </c>
      <c r="Q1636" s="161">
        <f t="shared" si="677"/>
        <v>0</v>
      </c>
      <c r="R1636" s="85"/>
      <c r="S1636" s="86">
        <f t="shared" si="678"/>
        <v>11</v>
      </c>
      <c r="T1636" s="87">
        <f t="shared" si="673"/>
        <v>-11</v>
      </c>
      <c r="U1636">
        <v>11</v>
      </c>
    </row>
    <row r="1637" spans="2:21" ht="20.100000000000001" hidden="1" customHeight="1">
      <c r="B1637" s="77">
        <v>12</v>
      </c>
      <c r="C1637" s="78" t="s">
        <v>3047</v>
      </c>
      <c r="D1637" s="79" t="s">
        <v>3074</v>
      </c>
      <c r="E1637" s="80" t="s">
        <v>3075</v>
      </c>
      <c r="F1637" s="81">
        <v>9.2799999999999994</v>
      </c>
      <c r="G1637" s="222">
        <v>27</v>
      </c>
      <c r="H1637" s="186"/>
      <c r="I1637" s="186"/>
      <c r="J1637" s="308"/>
      <c r="K1637" s="227"/>
      <c r="L1637" s="82">
        <f t="shared" si="679"/>
        <v>27</v>
      </c>
      <c r="M1637" s="331">
        <v>27</v>
      </c>
      <c r="N1637" s="161">
        <f t="shared" si="674"/>
        <v>250.55999999999997</v>
      </c>
      <c r="O1637" s="161">
        <f t="shared" si="675"/>
        <v>250.55999999999997</v>
      </c>
      <c r="P1637" s="187">
        <f t="shared" si="676"/>
        <v>0</v>
      </c>
      <c r="Q1637" s="161">
        <f t="shared" si="677"/>
        <v>0</v>
      </c>
      <c r="R1637" s="85"/>
      <c r="S1637" s="86">
        <f t="shared" si="678"/>
        <v>20</v>
      </c>
      <c r="T1637" s="87">
        <f t="shared" si="673"/>
        <v>7</v>
      </c>
      <c r="U1637">
        <v>20</v>
      </c>
    </row>
    <row r="1638" spans="2:21" ht="20.100000000000001" hidden="1" customHeight="1">
      <c r="B1638" s="77">
        <v>12</v>
      </c>
      <c r="C1638" s="78" t="s">
        <v>3047</v>
      </c>
      <c r="D1638" s="79" t="s">
        <v>3076</v>
      </c>
      <c r="E1638" s="80" t="s">
        <v>3077</v>
      </c>
      <c r="F1638" s="81">
        <v>135.44999999999999</v>
      </c>
      <c r="G1638" s="222">
        <v>1</v>
      </c>
      <c r="H1638" s="186"/>
      <c r="I1638" s="186"/>
      <c r="J1638" s="308"/>
      <c r="K1638" s="227"/>
      <c r="L1638" s="82">
        <f t="shared" si="679"/>
        <v>1</v>
      </c>
      <c r="M1638" s="331">
        <v>1</v>
      </c>
      <c r="N1638" s="161">
        <f t="shared" si="674"/>
        <v>135.44999999999999</v>
      </c>
      <c r="O1638" s="161">
        <f t="shared" si="675"/>
        <v>135.44999999999999</v>
      </c>
      <c r="P1638" s="187">
        <f t="shared" si="676"/>
        <v>0</v>
      </c>
      <c r="Q1638" s="161">
        <f t="shared" si="677"/>
        <v>0</v>
      </c>
      <c r="R1638" s="85"/>
      <c r="S1638" s="86">
        <f t="shared" si="678"/>
        <v>1</v>
      </c>
      <c r="T1638" s="87">
        <f t="shared" si="673"/>
        <v>0</v>
      </c>
      <c r="U1638">
        <v>1</v>
      </c>
    </row>
    <row r="1639" spans="2:21" ht="20.100000000000001" hidden="1" customHeight="1">
      <c r="B1639" s="77">
        <v>12</v>
      </c>
      <c r="C1639" s="78" t="s">
        <v>3047</v>
      </c>
      <c r="D1639" s="79" t="s">
        <v>3078</v>
      </c>
      <c r="E1639" s="80" t="s">
        <v>3079</v>
      </c>
      <c r="F1639" s="81">
        <v>18.2</v>
      </c>
      <c r="G1639" s="222"/>
      <c r="H1639" s="186"/>
      <c r="I1639" s="186"/>
      <c r="J1639" s="308"/>
      <c r="K1639" s="227"/>
      <c r="L1639" s="82">
        <f t="shared" si="679"/>
        <v>0</v>
      </c>
      <c r="M1639" s="331"/>
      <c r="N1639" s="161">
        <f t="shared" si="674"/>
        <v>0</v>
      </c>
      <c r="O1639" s="161">
        <f t="shared" si="675"/>
        <v>0</v>
      </c>
      <c r="P1639" s="187">
        <f t="shared" si="676"/>
        <v>0</v>
      </c>
      <c r="Q1639" s="161">
        <f t="shared" si="677"/>
        <v>0</v>
      </c>
      <c r="R1639" s="85"/>
      <c r="S1639" s="86">
        <f t="shared" si="678"/>
        <v>8</v>
      </c>
      <c r="T1639" s="87">
        <f t="shared" si="673"/>
        <v>-8</v>
      </c>
      <c r="U1639">
        <v>8</v>
      </c>
    </row>
    <row r="1640" spans="2:21" ht="20.100000000000001" hidden="1" customHeight="1">
      <c r="B1640" s="77">
        <v>12</v>
      </c>
      <c r="C1640" s="78" t="s">
        <v>3047</v>
      </c>
      <c r="D1640" s="79" t="s">
        <v>3080</v>
      </c>
      <c r="E1640" s="80" t="s">
        <v>3081</v>
      </c>
      <c r="F1640" s="81">
        <v>20.399999999999999</v>
      </c>
      <c r="G1640" s="222">
        <v>34</v>
      </c>
      <c r="H1640" s="186"/>
      <c r="I1640" s="186"/>
      <c r="J1640" s="308"/>
      <c r="K1640" s="227">
        <v>8</v>
      </c>
      <c r="L1640" s="82">
        <f t="shared" si="679"/>
        <v>26</v>
      </c>
      <c r="M1640" s="331">
        <f>20+14</f>
        <v>34</v>
      </c>
      <c r="N1640" s="161">
        <f t="shared" si="674"/>
        <v>530.4</v>
      </c>
      <c r="O1640" s="161">
        <f t="shared" si="675"/>
        <v>693.59999999999991</v>
      </c>
      <c r="P1640" s="187">
        <f t="shared" si="676"/>
        <v>-8</v>
      </c>
      <c r="Q1640" s="161">
        <f t="shared" si="677"/>
        <v>-163.19999999999993</v>
      </c>
      <c r="R1640" s="85"/>
      <c r="S1640" s="86">
        <f t="shared" si="678"/>
        <v>0</v>
      </c>
      <c r="T1640" s="87">
        <f t="shared" si="673"/>
        <v>34</v>
      </c>
    </row>
    <row r="1641" spans="2:21" ht="20.100000000000001" hidden="1" customHeight="1">
      <c r="B1641" s="77">
        <v>12</v>
      </c>
      <c r="C1641" s="78" t="s">
        <v>3047</v>
      </c>
      <c r="D1641" s="79" t="s">
        <v>3082</v>
      </c>
      <c r="E1641" s="80" t="s">
        <v>3083</v>
      </c>
      <c r="F1641" s="81">
        <v>20.399999999999999</v>
      </c>
      <c r="G1641" s="222">
        <v>54</v>
      </c>
      <c r="H1641" s="186"/>
      <c r="I1641" s="186"/>
      <c r="J1641" s="308"/>
      <c r="K1641" s="227">
        <v>5</v>
      </c>
      <c r="L1641" s="82">
        <f t="shared" si="679"/>
        <v>49</v>
      </c>
      <c r="M1641" s="331">
        <f>12+21+24</f>
        <v>57</v>
      </c>
      <c r="N1641" s="161">
        <f t="shared" si="674"/>
        <v>999.59999999999991</v>
      </c>
      <c r="O1641" s="161">
        <f t="shared" si="675"/>
        <v>1162.8</v>
      </c>
      <c r="P1641" s="187">
        <f t="shared" si="676"/>
        <v>-8</v>
      </c>
      <c r="Q1641" s="161">
        <f t="shared" si="677"/>
        <v>-163.20000000000005</v>
      </c>
      <c r="R1641" s="85"/>
      <c r="S1641" s="86">
        <f t="shared" si="678"/>
        <v>0</v>
      </c>
      <c r="T1641" s="87">
        <f t="shared" si="673"/>
        <v>57</v>
      </c>
    </row>
    <row r="1642" spans="2:21" ht="20.100000000000001" hidden="1" customHeight="1">
      <c r="B1642" s="77">
        <v>12</v>
      </c>
      <c r="C1642" s="78" t="s">
        <v>3047</v>
      </c>
      <c r="D1642" s="79" t="s">
        <v>3084</v>
      </c>
      <c r="E1642" s="80" t="s">
        <v>3085</v>
      </c>
      <c r="F1642" s="315">
        <v>27.85</v>
      </c>
      <c r="G1642" s="222">
        <v>27</v>
      </c>
      <c r="H1642" s="186"/>
      <c r="I1642" s="186"/>
      <c r="J1642" s="308"/>
      <c r="K1642" s="227">
        <v>18</v>
      </c>
      <c r="L1642" s="82">
        <f t="shared" si="679"/>
        <v>9</v>
      </c>
      <c r="M1642" s="331">
        <v>9</v>
      </c>
      <c r="N1642" s="161">
        <f t="shared" ref="N1642:N1707" si="680">F1642*L1642</f>
        <v>250.65</v>
      </c>
      <c r="O1642" s="161">
        <f t="shared" ref="O1642:O1707" si="681">M1642*F1642</f>
        <v>250.65</v>
      </c>
      <c r="P1642" s="187">
        <f t="shared" ref="P1642:P1707" si="682">L1642-M1642</f>
        <v>0</v>
      </c>
      <c r="Q1642" s="161">
        <f t="shared" ref="Q1642:Q1707" si="683">N1642-O1642</f>
        <v>0</v>
      </c>
      <c r="R1642" s="85"/>
      <c r="S1642" s="86">
        <f t="shared" ref="S1642:S1707" si="684">U1642+Y1642+W1642+AA1642</f>
        <v>0</v>
      </c>
      <c r="T1642" s="87">
        <f t="shared" ref="T1642:T1706" si="685">M1642-S1642</f>
        <v>9</v>
      </c>
    </row>
    <row r="1643" spans="2:21" ht="20.100000000000001" hidden="1" customHeight="1">
      <c r="B1643" s="77">
        <v>12</v>
      </c>
      <c r="C1643" s="78" t="s">
        <v>3047</v>
      </c>
      <c r="D1643" s="79" t="s">
        <v>3086</v>
      </c>
      <c r="E1643" s="80" t="s">
        <v>3087</v>
      </c>
      <c r="F1643" s="81">
        <v>27.3</v>
      </c>
      <c r="G1643" s="222"/>
      <c r="H1643" s="186"/>
      <c r="I1643" s="186"/>
      <c r="J1643" s="308"/>
      <c r="K1643" s="227"/>
      <c r="L1643" s="82">
        <f t="shared" si="679"/>
        <v>0</v>
      </c>
      <c r="M1643" s="331"/>
      <c r="N1643" s="161">
        <f t="shared" si="680"/>
        <v>0</v>
      </c>
      <c r="O1643" s="161">
        <f t="shared" si="681"/>
        <v>0</v>
      </c>
      <c r="P1643" s="187">
        <f t="shared" si="682"/>
        <v>0</v>
      </c>
      <c r="Q1643" s="161">
        <f t="shared" si="683"/>
        <v>0</v>
      </c>
      <c r="R1643" s="85"/>
      <c r="S1643" s="86">
        <f t="shared" si="684"/>
        <v>0</v>
      </c>
      <c r="T1643" s="87">
        <f t="shared" si="685"/>
        <v>0</v>
      </c>
    </row>
    <row r="1644" spans="2:21" ht="20.100000000000001" customHeight="1">
      <c r="B1644" s="77">
        <v>12</v>
      </c>
      <c r="C1644" s="78" t="s">
        <v>3047</v>
      </c>
      <c r="D1644" s="79" t="s">
        <v>3088</v>
      </c>
      <c r="E1644" s="80" t="s">
        <v>3089</v>
      </c>
      <c r="F1644" s="81">
        <v>27.3</v>
      </c>
      <c r="G1644" s="222">
        <v>73</v>
      </c>
      <c r="H1644" s="186"/>
      <c r="I1644" s="186"/>
      <c r="J1644" s="308"/>
      <c r="K1644" s="227">
        <v>2</v>
      </c>
      <c r="L1644" s="82">
        <f t="shared" si="679"/>
        <v>71</v>
      </c>
      <c r="M1644" s="331">
        <f>24+23</f>
        <v>47</v>
      </c>
      <c r="N1644" s="161">
        <f t="shared" si="680"/>
        <v>1938.3</v>
      </c>
      <c r="O1644" s="161">
        <f t="shared" si="681"/>
        <v>1283.1000000000001</v>
      </c>
      <c r="P1644" s="187">
        <f t="shared" si="682"/>
        <v>24</v>
      </c>
      <c r="Q1644" s="161">
        <f t="shared" si="683"/>
        <v>655.19999999999982</v>
      </c>
      <c r="R1644" s="196" t="s">
        <v>5541</v>
      </c>
      <c r="S1644" s="86">
        <f t="shared" si="684"/>
        <v>0</v>
      </c>
      <c r="T1644" s="87">
        <f t="shared" si="685"/>
        <v>47</v>
      </c>
    </row>
    <row r="1645" spans="2:21" ht="20.100000000000001" hidden="1" customHeight="1">
      <c r="B1645" s="77">
        <v>12</v>
      </c>
      <c r="C1645" s="78" t="s">
        <v>3047</v>
      </c>
      <c r="D1645" s="79" t="s">
        <v>3088</v>
      </c>
      <c r="E1645" s="80" t="s">
        <v>3089</v>
      </c>
      <c r="F1645" s="81">
        <v>27.3</v>
      </c>
      <c r="G1645" s="222"/>
      <c r="H1645" s="186"/>
      <c r="I1645" s="186"/>
      <c r="J1645" s="308"/>
      <c r="K1645" s="227"/>
      <c r="L1645" s="82">
        <f t="shared" si="679"/>
        <v>0</v>
      </c>
      <c r="M1645" s="331"/>
      <c r="N1645" s="161">
        <f t="shared" si="680"/>
        <v>0</v>
      </c>
      <c r="O1645" s="161">
        <f t="shared" si="681"/>
        <v>0</v>
      </c>
      <c r="P1645" s="187">
        <f t="shared" si="682"/>
        <v>0</v>
      </c>
      <c r="Q1645" s="161">
        <f t="shared" si="683"/>
        <v>0</v>
      </c>
      <c r="R1645" s="85"/>
      <c r="S1645" s="86">
        <f t="shared" si="684"/>
        <v>0</v>
      </c>
      <c r="T1645" s="87">
        <f t="shared" si="685"/>
        <v>0</v>
      </c>
    </row>
    <row r="1646" spans="2:21" ht="20.100000000000001" hidden="1" customHeight="1">
      <c r="B1646" s="77">
        <v>12</v>
      </c>
      <c r="C1646" s="78" t="s">
        <v>3047</v>
      </c>
      <c r="D1646" s="79" t="s">
        <v>3090</v>
      </c>
      <c r="E1646" s="80" t="s">
        <v>3091</v>
      </c>
      <c r="F1646" s="81">
        <v>20.399999999999999</v>
      </c>
      <c r="G1646" s="222">
        <v>49</v>
      </c>
      <c r="H1646" s="186"/>
      <c r="I1646" s="186"/>
      <c r="J1646" s="308"/>
      <c r="K1646" s="227">
        <v>2</v>
      </c>
      <c r="L1646" s="82">
        <f t="shared" si="679"/>
        <v>47</v>
      </c>
      <c r="M1646" s="331">
        <v>47</v>
      </c>
      <c r="N1646" s="161">
        <f t="shared" si="680"/>
        <v>958.8</v>
      </c>
      <c r="O1646" s="161">
        <f t="shared" si="681"/>
        <v>958.8</v>
      </c>
      <c r="P1646" s="187">
        <f t="shared" si="682"/>
        <v>0</v>
      </c>
      <c r="Q1646" s="161">
        <f t="shared" si="683"/>
        <v>0</v>
      </c>
      <c r="R1646" s="85"/>
      <c r="S1646" s="86">
        <f t="shared" si="684"/>
        <v>0</v>
      </c>
      <c r="T1646" s="87">
        <f t="shared" si="685"/>
        <v>47</v>
      </c>
    </row>
    <row r="1647" spans="2:21" ht="20.100000000000001" hidden="1" customHeight="1">
      <c r="B1647" s="77">
        <v>12</v>
      </c>
      <c r="C1647" s="78" t="s">
        <v>3047</v>
      </c>
      <c r="D1647" s="79" t="s">
        <v>3092</v>
      </c>
      <c r="E1647" s="80" t="s">
        <v>3093</v>
      </c>
      <c r="F1647" s="81">
        <v>135.44999999999999</v>
      </c>
      <c r="G1647" s="222">
        <v>1</v>
      </c>
      <c r="H1647" s="186"/>
      <c r="I1647" s="186"/>
      <c r="J1647" s="308"/>
      <c r="K1647" s="227"/>
      <c r="L1647" s="82">
        <f t="shared" si="679"/>
        <v>1</v>
      </c>
      <c r="M1647" s="331">
        <v>1</v>
      </c>
      <c r="N1647" s="161">
        <f t="shared" si="680"/>
        <v>135.44999999999999</v>
      </c>
      <c r="O1647" s="161">
        <f t="shared" si="681"/>
        <v>135.44999999999999</v>
      </c>
      <c r="P1647" s="187">
        <f t="shared" si="682"/>
        <v>0</v>
      </c>
      <c r="Q1647" s="161">
        <f t="shared" si="683"/>
        <v>0</v>
      </c>
      <c r="R1647" s="85"/>
      <c r="S1647" s="86">
        <f t="shared" si="684"/>
        <v>0</v>
      </c>
      <c r="T1647" s="87">
        <f t="shared" si="685"/>
        <v>1</v>
      </c>
    </row>
    <row r="1648" spans="2:21" ht="20.100000000000001" hidden="1" customHeight="1">
      <c r="B1648" s="77">
        <v>12</v>
      </c>
      <c r="C1648" s="78" t="s">
        <v>3047</v>
      </c>
      <c r="D1648" s="79" t="s">
        <v>3092</v>
      </c>
      <c r="E1648" s="80" t="s">
        <v>3093</v>
      </c>
      <c r="F1648" s="81">
        <v>135.44999999999999</v>
      </c>
      <c r="G1648" s="222"/>
      <c r="H1648" s="186"/>
      <c r="I1648" s="186"/>
      <c r="J1648" s="308"/>
      <c r="K1648" s="227"/>
      <c r="L1648" s="82">
        <f t="shared" si="679"/>
        <v>0</v>
      </c>
      <c r="M1648" s="331"/>
      <c r="N1648" s="161">
        <f t="shared" si="680"/>
        <v>0</v>
      </c>
      <c r="O1648" s="161">
        <f t="shared" si="681"/>
        <v>0</v>
      </c>
      <c r="P1648" s="187">
        <f t="shared" si="682"/>
        <v>0</v>
      </c>
      <c r="Q1648" s="161">
        <f t="shared" si="683"/>
        <v>0</v>
      </c>
      <c r="R1648" s="85"/>
      <c r="S1648" s="86">
        <f t="shared" si="684"/>
        <v>0</v>
      </c>
      <c r="T1648" s="87">
        <f t="shared" si="685"/>
        <v>0</v>
      </c>
    </row>
    <row r="1649" spans="2:20" ht="20.100000000000001" hidden="1" customHeight="1">
      <c r="B1649" s="77">
        <v>12</v>
      </c>
      <c r="C1649" s="78" t="s">
        <v>3047</v>
      </c>
      <c r="D1649" s="79" t="s">
        <v>3092</v>
      </c>
      <c r="E1649" s="80" t="s">
        <v>3093</v>
      </c>
      <c r="F1649" s="81">
        <v>135.44999999999999</v>
      </c>
      <c r="G1649" s="222"/>
      <c r="H1649" s="186"/>
      <c r="I1649" s="186"/>
      <c r="J1649" s="308"/>
      <c r="K1649" s="227"/>
      <c r="L1649" s="82">
        <f t="shared" si="679"/>
        <v>0</v>
      </c>
      <c r="M1649" s="331"/>
      <c r="N1649" s="161">
        <f t="shared" si="680"/>
        <v>0</v>
      </c>
      <c r="O1649" s="161">
        <f t="shared" si="681"/>
        <v>0</v>
      </c>
      <c r="P1649" s="187">
        <f t="shared" si="682"/>
        <v>0</v>
      </c>
      <c r="Q1649" s="161">
        <f t="shared" si="683"/>
        <v>0</v>
      </c>
      <c r="R1649" s="85"/>
      <c r="S1649" s="86">
        <f t="shared" si="684"/>
        <v>0</v>
      </c>
      <c r="T1649" s="87">
        <f t="shared" si="685"/>
        <v>0</v>
      </c>
    </row>
    <row r="1650" spans="2:20" ht="20.100000000000001" hidden="1" customHeight="1">
      <c r="B1650" s="77">
        <v>12</v>
      </c>
      <c r="C1650" s="78" t="s">
        <v>3047</v>
      </c>
      <c r="D1650" s="79" t="s">
        <v>3094</v>
      </c>
      <c r="E1650" s="80" t="s">
        <v>3095</v>
      </c>
      <c r="F1650" s="81">
        <v>18.559999999999999</v>
      </c>
      <c r="G1650" s="222">
        <v>20</v>
      </c>
      <c r="H1650" s="186"/>
      <c r="I1650" s="186"/>
      <c r="J1650" s="308"/>
      <c r="K1650" s="227">
        <v>1</v>
      </c>
      <c r="L1650" s="82">
        <f t="shared" si="679"/>
        <v>19</v>
      </c>
      <c r="M1650" s="331">
        <v>19</v>
      </c>
      <c r="N1650" s="161">
        <f t="shared" si="680"/>
        <v>352.64</v>
      </c>
      <c r="O1650" s="161">
        <f t="shared" si="681"/>
        <v>352.64</v>
      </c>
      <c r="P1650" s="187">
        <f t="shared" si="682"/>
        <v>0</v>
      </c>
      <c r="Q1650" s="161">
        <f t="shared" si="683"/>
        <v>0</v>
      </c>
      <c r="R1650" s="85"/>
      <c r="S1650" s="86">
        <f t="shared" si="684"/>
        <v>0</v>
      </c>
      <c r="T1650" s="87">
        <f t="shared" si="685"/>
        <v>19</v>
      </c>
    </row>
    <row r="1651" spans="2:20" ht="20.100000000000001" hidden="1" customHeight="1">
      <c r="B1651" s="77">
        <v>12</v>
      </c>
      <c r="C1651" s="78" t="s">
        <v>3047</v>
      </c>
      <c r="D1651" s="79" t="s">
        <v>3096</v>
      </c>
      <c r="E1651" s="80" t="s">
        <v>3097</v>
      </c>
      <c r="F1651" s="81">
        <v>18.2</v>
      </c>
      <c r="G1651" s="222">
        <v>5</v>
      </c>
      <c r="H1651" s="186"/>
      <c r="I1651" s="186"/>
      <c r="J1651" s="308"/>
      <c r="K1651" s="227"/>
      <c r="L1651" s="82">
        <f t="shared" si="679"/>
        <v>5</v>
      </c>
      <c r="M1651" s="331">
        <v>5</v>
      </c>
      <c r="N1651" s="161">
        <f t="shared" si="680"/>
        <v>91</v>
      </c>
      <c r="O1651" s="161">
        <f t="shared" si="681"/>
        <v>91</v>
      </c>
      <c r="P1651" s="187">
        <f t="shared" si="682"/>
        <v>0</v>
      </c>
      <c r="Q1651" s="161">
        <f t="shared" si="683"/>
        <v>0</v>
      </c>
      <c r="R1651" s="85"/>
      <c r="S1651" s="86">
        <f t="shared" si="684"/>
        <v>0</v>
      </c>
      <c r="T1651" s="87">
        <f t="shared" si="685"/>
        <v>5</v>
      </c>
    </row>
    <row r="1652" spans="2:20" ht="20.100000000000001" hidden="1" customHeight="1">
      <c r="B1652" s="77">
        <v>12</v>
      </c>
      <c r="C1652" s="78" t="s">
        <v>3047</v>
      </c>
      <c r="D1652" s="79" t="s">
        <v>3098</v>
      </c>
      <c r="E1652" s="80" t="s">
        <v>3099</v>
      </c>
      <c r="F1652" s="81">
        <v>9.1</v>
      </c>
      <c r="G1652" s="222"/>
      <c r="H1652" s="186"/>
      <c r="I1652" s="186"/>
      <c r="J1652" s="308"/>
      <c r="K1652" s="227"/>
      <c r="L1652" s="82">
        <f t="shared" ref="L1652:L1715" si="686">G1652+I1652-J1652-K1652+H1652</f>
        <v>0</v>
      </c>
      <c r="M1652" s="331"/>
      <c r="N1652" s="161">
        <f t="shared" si="680"/>
        <v>0</v>
      </c>
      <c r="O1652" s="161">
        <f t="shared" si="681"/>
        <v>0</v>
      </c>
      <c r="P1652" s="187">
        <f t="shared" si="682"/>
        <v>0</v>
      </c>
      <c r="Q1652" s="161">
        <f t="shared" si="683"/>
        <v>0</v>
      </c>
      <c r="R1652" s="85"/>
      <c r="S1652" s="86">
        <f t="shared" si="684"/>
        <v>0</v>
      </c>
      <c r="T1652" s="87">
        <f t="shared" si="685"/>
        <v>0</v>
      </c>
    </row>
    <row r="1653" spans="2:20" ht="20.100000000000001" customHeight="1">
      <c r="B1653" s="77">
        <v>12</v>
      </c>
      <c r="C1653" s="78" t="s">
        <v>3047</v>
      </c>
      <c r="D1653" s="79" t="s">
        <v>3100</v>
      </c>
      <c r="E1653" s="80" t="s">
        <v>3101</v>
      </c>
      <c r="F1653" s="81">
        <v>23.15</v>
      </c>
      <c r="G1653" s="222">
        <v>39</v>
      </c>
      <c r="H1653" s="186"/>
      <c r="I1653" s="186"/>
      <c r="J1653" s="308"/>
      <c r="K1653" s="227">
        <v>4</v>
      </c>
      <c r="L1653" s="82">
        <f t="shared" si="686"/>
        <v>35</v>
      </c>
      <c r="M1653" s="331">
        <f>5+16</f>
        <v>21</v>
      </c>
      <c r="N1653" s="161">
        <f t="shared" si="680"/>
        <v>810.25</v>
      </c>
      <c r="O1653" s="161">
        <f t="shared" si="681"/>
        <v>486.15</v>
      </c>
      <c r="P1653" s="187">
        <f t="shared" si="682"/>
        <v>14</v>
      </c>
      <c r="Q1653" s="161">
        <f t="shared" si="683"/>
        <v>324.10000000000002</v>
      </c>
      <c r="R1653" s="85"/>
      <c r="S1653" s="86">
        <f t="shared" si="684"/>
        <v>0</v>
      </c>
      <c r="T1653" s="87">
        <f t="shared" si="685"/>
        <v>21</v>
      </c>
    </row>
    <row r="1654" spans="2:20" ht="20.100000000000001" customHeight="1">
      <c r="B1654" s="77">
        <v>12</v>
      </c>
      <c r="C1654" s="78" t="s">
        <v>3047</v>
      </c>
      <c r="D1654" s="79" t="s">
        <v>3102</v>
      </c>
      <c r="E1654" s="80" t="s">
        <v>3103</v>
      </c>
      <c r="F1654" s="81">
        <v>250</v>
      </c>
      <c r="G1654" s="222">
        <v>1</v>
      </c>
      <c r="H1654" s="186"/>
      <c r="I1654" s="186"/>
      <c r="J1654" s="308"/>
      <c r="K1654" s="227"/>
      <c r="L1654" s="82">
        <f t="shared" si="686"/>
        <v>1</v>
      </c>
      <c r="M1654" s="331">
        <v>0</v>
      </c>
      <c r="N1654" s="161">
        <f t="shared" si="680"/>
        <v>250</v>
      </c>
      <c r="O1654" s="161">
        <f t="shared" si="681"/>
        <v>0</v>
      </c>
      <c r="P1654" s="187">
        <f t="shared" si="682"/>
        <v>1</v>
      </c>
      <c r="Q1654" s="161">
        <f t="shared" si="683"/>
        <v>250</v>
      </c>
      <c r="R1654" s="196" t="s">
        <v>5541</v>
      </c>
      <c r="S1654" s="86">
        <f t="shared" si="684"/>
        <v>0</v>
      </c>
      <c r="T1654" s="87">
        <f t="shared" si="685"/>
        <v>0</v>
      </c>
    </row>
    <row r="1655" spans="2:20" ht="20.100000000000001" hidden="1" customHeight="1">
      <c r="B1655" s="77">
        <v>12</v>
      </c>
      <c r="C1655" s="78" t="s">
        <v>3047</v>
      </c>
      <c r="D1655" s="79" t="s">
        <v>3104</v>
      </c>
      <c r="E1655" s="80" t="s">
        <v>3105</v>
      </c>
      <c r="F1655" s="81">
        <v>115.88</v>
      </c>
      <c r="G1655" s="222">
        <v>3</v>
      </c>
      <c r="H1655" s="186"/>
      <c r="I1655" s="186"/>
      <c r="J1655" s="308"/>
      <c r="K1655" s="227"/>
      <c r="L1655" s="82">
        <f t="shared" si="686"/>
        <v>3</v>
      </c>
      <c r="M1655" s="331">
        <v>3</v>
      </c>
      <c r="N1655" s="161">
        <f t="shared" si="680"/>
        <v>347.64</v>
      </c>
      <c r="O1655" s="161">
        <f t="shared" si="681"/>
        <v>347.64</v>
      </c>
      <c r="P1655" s="187">
        <f t="shared" si="682"/>
        <v>0</v>
      </c>
      <c r="Q1655" s="161">
        <f t="shared" si="683"/>
        <v>0</v>
      </c>
      <c r="R1655" s="85"/>
      <c r="S1655" s="86">
        <f t="shared" si="684"/>
        <v>0</v>
      </c>
      <c r="T1655" s="87">
        <f t="shared" si="685"/>
        <v>3</v>
      </c>
    </row>
    <row r="1656" spans="2:20" ht="20.100000000000001" hidden="1" customHeight="1">
      <c r="B1656" s="77">
        <v>12</v>
      </c>
      <c r="C1656" s="78" t="s">
        <v>3047</v>
      </c>
      <c r="D1656" s="79" t="s">
        <v>3106</v>
      </c>
      <c r="E1656" s="80" t="s">
        <v>3107</v>
      </c>
      <c r="F1656" s="81">
        <v>250</v>
      </c>
      <c r="G1656" s="222">
        <v>1</v>
      </c>
      <c r="H1656" s="186"/>
      <c r="I1656" s="186"/>
      <c r="J1656" s="308"/>
      <c r="K1656" s="227"/>
      <c r="L1656" s="82">
        <f t="shared" si="686"/>
        <v>1</v>
      </c>
      <c r="M1656" s="331">
        <v>1</v>
      </c>
      <c r="N1656" s="161">
        <f t="shared" si="680"/>
        <v>250</v>
      </c>
      <c r="O1656" s="161">
        <f t="shared" si="681"/>
        <v>250</v>
      </c>
      <c r="P1656" s="187">
        <f t="shared" si="682"/>
        <v>0</v>
      </c>
      <c r="Q1656" s="161">
        <f t="shared" si="683"/>
        <v>0</v>
      </c>
      <c r="R1656" s="85"/>
      <c r="S1656" s="86">
        <f t="shared" si="684"/>
        <v>0</v>
      </c>
      <c r="T1656" s="87">
        <f t="shared" si="685"/>
        <v>1</v>
      </c>
    </row>
    <row r="1657" spans="2:20" ht="20.100000000000001" hidden="1" customHeight="1">
      <c r="B1657" s="77">
        <v>12</v>
      </c>
      <c r="C1657" s="78" t="s">
        <v>3047</v>
      </c>
      <c r="D1657" s="79" t="s">
        <v>3703</v>
      </c>
      <c r="E1657" s="80" t="s">
        <v>3687</v>
      </c>
      <c r="F1657" s="81">
        <v>115.87</v>
      </c>
      <c r="G1657" s="222">
        <v>3</v>
      </c>
      <c r="H1657" s="186"/>
      <c r="I1657" s="186"/>
      <c r="J1657" s="308"/>
      <c r="K1657" s="227"/>
      <c r="L1657" s="82">
        <f t="shared" si="686"/>
        <v>3</v>
      </c>
      <c r="M1657" s="331">
        <v>3</v>
      </c>
      <c r="N1657" s="161">
        <f t="shared" ref="N1657" si="687">F1657*L1657</f>
        <v>347.61</v>
      </c>
      <c r="O1657" s="161">
        <f t="shared" ref="O1657" si="688">M1657*F1657</f>
        <v>347.61</v>
      </c>
      <c r="P1657" s="187">
        <f t="shared" ref="P1657" si="689">L1657-M1657</f>
        <v>0</v>
      </c>
      <c r="Q1657" s="161">
        <f t="shared" ref="Q1657" si="690">N1657-O1657</f>
        <v>0</v>
      </c>
      <c r="R1657" s="85"/>
      <c r="S1657" s="86">
        <f t="shared" ref="S1657" si="691">U1657+Y1657+W1657+AA1657</f>
        <v>0</v>
      </c>
      <c r="T1657" s="87">
        <f t="shared" ref="T1657" si="692">M1657-S1657</f>
        <v>3</v>
      </c>
    </row>
    <row r="1658" spans="2:20" ht="20.100000000000001" hidden="1" customHeight="1">
      <c r="B1658" s="77">
        <v>12</v>
      </c>
      <c r="C1658" s="78" t="s">
        <v>3047</v>
      </c>
      <c r="D1658" s="79" t="s">
        <v>3108</v>
      </c>
      <c r="E1658" s="80" t="s">
        <v>3109</v>
      </c>
      <c r="F1658" s="81">
        <v>97.36</v>
      </c>
      <c r="G1658" s="222">
        <v>2</v>
      </c>
      <c r="H1658" s="186"/>
      <c r="I1658" s="186"/>
      <c r="J1658" s="308"/>
      <c r="K1658" s="227"/>
      <c r="L1658" s="82">
        <f t="shared" si="686"/>
        <v>2</v>
      </c>
      <c r="M1658" s="331">
        <v>2</v>
      </c>
      <c r="N1658" s="161">
        <f t="shared" si="680"/>
        <v>194.72</v>
      </c>
      <c r="O1658" s="161">
        <f t="shared" si="681"/>
        <v>194.72</v>
      </c>
      <c r="P1658" s="187">
        <f t="shared" si="682"/>
        <v>0</v>
      </c>
      <c r="Q1658" s="161">
        <f t="shared" si="683"/>
        <v>0</v>
      </c>
      <c r="R1658" s="85"/>
      <c r="S1658" s="86">
        <f t="shared" si="684"/>
        <v>0</v>
      </c>
      <c r="T1658" s="87">
        <f t="shared" si="685"/>
        <v>2</v>
      </c>
    </row>
    <row r="1659" spans="2:20" ht="20.100000000000001" hidden="1" customHeight="1">
      <c r="B1659" s="77">
        <v>12</v>
      </c>
      <c r="C1659" s="78" t="s">
        <v>3047</v>
      </c>
      <c r="D1659" s="79" t="s">
        <v>3108</v>
      </c>
      <c r="E1659" s="80" t="s">
        <v>3109</v>
      </c>
      <c r="F1659" s="81">
        <v>95.45</v>
      </c>
      <c r="G1659" s="222"/>
      <c r="H1659" s="186"/>
      <c r="I1659" s="186"/>
      <c r="J1659" s="308"/>
      <c r="K1659" s="227"/>
      <c r="L1659" s="82">
        <f t="shared" si="686"/>
        <v>0</v>
      </c>
      <c r="M1659" s="331"/>
      <c r="N1659" s="161">
        <f t="shared" si="680"/>
        <v>0</v>
      </c>
      <c r="O1659" s="161">
        <f t="shared" si="681"/>
        <v>0</v>
      </c>
      <c r="P1659" s="187">
        <f t="shared" si="682"/>
        <v>0</v>
      </c>
      <c r="Q1659" s="161">
        <f t="shared" si="683"/>
        <v>0</v>
      </c>
      <c r="R1659" s="85"/>
      <c r="S1659" s="86">
        <f t="shared" si="684"/>
        <v>0</v>
      </c>
      <c r="T1659" s="87">
        <f t="shared" si="685"/>
        <v>0</v>
      </c>
    </row>
    <row r="1660" spans="2:20" ht="20.100000000000001" hidden="1" customHeight="1">
      <c r="B1660" s="77">
        <v>12</v>
      </c>
      <c r="C1660" s="78" t="s">
        <v>3047</v>
      </c>
      <c r="D1660" s="79" t="s">
        <v>3110</v>
      </c>
      <c r="E1660" s="80" t="s">
        <v>3111</v>
      </c>
      <c r="F1660" s="81">
        <v>97.36</v>
      </c>
      <c r="G1660" s="222">
        <v>2</v>
      </c>
      <c r="H1660" s="186"/>
      <c r="I1660" s="186"/>
      <c r="J1660" s="308"/>
      <c r="K1660" s="227">
        <v>1</v>
      </c>
      <c r="L1660" s="82">
        <f t="shared" si="686"/>
        <v>1</v>
      </c>
      <c r="M1660" s="331">
        <v>1</v>
      </c>
      <c r="N1660" s="161">
        <f t="shared" si="680"/>
        <v>97.36</v>
      </c>
      <c r="O1660" s="161">
        <f t="shared" si="681"/>
        <v>97.36</v>
      </c>
      <c r="P1660" s="187">
        <f t="shared" si="682"/>
        <v>0</v>
      </c>
      <c r="Q1660" s="161">
        <f t="shared" si="683"/>
        <v>0</v>
      </c>
      <c r="R1660" s="85"/>
      <c r="S1660" s="86">
        <f t="shared" si="684"/>
        <v>0</v>
      </c>
      <c r="T1660" s="87">
        <f t="shared" si="685"/>
        <v>1</v>
      </c>
    </row>
    <row r="1661" spans="2:20" ht="20.100000000000001" hidden="1" customHeight="1">
      <c r="B1661" s="77">
        <v>12</v>
      </c>
      <c r="C1661" s="78" t="s">
        <v>3047</v>
      </c>
      <c r="D1661" s="79" t="s">
        <v>3112</v>
      </c>
      <c r="E1661" s="80" t="s">
        <v>3113</v>
      </c>
      <c r="F1661" s="81">
        <v>97.36</v>
      </c>
      <c r="G1661" s="222">
        <v>3</v>
      </c>
      <c r="H1661" s="186"/>
      <c r="I1661" s="186"/>
      <c r="J1661" s="308"/>
      <c r="K1661" s="227"/>
      <c r="L1661" s="82">
        <f t="shared" si="686"/>
        <v>3</v>
      </c>
      <c r="M1661" s="331">
        <v>3</v>
      </c>
      <c r="N1661" s="161">
        <f t="shared" si="680"/>
        <v>292.08</v>
      </c>
      <c r="O1661" s="161">
        <f t="shared" si="681"/>
        <v>292.08</v>
      </c>
      <c r="P1661" s="187">
        <f t="shared" si="682"/>
        <v>0</v>
      </c>
      <c r="Q1661" s="161">
        <f t="shared" si="683"/>
        <v>0</v>
      </c>
      <c r="R1661" s="85"/>
      <c r="S1661" s="86">
        <f t="shared" si="684"/>
        <v>0</v>
      </c>
      <c r="T1661" s="87">
        <f t="shared" si="685"/>
        <v>3</v>
      </c>
    </row>
    <row r="1662" spans="2:20" ht="20.100000000000001" hidden="1" customHeight="1">
      <c r="B1662" s="77">
        <v>12</v>
      </c>
      <c r="C1662" s="78" t="s">
        <v>3047</v>
      </c>
      <c r="D1662" s="79" t="s">
        <v>3807</v>
      </c>
      <c r="E1662" s="80" t="s">
        <v>3794</v>
      </c>
      <c r="F1662" s="81">
        <v>97.36</v>
      </c>
      <c r="G1662" s="222">
        <v>2</v>
      </c>
      <c r="H1662" s="186"/>
      <c r="I1662" s="186"/>
      <c r="J1662" s="308"/>
      <c r="K1662" s="227"/>
      <c r="L1662" s="82">
        <f t="shared" si="686"/>
        <v>2</v>
      </c>
      <c r="M1662" s="331">
        <v>2</v>
      </c>
      <c r="N1662" s="161">
        <f t="shared" ref="N1662:N1663" si="693">F1662*L1662</f>
        <v>194.72</v>
      </c>
      <c r="O1662" s="161">
        <f t="shared" ref="O1662:O1663" si="694">M1662*F1662</f>
        <v>194.72</v>
      </c>
      <c r="P1662" s="187">
        <f t="shared" ref="P1662:P1663" si="695">L1662-M1662</f>
        <v>0</v>
      </c>
      <c r="Q1662" s="161">
        <f t="shared" ref="Q1662:Q1663" si="696">N1662-O1662</f>
        <v>0</v>
      </c>
      <c r="R1662" s="85"/>
      <c r="S1662" s="86">
        <f t="shared" ref="S1662:S1663" si="697">U1662+Y1662+W1662+AA1662</f>
        <v>0</v>
      </c>
      <c r="T1662" s="87">
        <f t="shared" ref="T1662:T1663" si="698">M1662-S1662</f>
        <v>2</v>
      </c>
    </row>
    <row r="1663" spans="2:20" ht="20.100000000000001" hidden="1" customHeight="1">
      <c r="B1663" s="77">
        <v>12</v>
      </c>
      <c r="C1663" s="78" t="s">
        <v>3047</v>
      </c>
      <c r="D1663" s="79" t="s">
        <v>3808</v>
      </c>
      <c r="E1663" s="80" t="s">
        <v>3795</v>
      </c>
      <c r="F1663" s="81">
        <v>115.87</v>
      </c>
      <c r="G1663" s="222">
        <v>2</v>
      </c>
      <c r="H1663" s="186"/>
      <c r="I1663" s="186"/>
      <c r="J1663" s="308"/>
      <c r="K1663" s="227">
        <v>1</v>
      </c>
      <c r="L1663" s="82">
        <f t="shared" si="686"/>
        <v>1</v>
      </c>
      <c r="M1663" s="331">
        <v>1</v>
      </c>
      <c r="N1663" s="161">
        <f t="shared" si="693"/>
        <v>115.87</v>
      </c>
      <c r="O1663" s="161">
        <f t="shared" si="694"/>
        <v>115.87</v>
      </c>
      <c r="P1663" s="187">
        <f t="shared" si="695"/>
        <v>0</v>
      </c>
      <c r="Q1663" s="161">
        <f t="shared" si="696"/>
        <v>0</v>
      </c>
      <c r="R1663" s="85"/>
      <c r="S1663" s="86">
        <f t="shared" si="697"/>
        <v>0</v>
      </c>
      <c r="T1663" s="87">
        <f t="shared" si="698"/>
        <v>1</v>
      </c>
    </row>
    <row r="1664" spans="2:20" ht="20.100000000000001" hidden="1" customHeight="1">
      <c r="B1664" s="77">
        <v>12</v>
      </c>
      <c r="C1664" s="78" t="s">
        <v>3047</v>
      </c>
      <c r="D1664" s="79" t="s">
        <v>3114</v>
      </c>
      <c r="E1664" s="80" t="s">
        <v>3115</v>
      </c>
      <c r="F1664" s="81">
        <v>113.6</v>
      </c>
      <c r="G1664" s="222"/>
      <c r="H1664" s="186"/>
      <c r="I1664" s="186"/>
      <c r="J1664" s="308"/>
      <c r="K1664" s="227"/>
      <c r="L1664" s="82">
        <f t="shared" si="686"/>
        <v>0</v>
      </c>
      <c r="M1664" s="331"/>
      <c r="N1664" s="161">
        <f t="shared" si="680"/>
        <v>0</v>
      </c>
      <c r="O1664" s="161">
        <f t="shared" si="681"/>
        <v>0</v>
      </c>
      <c r="P1664" s="187">
        <f t="shared" si="682"/>
        <v>0</v>
      </c>
      <c r="Q1664" s="161">
        <f t="shared" si="683"/>
        <v>0</v>
      </c>
      <c r="R1664" s="85"/>
      <c r="S1664" s="86">
        <f t="shared" si="684"/>
        <v>0</v>
      </c>
      <c r="T1664" s="87">
        <f t="shared" si="685"/>
        <v>0</v>
      </c>
    </row>
    <row r="1665" spans="2:20" ht="20.100000000000001" hidden="1" customHeight="1">
      <c r="B1665" s="77">
        <v>12</v>
      </c>
      <c r="C1665" s="78" t="s">
        <v>3047</v>
      </c>
      <c r="D1665" s="79" t="s">
        <v>3116</v>
      </c>
      <c r="E1665" s="80" t="s">
        <v>3117</v>
      </c>
      <c r="F1665" s="81">
        <v>250</v>
      </c>
      <c r="G1665" s="222"/>
      <c r="H1665" s="186"/>
      <c r="I1665" s="186"/>
      <c r="J1665" s="308"/>
      <c r="K1665" s="227"/>
      <c r="L1665" s="82">
        <f t="shared" si="686"/>
        <v>0</v>
      </c>
      <c r="M1665" s="331"/>
      <c r="N1665" s="161">
        <f t="shared" si="680"/>
        <v>0</v>
      </c>
      <c r="O1665" s="161">
        <f t="shared" si="681"/>
        <v>0</v>
      </c>
      <c r="P1665" s="187">
        <f t="shared" si="682"/>
        <v>0</v>
      </c>
      <c r="Q1665" s="161">
        <f t="shared" si="683"/>
        <v>0</v>
      </c>
      <c r="R1665" s="85"/>
      <c r="S1665" s="86">
        <f t="shared" si="684"/>
        <v>0</v>
      </c>
      <c r="T1665" s="87">
        <f t="shared" si="685"/>
        <v>0</v>
      </c>
    </row>
    <row r="1666" spans="2:20" ht="20.100000000000001" hidden="1" customHeight="1">
      <c r="B1666" s="77">
        <v>12</v>
      </c>
      <c r="C1666" s="78" t="s">
        <v>3047</v>
      </c>
      <c r="D1666" s="79" t="s">
        <v>3116</v>
      </c>
      <c r="E1666" s="80" t="s">
        <v>3117</v>
      </c>
      <c r="F1666" s="81">
        <v>250</v>
      </c>
      <c r="G1666" s="222"/>
      <c r="H1666" s="186"/>
      <c r="I1666" s="186"/>
      <c r="J1666" s="308"/>
      <c r="K1666" s="227"/>
      <c r="L1666" s="82">
        <f t="shared" si="686"/>
        <v>0</v>
      </c>
      <c r="M1666" s="331"/>
      <c r="N1666" s="161">
        <f t="shared" si="680"/>
        <v>0</v>
      </c>
      <c r="O1666" s="161">
        <f t="shared" si="681"/>
        <v>0</v>
      </c>
      <c r="P1666" s="187">
        <f t="shared" si="682"/>
        <v>0</v>
      </c>
      <c r="Q1666" s="161">
        <f t="shared" si="683"/>
        <v>0</v>
      </c>
      <c r="R1666" s="85"/>
      <c r="S1666" s="86">
        <f t="shared" si="684"/>
        <v>0</v>
      </c>
      <c r="T1666" s="87">
        <f t="shared" si="685"/>
        <v>0</v>
      </c>
    </row>
    <row r="1667" spans="2:20" ht="20.100000000000001" hidden="1" customHeight="1">
      <c r="B1667" s="77">
        <v>12</v>
      </c>
      <c r="C1667" s="78" t="s">
        <v>3047</v>
      </c>
      <c r="D1667" s="79" t="s">
        <v>3118</v>
      </c>
      <c r="E1667" s="80" t="s">
        <v>3119</v>
      </c>
      <c r="F1667" s="81">
        <v>227.51</v>
      </c>
      <c r="G1667" s="222"/>
      <c r="H1667" s="186"/>
      <c r="I1667" s="186"/>
      <c r="J1667" s="308"/>
      <c r="K1667" s="227"/>
      <c r="L1667" s="82">
        <f t="shared" si="686"/>
        <v>0</v>
      </c>
      <c r="M1667" s="331"/>
      <c r="N1667" s="161">
        <f t="shared" si="680"/>
        <v>0</v>
      </c>
      <c r="O1667" s="161">
        <f t="shared" si="681"/>
        <v>0</v>
      </c>
      <c r="P1667" s="187">
        <f t="shared" si="682"/>
        <v>0</v>
      </c>
      <c r="Q1667" s="161">
        <f t="shared" si="683"/>
        <v>0</v>
      </c>
      <c r="R1667" s="85"/>
      <c r="S1667" s="86">
        <f t="shared" si="684"/>
        <v>0</v>
      </c>
      <c r="T1667" s="87">
        <f t="shared" si="685"/>
        <v>0</v>
      </c>
    </row>
    <row r="1668" spans="2:20" ht="20.100000000000001" hidden="1" customHeight="1">
      <c r="B1668" s="77">
        <v>12</v>
      </c>
      <c r="C1668" s="78" t="s">
        <v>3047</v>
      </c>
      <c r="D1668" s="79" t="s">
        <v>3120</v>
      </c>
      <c r="E1668" s="80" t="s">
        <v>3121</v>
      </c>
      <c r="F1668" s="81">
        <v>227.51</v>
      </c>
      <c r="G1668" s="222">
        <v>2</v>
      </c>
      <c r="H1668" s="186"/>
      <c r="I1668" s="186"/>
      <c r="J1668" s="308"/>
      <c r="K1668" s="227"/>
      <c r="L1668" s="82">
        <f t="shared" si="686"/>
        <v>2</v>
      </c>
      <c r="M1668" s="331">
        <v>2</v>
      </c>
      <c r="N1668" s="161">
        <f t="shared" si="680"/>
        <v>455.02</v>
      </c>
      <c r="O1668" s="161">
        <f t="shared" si="681"/>
        <v>455.02</v>
      </c>
      <c r="P1668" s="187">
        <f t="shared" si="682"/>
        <v>0</v>
      </c>
      <c r="Q1668" s="161">
        <f t="shared" si="683"/>
        <v>0</v>
      </c>
      <c r="R1668" s="85"/>
      <c r="S1668" s="86">
        <f t="shared" si="684"/>
        <v>0</v>
      </c>
      <c r="T1668" s="87">
        <f t="shared" si="685"/>
        <v>2</v>
      </c>
    </row>
    <row r="1669" spans="2:20" ht="20.100000000000001" hidden="1" customHeight="1">
      <c r="B1669" s="77">
        <v>12</v>
      </c>
      <c r="C1669" s="78" t="s">
        <v>3047</v>
      </c>
      <c r="D1669" s="79" t="s">
        <v>3120</v>
      </c>
      <c r="E1669" s="80" t="s">
        <v>3121</v>
      </c>
      <c r="F1669" s="81">
        <v>231.8</v>
      </c>
      <c r="G1669" s="222"/>
      <c r="H1669" s="186"/>
      <c r="I1669" s="186"/>
      <c r="J1669" s="308"/>
      <c r="K1669" s="227"/>
      <c r="L1669" s="82">
        <f t="shared" si="686"/>
        <v>0</v>
      </c>
      <c r="M1669" s="331"/>
      <c r="N1669" s="161">
        <f t="shared" si="680"/>
        <v>0</v>
      </c>
      <c r="O1669" s="161">
        <f t="shared" si="681"/>
        <v>0</v>
      </c>
      <c r="P1669" s="187">
        <f t="shared" si="682"/>
        <v>0</v>
      </c>
      <c r="Q1669" s="161">
        <f t="shared" si="683"/>
        <v>0</v>
      </c>
      <c r="R1669" s="85"/>
      <c r="S1669" s="86">
        <f t="shared" si="684"/>
        <v>0</v>
      </c>
      <c r="T1669" s="87">
        <f t="shared" si="685"/>
        <v>0</v>
      </c>
    </row>
    <row r="1670" spans="2:20" ht="20.100000000000001" hidden="1" customHeight="1">
      <c r="B1670" s="77">
        <v>12</v>
      </c>
      <c r="C1670" s="78" t="s">
        <v>3047</v>
      </c>
      <c r="D1670" s="79" t="s">
        <v>3122</v>
      </c>
      <c r="E1670" s="80" t="s">
        <v>3123</v>
      </c>
      <c r="F1670" s="81">
        <v>135.44999999999999</v>
      </c>
      <c r="G1670" s="222"/>
      <c r="H1670" s="186"/>
      <c r="I1670" s="186"/>
      <c r="J1670" s="308"/>
      <c r="K1670" s="227"/>
      <c r="L1670" s="82">
        <f t="shared" si="686"/>
        <v>0</v>
      </c>
      <c r="M1670" s="331"/>
      <c r="N1670" s="161">
        <f t="shared" si="680"/>
        <v>0</v>
      </c>
      <c r="O1670" s="161">
        <f t="shared" si="681"/>
        <v>0</v>
      </c>
      <c r="P1670" s="187">
        <f t="shared" si="682"/>
        <v>0</v>
      </c>
      <c r="Q1670" s="161">
        <f t="shared" si="683"/>
        <v>0</v>
      </c>
      <c r="R1670" s="85"/>
      <c r="S1670" s="86">
        <f t="shared" si="684"/>
        <v>0</v>
      </c>
      <c r="T1670" s="87">
        <f t="shared" si="685"/>
        <v>0</v>
      </c>
    </row>
    <row r="1671" spans="2:20" ht="20.100000000000001" hidden="1" customHeight="1">
      <c r="B1671" s="77">
        <v>12</v>
      </c>
      <c r="C1671" s="78" t="s">
        <v>3047</v>
      </c>
      <c r="D1671" s="79" t="s">
        <v>3124</v>
      </c>
      <c r="E1671" s="80" t="s">
        <v>3125</v>
      </c>
      <c r="F1671" s="81">
        <v>227.51</v>
      </c>
      <c r="G1671" s="222"/>
      <c r="H1671" s="186"/>
      <c r="I1671" s="186"/>
      <c r="J1671" s="308"/>
      <c r="K1671" s="227"/>
      <c r="L1671" s="82">
        <f t="shared" si="686"/>
        <v>0</v>
      </c>
      <c r="M1671" s="331"/>
      <c r="N1671" s="161">
        <f t="shared" si="680"/>
        <v>0</v>
      </c>
      <c r="O1671" s="161">
        <f t="shared" si="681"/>
        <v>0</v>
      </c>
      <c r="P1671" s="187">
        <f t="shared" si="682"/>
        <v>0</v>
      </c>
      <c r="Q1671" s="161">
        <f t="shared" si="683"/>
        <v>0</v>
      </c>
      <c r="R1671" s="85"/>
      <c r="S1671" s="86">
        <f t="shared" si="684"/>
        <v>0</v>
      </c>
      <c r="T1671" s="87">
        <f t="shared" si="685"/>
        <v>0</v>
      </c>
    </row>
    <row r="1672" spans="2:20" ht="20.100000000000001" hidden="1" customHeight="1">
      <c r="B1672" s="77">
        <v>12</v>
      </c>
      <c r="C1672" s="78" t="s">
        <v>3047</v>
      </c>
      <c r="D1672" s="79" t="s">
        <v>3126</v>
      </c>
      <c r="E1672" s="80" t="s">
        <v>3127</v>
      </c>
      <c r="F1672" s="81">
        <v>140.9</v>
      </c>
      <c r="G1672" s="222"/>
      <c r="H1672" s="186"/>
      <c r="I1672" s="186"/>
      <c r="J1672" s="308"/>
      <c r="K1672" s="227"/>
      <c r="L1672" s="82">
        <f t="shared" si="686"/>
        <v>0</v>
      </c>
      <c r="M1672" s="331">
        <v>0</v>
      </c>
      <c r="N1672" s="161">
        <f t="shared" si="680"/>
        <v>0</v>
      </c>
      <c r="O1672" s="161">
        <f t="shared" si="681"/>
        <v>0</v>
      </c>
      <c r="P1672" s="187">
        <f t="shared" si="682"/>
        <v>0</v>
      </c>
      <c r="Q1672" s="161">
        <f t="shared" si="683"/>
        <v>0</v>
      </c>
      <c r="R1672" s="85"/>
      <c r="S1672" s="86">
        <f t="shared" si="684"/>
        <v>0</v>
      </c>
      <c r="T1672" s="87">
        <f t="shared" si="685"/>
        <v>0</v>
      </c>
    </row>
    <row r="1673" spans="2:20" ht="20.100000000000001" hidden="1" customHeight="1">
      <c r="B1673" s="77">
        <v>12</v>
      </c>
      <c r="C1673" s="78" t="s">
        <v>3047</v>
      </c>
      <c r="D1673" s="79" t="s">
        <v>3128</v>
      </c>
      <c r="E1673" s="80" t="s">
        <v>3129</v>
      </c>
      <c r="F1673" s="81">
        <v>250</v>
      </c>
      <c r="G1673" s="222"/>
      <c r="H1673" s="186"/>
      <c r="I1673" s="186"/>
      <c r="J1673" s="308"/>
      <c r="K1673" s="227"/>
      <c r="L1673" s="82">
        <f t="shared" si="686"/>
        <v>0</v>
      </c>
      <c r="M1673" s="331">
        <v>0</v>
      </c>
      <c r="N1673" s="161">
        <f t="shared" si="680"/>
        <v>0</v>
      </c>
      <c r="O1673" s="161">
        <f t="shared" si="681"/>
        <v>0</v>
      </c>
      <c r="P1673" s="187">
        <f t="shared" si="682"/>
        <v>0</v>
      </c>
      <c r="Q1673" s="161">
        <f t="shared" si="683"/>
        <v>0</v>
      </c>
      <c r="R1673" s="85"/>
      <c r="S1673" s="86">
        <f t="shared" si="684"/>
        <v>0</v>
      </c>
      <c r="T1673" s="87">
        <f t="shared" si="685"/>
        <v>0</v>
      </c>
    </row>
    <row r="1674" spans="2:20" ht="20.100000000000001" hidden="1" customHeight="1">
      <c r="B1674" s="77">
        <v>12</v>
      </c>
      <c r="C1674" s="78" t="s">
        <v>3047</v>
      </c>
      <c r="D1674" s="79" t="s">
        <v>3128</v>
      </c>
      <c r="E1674" s="80" t="s">
        <v>3129</v>
      </c>
      <c r="F1674" s="81">
        <v>250</v>
      </c>
      <c r="G1674" s="222"/>
      <c r="H1674" s="186"/>
      <c r="I1674" s="186"/>
      <c r="J1674" s="308"/>
      <c r="K1674" s="227"/>
      <c r="L1674" s="82">
        <f t="shared" si="686"/>
        <v>0</v>
      </c>
      <c r="M1674" s="331"/>
      <c r="N1674" s="161">
        <f t="shared" si="680"/>
        <v>0</v>
      </c>
      <c r="O1674" s="161">
        <f t="shared" si="681"/>
        <v>0</v>
      </c>
      <c r="P1674" s="187">
        <f t="shared" si="682"/>
        <v>0</v>
      </c>
      <c r="Q1674" s="161">
        <f t="shared" si="683"/>
        <v>0</v>
      </c>
      <c r="R1674" s="85"/>
      <c r="S1674" s="86">
        <f t="shared" si="684"/>
        <v>0</v>
      </c>
      <c r="T1674" s="87">
        <f t="shared" si="685"/>
        <v>0</v>
      </c>
    </row>
    <row r="1675" spans="2:20" ht="20.100000000000001" hidden="1" customHeight="1">
      <c r="B1675" s="77">
        <v>12</v>
      </c>
      <c r="C1675" s="78" t="s">
        <v>3047</v>
      </c>
      <c r="D1675" s="79" t="s">
        <v>3130</v>
      </c>
      <c r="E1675" s="80" t="s">
        <v>3131</v>
      </c>
      <c r="F1675" s="81">
        <v>227.51</v>
      </c>
      <c r="G1675" s="222">
        <v>2</v>
      </c>
      <c r="H1675" s="186"/>
      <c r="I1675" s="186"/>
      <c r="J1675" s="308"/>
      <c r="K1675" s="227"/>
      <c r="L1675" s="82">
        <f t="shared" si="686"/>
        <v>2</v>
      </c>
      <c r="M1675" s="331">
        <v>2</v>
      </c>
      <c r="N1675" s="161">
        <f t="shared" si="680"/>
        <v>455.02</v>
      </c>
      <c r="O1675" s="161">
        <f t="shared" si="681"/>
        <v>455.02</v>
      </c>
      <c r="P1675" s="187">
        <f t="shared" si="682"/>
        <v>0</v>
      </c>
      <c r="Q1675" s="161">
        <f t="shared" si="683"/>
        <v>0</v>
      </c>
      <c r="R1675" s="85"/>
      <c r="S1675" s="86">
        <f t="shared" si="684"/>
        <v>0</v>
      </c>
      <c r="T1675" s="87">
        <f t="shared" si="685"/>
        <v>2</v>
      </c>
    </row>
    <row r="1676" spans="2:20" ht="20.100000000000001" hidden="1" customHeight="1">
      <c r="B1676" s="77">
        <v>12</v>
      </c>
      <c r="C1676" s="78" t="s">
        <v>3047</v>
      </c>
      <c r="D1676" s="79" t="s">
        <v>3130</v>
      </c>
      <c r="E1676" s="80" t="s">
        <v>3131</v>
      </c>
      <c r="F1676" s="81">
        <v>231.8</v>
      </c>
      <c r="G1676" s="222"/>
      <c r="H1676" s="186"/>
      <c r="I1676" s="186"/>
      <c r="J1676" s="308"/>
      <c r="K1676" s="227"/>
      <c r="L1676" s="82">
        <f t="shared" si="686"/>
        <v>0</v>
      </c>
      <c r="M1676" s="331"/>
      <c r="N1676" s="161">
        <f t="shared" si="680"/>
        <v>0</v>
      </c>
      <c r="O1676" s="161">
        <f t="shared" si="681"/>
        <v>0</v>
      </c>
      <c r="P1676" s="187">
        <f t="shared" si="682"/>
        <v>0</v>
      </c>
      <c r="Q1676" s="161">
        <f t="shared" si="683"/>
        <v>0</v>
      </c>
      <c r="R1676" s="85"/>
      <c r="S1676" s="86">
        <f t="shared" si="684"/>
        <v>0</v>
      </c>
      <c r="T1676" s="87">
        <f t="shared" si="685"/>
        <v>0</v>
      </c>
    </row>
    <row r="1677" spans="2:20" ht="20.100000000000001" hidden="1" customHeight="1">
      <c r="B1677" s="77">
        <v>12</v>
      </c>
      <c r="C1677" s="78" t="s">
        <v>3047</v>
      </c>
      <c r="D1677" s="79" t="s">
        <v>3132</v>
      </c>
      <c r="E1677" s="80" t="s">
        <v>3133</v>
      </c>
      <c r="F1677" s="81">
        <v>140.9</v>
      </c>
      <c r="G1677" s="222"/>
      <c r="H1677" s="186"/>
      <c r="I1677" s="186"/>
      <c r="J1677" s="308"/>
      <c r="K1677" s="227"/>
      <c r="L1677" s="82">
        <f t="shared" si="686"/>
        <v>0</v>
      </c>
      <c r="M1677" s="331"/>
      <c r="N1677" s="161">
        <f t="shared" si="680"/>
        <v>0</v>
      </c>
      <c r="O1677" s="161">
        <f t="shared" si="681"/>
        <v>0</v>
      </c>
      <c r="P1677" s="187">
        <f t="shared" si="682"/>
        <v>0</v>
      </c>
      <c r="Q1677" s="161">
        <f t="shared" si="683"/>
        <v>0</v>
      </c>
      <c r="R1677" s="85"/>
      <c r="S1677" s="86">
        <f t="shared" si="684"/>
        <v>0</v>
      </c>
      <c r="T1677" s="87">
        <f t="shared" si="685"/>
        <v>0</v>
      </c>
    </row>
    <row r="1678" spans="2:20" ht="20.100000000000001" hidden="1" customHeight="1">
      <c r="B1678" s="77">
        <v>12</v>
      </c>
      <c r="C1678" s="78" t="s">
        <v>3047</v>
      </c>
      <c r="D1678" s="79" t="s">
        <v>3134</v>
      </c>
      <c r="E1678" s="80" t="s">
        <v>3135</v>
      </c>
      <c r="F1678" s="81">
        <v>135.44999999999999</v>
      </c>
      <c r="G1678" s="222"/>
      <c r="H1678" s="186"/>
      <c r="I1678" s="186"/>
      <c r="J1678" s="308"/>
      <c r="K1678" s="227"/>
      <c r="L1678" s="82">
        <f t="shared" si="686"/>
        <v>0</v>
      </c>
      <c r="M1678" s="331"/>
      <c r="N1678" s="161">
        <f t="shared" si="680"/>
        <v>0</v>
      </c>
      <c r="O1678" s="161">
        <f t="shared" si="681"/>
        <v>0</v>
      </c>
      <c r="P1678" s="187">
        <f t="shared" si="682"/>
        <v>0</v>
      </c>
      <c r="Q1678" s="161">
        <f t="shared" si="683"/>
        <v>0</v>
      </c>
      <c r="R1678" s="85"/>
      <c r="S1678" s="86">
        <f t="shared" si="684"/>
        <v>0</v>
      </c>
      <c r="T1678" s="87">
        <f t="shared" si="685"/>
        <v>0</v>
      </c>
    </row>
    <row r="1679" spans="2:20" ht="20.100000000000001" hidden="1" customHeight="1">
      <c r="B1679" s="77">
        <v>12</v>
      </c>
      <c r="C1679" s="78" t="s">
        <v>3047</v>
      </c>
      <c r="D1679" s="79" t="s">
        <v>3134</v>
      </c>
      <c r="E1679" s="80" t="s">
        <v>3135</v>
      </c>
      <c r="F1679" s="81">
        <v>135.44999999999999</v>
      </c>
      <c r="G1679" s="222"/>
      <c r="H1679" s="186"/>
      <c r="I1679" s="186"/>
      <c r="J1679" s="308"/>
      <c r="K1679" s="227"/>
      <c r="L1679" s="82">
        <f t="shared" si="686"/>
        <v>0</v>
      </c>
      <c r="M1679" s="331"/>
      <c r="N1679" s="161">
        <f t="shared" si="680"/>
        <v>0</v>
      </c>
      <c r="O1679" s="161">
        <f t="shared" si="681"/>
        <v>0</v>
      </c>
      <c r="P1679" s="187">
        <f t="shared" si="682"/>
        <v>0</v>
      </c>
      <c r="Q1679" s="161">
        <f t="shared" si="683"/>
        <v>0</v>
      </c>
      <c r="R1679" s="85"/>
      <c r="S1679" s="86">
        <f t="shared" si="684"/>
        <v>0</v>
      </c>
      <c r="T1679" s="87">
        <f t="shared" si="685"/>
        <v>0</v>
      </c>
    </row>
    <row r="1680" spans="2:20" ht="20.100000000000001" hidden="1" customHeight="1">
      <c r="B1680" s="77">
        <v>12</v>
      </c>
      <c r="C1680" s="78" t="s">
        <v>3047</v>
      </c>
      <c r="D1680" s="95" t="s">
        <v>3136</v>
      </c>
      <c r="E1680" s="80" t="s">
        <v>3137</v>
      </c>
      <c r="F1680" s="81">
        <v>22.7</v>
      </c>
      <c r="G1680" s="222"/>
      <c r="H1680" s="186"/>
      <c r="I1680" s="186"/>
      <c r="J1680" s="308"/>
      <c r="K1680" s="227"/>
      <c r="L1680" s="82">
        <f t="shared" si="686"/>
        <v>0</v>
      </c>
      <c r="M1680" s="331"/>
      <c r="N1680" s="161">
        <f t="shared" si="680"/>
        <v>0</v>
      </c>
      <c r="O1680" s="161">
        <f t="shared" si="681"/>
        <v>0</v>
      </c>
      <c r="P1680" s="187">
        <f t="shared" si="682"/>
        <v>0</v>
      </c>
      <c r="Q1680" s="161">
        <f t="shared" si="683"/>
        <v>0</v>
      </c>
      <c r="R1680" s="85"/>
      <c r="S1680" s="86">
        <f t="shared" si="684"/>
        <v>0</v>
      </c>
      <c r="T1680" s="87">
        <f t="shared" si="685"/>
        <v>0</v>
      </c>
    </row>
    <row r="1681" spans="2:21" ht="20.100000000000001" hidden="1" customHeight="1">
      <c r="B1681" s="77">
        <v>12</v>
      </c>
      <c r="C1681" s="78" t="s">
        <v>3047</v>
      </c>
      <c r="D1681" s="95" t="s">
        <v>3138</v>
      </c>
      <c r="E1681" s="80" t="s">
        <v>3139</v>
      </c>
      <c r="F1681" s="81">
        <v>22.7</v>
      </c>
      <c r="G1681" s="222"/>
      <c r="H1681" s="186"/>
      <c r="I1681" s="186"/>
      <c r="J1681" s="308"/>
      <c r="K1681" s="227"/>
      <c r="L1681" s="82">
        <f t="shared" si="686"/>
        <v>0</v>
      </c>
      <c r="M1681" s="331"/>
      <c r="N1681" s="161">
        <f t="shared" si="680"/>
        <v>0</v>
      </c>
      <c r="O1681" s="161">
        <f t="shared" si="681"/>
        <v>0</v>
      </c>
      <c r="P1681" s="187">
        <f t="shared" si="682"/>
        <v>0</v>
      </c>
      <c r="Q1681" s="161">
        <f t="shared" si="683"/>
        <v>0</v>
      </c>
      <c r="R1681" s="85"/>
      <c r="S1681" s="86">
        <f t="shared" si="684"/>
        <v>0</v>
      </c>
      <c r="T1681" s="87">
        <f t="shared" si="685"/>
        <v>0</v>
      </c>
    </row>
    <row r="1682" spans="2:21" ht="20.100000000000001" customHeight="1">
      <c r="B1682" s="77">
        <v>12</v>
      </c>
      <c r="C1682" s="78" t="s">
        <v>3047</v>
      </c>
      <c r="D1682" s="79" t="s">
        <v>3140</v>
      </c>
      <c r="E1682" s="80" t="s">
        <v>3141</v>
      </c>
      <c r="F1682" s="81">
        <v>22.75</v>
      </c>
      <c r="G1682" s="222">
        <v>11</v>
      </c>
      <c r="H1682" s="186"/>
      <c r="I1682" s="186"/>
      <c r="J1682" s="308"/>
      <c r="K1682" s="227"/>
      <c r="L1682" s="82">
        <f t="shared" si="686"/>
        <v>11</v>
      </c>
      <c r="M1682" s="331">
        <v>0</v>
      </c>
      <c r="N1682" s="161">
        <f t="shared" si="680"/>
        <v>250.25</v>
      </c>
      <c r="O1682" s="161">
        <f t="shared" si="681"/>
        <v>0</v>
      </c>
      <c r="P1682" s="187">
        <f t="shared" si="682"/>
        <v>11</v>
      </c>
      <c r="Q1682" s="161">
        <f t="shared" si="683"/>
        <v>250.25</v>
      </c>
      <c r="R1682" s="196" t="s">
        <v>5542</v>
      </c>
      <c r="S1682" s="86">
        <f t="shared" si="684"/>
        <v>0</v>
      </c>
      <c r="T1682" s="87">
        <f t="shared" si="685"/>
        <v>0</v>
      </c>
    </row>
    <row r="1683" spans="2:21" ht="20.100000000000001" hidden="1" customHeight="1">
      <c r="B1683" s="77">
        <v>12</v>
      </c>
      <c r="C1683" s="78" t="s">
        <v>3047</v>
      </c>
      <c r="D1683" s="79" t="s">
        <v>3142</v>
      </c>
      <c r="E1683" s="80" t="s">
        <v>3143</v>
      </c>
      <c r="F1683" s="81">
        <v>23.21</v>
      </c>
      <c r="G1683" s="222">
        <v>18</v>
      </c>
      <c r="H1683" s="186"/>
      <c r="I1683" s="186"/>
      <c r="J1683" s="308"/>
      <c r="K1683" s="227">
        <v>3</v>
      </c>
      <c r="L1683" s="82">
        <f t="shared" si="686"/>
        <v>15</v>
      </c>
      <c r="M1683" s="331">
        <f>6+9</f>
        <v>15</v>
      </c>
      <c r="N1683" s="161">
        <f t="shared" si="680"/>
        <v>348.15000000000003</v>
      </c>
      <c r="O1683" s="161">
        <f t="shared" si="681"/>
        <v>348.15000000000003</v>
      </c>
      <c r="P1683" s="187">
        <f t="shared" si="682"/>
        <v>0</v>
      </c>
      <c r="Q1683" s="161">
        <f t="shared" si="683"/>
        <v>0</v>
      </c>
      <c r="R1683" s="85"/>
      <c r="S1683" s="86">
        <f t="shared" si="684"/>
        <v>0</v>
      </c>
      <c r="T1683" s="87">
        <f t="shared" si="685"/>
        <v>15</v>
      </c>
    </row>
    <row r="1684" spans="2:21" ht="20.100000000000001" hidden="1" customHeight="1">
      <c r="B1684" s="77">
        <v>12</v>
      </c>
      <c r="C1684" s="78" t="s">
        <v>3047</v>
      </c>
      <c r="D1684" s="79" t="s">
        <v>3733</v>
      </c>
      <c r="E1684" s="80" t="s">
        <v>3734</v>
      </c>
      <c r="F1684" s="81">
        <v>20.399999999999999</v>
      </c>
      <c r="G1684" s="222">
        <v>21</v>
      </c>
      <c r="H1684" s="186"/>
      <c r="I1684" s="186"/>
      <c r="J1684" s="308"/>
      <c r="K1684" s="227">
        <v>9</v>
      </c>
      <c r="L1684" s="82">
        <f t="shared" si="686"/>
        <v>12</v>
      </c>
      <c r="M1684" s="331">
        <v>12</v>
      </c>
      <c r="N1684" s="161">
        <f t="shared" si="680"/>
        <v>244.79999999999998</v>
      </c>
      <c r="O1684" s="161">
        <f t="shared" si="681"/>
        <v>244.79999999999998</v>
      </c>
      <c r="P1684" s="187">
        <f t="shared" si="682"/>
        <v>0</v>
      </c>
      <c r="Q1684" s="161">
        <f t="shared" si="683"/>
        <v>0</v>
      </c>
      <c r="R1684" s="85"/>
      <c r="S1684" s="86">
        <f t="shared" si="684"/>
        <v>0</v>
      </c>
      <c r="T1684" s="87">
        <f t="shared" si="685"/>
        <v>12</v>
      </c>
    </row>
    <row r="1685" spans="2:21" ht="20.100000000000001" customHeight="1">
      <c r="B1685" s="77">
        <v>12</v>
      </c>
      <c r="C1685" s="78" t="s">
        <v>3047</v>
      </c>
      <c r="D1685" s="79" t="s">
        <v>3713</v>
      </c>
      <c r="E1685" s="80" t="s">
        <v>3714</v>
      </c>
      <c r="F1685" s="81">
        <v>9.27</v>
      </c>
      <c r="G1685" s="222">
        <v>28</v>
      </c>
      <c r="H1685" s="186"/>
      <c r="I1685" s="186"/>
      <c r="J1685" s="308"/>
      <c r="K1685" s="227">
        <v>5</v>
      </c>
      <c r="L1685" s="82">
        <f t="shared" si="686"/>
        <v>23</v>
      </c>
      <c r="M1685" s="331">
        <v>18</v>
      </c>
      <c r="N1685" s="161">
        <f t="shared" ref="N1685" si="699">F1685*L1685</f>
        <v>213.20999999999998</v>
      </c>
      <c r="O1685" s="161">
        <f t="shared" ref="O1685" si="700">M1685*F1685</f>
        <v>166.85999999999999</v>
      </c>
      <c r="P1685" s="187">
        <f t="shared" ref="P1685" si="701">L1685-M1685</f>
        <v>5</v>
      </c>
      <c r="Q1685" s="161">
        <f t="shared" ref="Q1685" si="702">N1685-O1685</f>
        <v>46.349999999999994</v>
      </c>
      <c r="R1685" s="85"/>
      <c r="S1685" s="86">
        <f t="shared" ref="S1685" si="703">U1685+Y1685+W1685+AA1685</f>
        <v>0</v>
      </c>
      <c r="T1685" s="87">
        <f t="shared" ref="T1685" si="704">M1685-S1685</f>
        <v>18</v>
      </c>
    </row>
    <row r="1686" spans="2:21" ht="20.100000000000001" hidden="1" customHeight="1">
      <c r="B1686" s="77">
        <v>12</v>
      </c>
      <c r="C1686" s="78" t="s">
        <v>3047</v>
      </c>
      <c r="D1686" s="79" t="s">
        <v>3728</v>
      </c>
      <c r="E1686" s="80" t="s">
        <v>3729</v>
      </c>
      <c r="F1686" s="81">
        <v>9.2799999999999994</v>
      </c>
      <c r="G1686" s="222">
        <v>22</v>
      </c>
      <c r="H1686" s="186"/>
      <c r="I1686" s="186"/>
      <c r="J1686" s="308"/>
      <c r="K1686" s="227">
        <v>3</v>
      </c>
      <c r="L1686" s="82">
        <f t="shared" si="686"/>
        <v>19</v>
      </c>
      <c r="M1686" s="331">
        <v>19</v>
      </c>
      <c r="N1686" s="161">
        <f t="shared" si="680"/>
        <v>176.32</v>
      </c>
      <c r="O1686" s="161">
        <f t="shared" si="681"/>
        <v>176.32</v>
      </c>
      <c r="P1686" s="187">
        <f t="shared" si="682"/>
        <v>0</v>
      </c>
      <c r="Q1686" s="161">
        <f t="shared" si="683"/>
        <v>0</v>
      </c>
      <c r="R1686" s="85"/>
      <c r="S1686" s="86">
        <f t="shared" si="684"/>
        <v>0</v>
      </c>
      <c r="T1686" s="87">
        <f t="shared" si="685"/>
        <v>19</v>
      </c>
    </row>
    <row r="1687" spans="2:21" ht="20.100000000000001" hidden="1" customHeight="1">
      <c r="B1687" s="77">
        <v>13</v>
      </c>
      <c r="C1687" s="78" t="s">
        <v>3144</v>
      </c>
      <c r="D1687" s="79" t="s">
        <v>3145</v>
      </c>
      <c r="E1687" s="80" t="s">
        <v>3146</v>
      </c>
      <c r="F1687" s="81">
        <v>49.75</v>
      </c>
      <c r="G1687" s="222">
        <v>36</v>
      </c>
      <c r="H1687" s="186"/>
      <c r="I1687" s="186"/>
      <c r="J1687" s="308"/>
      <c r="K1687" s="227">
        <v>1</v>
      </c>
      <c r="L1687" s="82">
        <f t="shared" si="686"/>
        <v>35</v>
      </c>
      <c r="M1687" s="331">
        <v>35</v>
      </c>
      <c r="N1687" s="161">
        <f t="shared" si="680"/>
        <v>1741.25</v>
      </c>
      <c r="O1687" s="161">
        <f t="shared" si="681"/>
        <v>1741.25</v>
      </c>
      <c r="P1687" s="187">
        <f t="shared" si="682"/>
        <v>0</v>
      </c>
      <c r="Q1687" s="161">
        <f t="shared" si="683"/>
        <v>0</v>
      </c>
      <c r="R1687" s="85"/>
      <c r="S1687" s="86">
        <f t="shared" si="684"/>
        <v>43</v>
      </c>
      <c r="T1687" s="87">
        <f t="shared" si="685"/>
        <v>-8</v>
      </c>
      <c r="U1687">
        <v>43</v>
      </c>
    </row>
    <row r="1688" spans="2:21" ht="20.100000000000001" hidden="1" customHeight="1">
      <c r="B1688" s="77">
        <v>13</v>
      </c>
      <c r="C1688" s="78" t="s">
        <v>3144</v>
      </c>
      <c r="D1688" s="79" t="s">
        <v>3147</v>
      </c>
      <c r="E1688" s="80" t="s">
        <v>3148</v>
      </c>
      <c r="F1688" s="81">
        <v>23.55</v>
      </c>
      <c r="G1688" s="222"/>
      <c r="H1688" s="186"/>
      <c r="I1688" s="186"/>
      <c r="J1688" s="308"/>
      <c r="K1688" s="227"/>
      <c r="L1688" s="82">
        <f t="shared" si="686"/>
        <v>0</v>
      </c>
      <c r="M1688" s="331"/>
      <c r="N1688" s="161">
        <f t="shared" si="680"/>
        <v>0</v>
      </c>
      <c r="O1688" s="161">
        <f t="shared" si="681"/>
        <v>0</v>
      </c>
      <c r="P1688" s="187">
        <f t="shared" si="682"/>
        <v>0</v>
      </c>
      <c r="Q1688" s="161">
        <f t="shared" si="683"/>
        <v>0</v>
      </c>
      <c r="R1688" s="85"/>
      <c r="S1688" s="86">
        <f t="shared" si="684"/>
        <v>0</v>
      </c>
      <c r="T1688" s="87">
        <f t="shared" si="685"/>
        <v>0</v>
      </c>
    </row>
    <row r="1689" spans="2:21" ht="20.100000000000001" hidden="1" customHeight="1">
      <c r="B1689" s="77">
        <v>13</v>
      </c>
      <c r="C1689" s="78" t="s">
        <v>3144</v>
      </c>
      <c r="D1689" s="79" t="s">
        <v>3149</v>
      </c>
      <c r="E1689" s="80" t="s">
        <v>3150</v>
      </c>
      <c r="F1689" s="193">
        <v>13.2</v>
      </c>
      <c r="G1689" s="222">
        <v>617</v>
      </c>
      <c r="H1689" s="186"/>
      <c r="I1689" s="186"/>
      <c r="J1689" s="308"/>
      <c r="K1689" s="227">
        <v>27</v>
      </c>
      <c r="L1689" s="82">
        <f t="shared" si="686"/>
        <v>590</v>
      </c>
      <c r="M1689" s="331">
        <v>590</v>
      </c>
      <c r="N1689" s="161">
        <f t="shared" si="680"/>
        <v>7788</v>
      </c>
      <c r="O1689" s="161">
        <f t="shared" si="681"/>
        <v>7788</v>
      </c>
      <c r="P1689" s="187">
        <f t="shared" si="682"/>
        <v>0</v>
      </c>
      <c r="Q1689" s="161">
        <f t="shared" si="683"/>
        <v>0</v>
      </c>
      <c r="R1689" s="85"/>
      <c r="S1689" s="86">
        <f t="shared" si="684"/>
        <v>11</v>
      </c>
      <c r="T1689" s="87">
        <f t="shared" si="685"/>
        <v>579</v>
      </c>
      <c r="U1689">
        <v>11</v>
      </c>
    </row>
    <row r="1690" spans="2:21" ht="20.100000000000001" hidden="1" customHeight="1">
      <c r="B1690" s="77">
        <v>13</v>
      </c>
      <c r="C1690" s="78" t="s">
        <v>3144</v>
      </c>
      <c r="D1690" s="79" t="s">
        <v>3151</v>
      </c>
      <c r="E1690" s="80" t="s">
        <v>3152</v>
      </c>
      <c r="F1690" s="81">
        <v>12.92</v>
      </c>
      <c r="G1690" s="222"/>
      <c r="H1690" s="186"/>
      <c r="I1690" s="186"/>
      <c r="J1690" s="308"/>
      <c r="K1690" s="227"/>
      <c r="L1690" s="82">
        <f t="shared" si="686"/>
        <v>0</v>
      </c>
      <c r="M1690" s="331"/>
      <c r="N1690" s="161">
        <f t="shared" si="680"/>
        <v>0</v>
      </c>
      <c r="O1690" s="161">
        <f t="shared" si="681"/>
        <v>0</v>
      </c>
      <c r="P1690" s="187">
        <f t="shared" si="682"/>
        <v>0</v>
      </c>
      <c r="Q1690" s="161">
        <f t="shared" si="683"/>
        <v>0</v>
      </c>
      <c r="R1690" s="85"/>
      <c r="S1690" s="86">
        <f t="shared" si="684"/>
        <v>0</v>
      </c>
      <c r="T1690" s="87">
        <f t="shared" si="685"/>
        <v>0</v>
      </c>
    </row>
    <row r="1691" spans="2:21" ht="20.100000000000001" hidden="1" customHeight="1">
      <c r="B1691" s="77">
        <v>13</v>
      </c>
      <c r="C1691" s="78" t="s">
        <v>3144</v>
      </c>
      <c r="D1691" s="79" t="s">
        <v>3153</v>
      </c>
      <c r="E1691" s="80" t="s">
        <v>3154</v>
      </c>
      <c r="F1691" s="81">
        <v>62</v>
      </c>
      <c r="G1691" s="222"/>
      <c r="H1691" s="186"/>
      <c r="I1691" s="186"/>
      <c r="J1691" s="308"/>
      <c r="K1691" s="227"/>
      <c r="L1691" s="82">
        <f t="shared" si="686"/>
        <v>0</v>
      </c>
      <c r="M1691" s="331"/>
      <c r="N1691" s="161">
        <f t="shared" si="680"/>
        <v>0</v>
      </c>
      <c r="O1691" s="161">
        <f t="shared" si="681"/>
        <v>0</v>
      </c>
      <c r="P1691" s="187">
        <f t="shared" si="682"/>
        <v>0</v>
      </c>
      <c r="Q1691" s="161">
        <f t="shared" si="683"/>
        <v>0</v>
      </c>
      <c r="R1691" s="85"/>
      <c r="S1691" s="86">
        <f t="shared" si="684"/>
        <v>0</v>
      </c>
      <c r="T1691" s="87">
        <f t="shared" si="685"/>
        <v>0</v>
      </c>
    </row>
    <row r="1692" spans="2:21" ht="20.100000000000001" hidden="1" customHeight="1">
      <c r="B1692" s="77">
        <v>13</v>
      </c>
      <c r="C1692" s="78" t="s">
        <v>3144</v>
      </c>
      <c r="D1692" s="79" t="s">
        <v>3155</v>
      </c>
      <c r="E1692" s="80" t="s">
        <v>3156</v>
      </c>
      <c r="F1692" s="81">
        <v>15.83</v>
      </c>
      <c r="G1692" s="222"/>
      <c r="H1692" s="186"/>
      <c r="I1692" s="186"/>
      <c r="J1692" s="308"/>
      <c r="K1692" s="227"/>
      <c r="L1692" s="82">
        <f t="shared" si="686"/>
        <v>0</v>
      </c>
      <c r="M1692" s="331"/>
      <c r="N1692" s="161">
        <f t="shared" si="680"/>
        <v>0</v>
      </c>
      <c r="O1692" s="161">
        <f t="shared" si="681"/>
        <v>0</v>
      </c>
      <c r="P1692" s="187">
        <f t="shared" si="682"/>
        <v>0</v>
      </c>
      <c r="Q1692" s="161">
        <f t="shared" si="683"/>
        <v>0</v>
      </c>
      <c r="R1692" s="85"/>
      <c r="S1692" s="86">
        <f t="shared" si="684"/>
        <v>0</v>
      </c>
      <c r="T1692" s="87">
        <f t="shared" si="685"/>
        <v>0</v>
      </c>
    </row>
    <row r="1693" spans="2:21" ht="20.100000000000001" hidden="1" customHeight="1">
      <c r="B1693" s="77">
        <v>13</v>
      </c>
      <c r="C1693" s="78" t="s">
        <v>3144</v>
      </c>
      <c r="D1693" s="79" t="s">
        <v>3157</v>
      </c>
      <c r="E1693" s="80" t="s">
        <v>3158</v>
      </c>
      <c r="F1693" s="81">
        <v>37</v>
      </c>
      <c r="G1693" s="222"/>
      <c r="H1693" s="186"/>
      <c r="I1693" s="186"/>
      <c r="J1693" s="308"/>
      <c r="K1693" s="227"/>
      <c r="L1693" s="82">
        <f t="shared" si="686"/>
        <v>0</v>
      </c>
      <c r="M1693" s="331"/>
      <c r="N1693" s="161">
        <f t="shared" si="680"/>
        <v>0</v>
      </c>
      <c r="O1693" s="161">
        <f t="shared" si="681"/>
        <v>0</v>
      </c>
      <c r="P1693" s="187">
        <f t="shared" si="682"/>
        <v>0</v>
      </c>
      <c r="Q1693" s="161">
        <f t="shared" si="683"/>
        <v>0</v>
      </c>
      <c r="R1693" s="85"/>
      <c r="S1693" s="86">
        <f t="shared" si="684"/>
        <v>0</v>
      </c>
      <c r="T1693" s="87">
        <f t="shared" si="685"/>
        <v>0</v>
      </c>
    </row>
    <row r="1694" spans="2:21" ht="20.100000000000001" hidden="1" customHeight="1">
      <c r="B1694" s="77">
        <v>13</v>
      </c>
      <c r="C1694" s="78" t="s">
        <v>3144</v>
      </c>
      <c r="D1694" s="173" t="s">
        <v>3159</v>
      </c>
      <c r="E1694" s="174" t="s">
        <v>3160</v>
      </c>
      <c r="F1694" s="81">
        <v>59.58</v>
      </c>
      <c r="G1694" s="222"/>
      <c r="H1694" s="186"/>
      <c r="I1694" s="186"/>
      <c r="J1694" s="308"/>
      <c r="K1694" s="227"/>
      <c r="L1694" s="82">
        <f t="shared" si="686"/>
        <v>0</v>
      </c>
      <c r="M1694" s="331"/>
      <c r="N1694" s="161">
        <f t="shared" si="680"/>
        <v>0</v>
      </c>
      <c r="O1694" s="161">
        <f t="shared" si="681"/>
        <v>0</v>
      </c>
      <c r="P1694" s="187">
        <f t="shared" si="682"/>
        <v>0</v>
      </c>
      <c r="Q1694" s="161">
        <f t="shared" si="683"/>
        <v>0</v>
      </c>
      <c r="R1694" s="85"/>
      <c r="S1694" s="86">
        <f t="shared" si="684"/>
        <v>28</v>
      </c>
      <c r="T1694" s="87">
        <f t="shared" si="685"/>
        <v>-28</v>
      </c>
      <c r="U1694">
        <f>12+7+9</f>
        <v>28</v>
      </c>
    </row>
    <row r="1695" spans="2:21" ht="20.100000000000001" hidden="1" customHeight="1">
      <c r="B1695" s="77">
        <v>13</v>
      </c>
      <c r="C1695" s="78" t="s">
        <v>3144</v>
      </c>
      <c r="D1695" s="79" t="s">
        <v>3159</v>
      </c>
      <c r="E1695" s="80" t="s">
        <v>3160</v>
      </c>
      <c r="F1695" s="81">
        <v>59.58</v>
      </c>
      <c r="G1695" s="222">
        <v>1</v>
      </c>
      <c r="H1695" s="186"/>
      <c r="I1695" s="186"/>
      <c r="J1695" s="308"/>
      <c r="K1695" s="227"/>
      <c r="L1695" s="82">
        <f t="shared" si="686"/>
        <v>1</v>
      </c>
      <c r="M1695" s="331">
        <v>1</v>
      </c>
      <c r="N1695" s="161">
        <f t="shared" si="680"/>
        <v>59.58</v>
      </c>
      <c r="O1695" s="161">
        <f t="shared" si="681"/>
        <v>59.58</v>
      </c>
      <c r="P1695" s="187">
        <f t="shared" si="682"/>
        <v>0</v>
      </c>
      <c r="Q1695" s="161">
        <f t="shared" si="683"/>
        <v>0</v>
      </c>
      <c r="R1695" s="85"/>
      <c r="S1695" s="86">
        <f t="shared" si="684"/>
        <v>0</v>
      </c>
      <c r="T1695" s="87">
        <f t="shared" si="685"/>
        <v>1</v>
      </c>
    </row>
    <row r="1696" spans="2:21" ht="20.100000000000001" hidden="1" customHeight="1">
      <c r="B1696" s="77">
        <v>13</v>
      </c>
      <c r="C1696" s="78" t="s">
        <v>3144</v>
      </c>
      <c r="D1696" s="79" t="s">
        <v>3159</v>
      </c>
      <c r="E1696" s="80" t="s">
        <v>3160</v>
      </c>
      <c r="F1696" s="81">
        <v>59.58</v>
      </c>
      <c r="G1696" s="222"/>
      <c r="H1696" s="186"/>
      <c r="I1696" s="186"/>
      <c r="J1696" s="308"/>
      <c r="K1696" s="227"/>
      <c r="L1696" s="82">
        <f t="shared" si="686"/>
        <v>0</v>
      </c>
      <c r="M1696" s="331"/>
      <c r="N1696" s="161">
        <f t="shared" si="680"/>
        <v>0</v>
      </c>
      <c r="O1696" s="161">
        <f t="shared" si="681"/>
        <v>0</v>
      </c>
      <c r="P1696" s="187">
        <f t="shared" si="682"/>
        <v>0</v>
      </c>
      <c r="Q1696" s="161">
        <f t="shared" si="683"/>
        <v>0</v>
      </c>
      <c r="R1696" s="85"/>
      <c r="S1696" s="86">
        <f t="shared" si="684"/>
        <v>0</v>
      </c>
      <c r="T1696" s="87">
        <f t="shared" si="685"/>
        <v>0</v>
      </c>
    </row>
    <row r="1697" spans="2:31" ht="20.100000000000001" hidden="1" customHeight="1">
      <c r="B1697" s="77">
        <v>13</v>
      </c>
      <c r="C1697" s="78" t="s">
        <v>3144</v>
      </c>
      <c r="D1697" s="173" t="s">
        <v>3161</v>
      </c>
      <c r="E1697" s="174" t="s">
        <v>3162</v>
      </c>
      <c r="F1697" s="81">
        <v>7.33</v>
      </c>
      <c r="G1697" s="222"/>
      <c r="H1697" s="186"/>
      <c r="I1697" s="186"/>
      <c r="J1697" s="308"/>
      <c r="K1697" s="227"/>
      <c r="L1697" s="82">
        <f t="shared" si="686"/>
        <v>0</v>
      </c>
      <c r="M1697" s="331"/>
      <c r="N1697" s="161">
        <f t="shared" si="680"/>
        <v>0</v>
      </c>
      <c r="O1697" s="161">
        <f t="shared" si="681"/>
        <v>0</v>
      </c>
      <c r="P1697" s="187">
        <f t="shared" si="682"/>
        <v>0</v>
      </c>
      <c r="Q1697" s="161">
        <f t="shared" si="683"/>
        <v>0</v>
      </c>
      <c r="R1697" s="85"/>
      <c r="S1697" s="86">
        <f t="shared" si="684"/>
        <v>129</v>
      </c>
      <c r="T1697" s="87">
        <f t="shared" si="685"/>
        <v>-129</v>
      </c>
      <c r="U1697" s="88">
        <f>23+18+9+23+56</f>
        <v>129</v>
      </c>
    </row>
    <row r="1698" spans="2:31" ht="20.100000000000001" hidden="1" customHeight="1">
      <c r="B1698" s="77">
        <v>13</v>
      </c>
      <c r="C1698" s="78" t="s">
        <v>3144</v>
      </c>
      <c r="D1698" s="79" t="s">
        <v>3161</v>
      </c>
      <c r="E1698" s="80" t="s">
        <v>3162</v>
      </c>
      <c r="F1698" s="81">
        <v>7.33</v>
      </c>
      <c r="G1698" s="222"/>
      <c r="H1698" s="186"/>
      <c r="I1698" s="186"/>
      <c r="J1698" s="308"/>
      <c r="K1698" s="227"/>
      <c r="L1698" s="82">
        <f t="shared" si="686"/>
        <v>0</v>
      </c>
      <c r="M1698" s="331"/>
      <c r="N1698" s="161">
        <f t="shared" si="680"/>
        <v>0</v>
      </c>
      <c r="O1698" s="161">
        <f t="shared" si="681"/>
        <v>0</v>
      </c>
      <c r="P1698" s="187">
        <f t="shared" si="682"/>
        <v>0</v>
      </c>
      <c r="Q1698" s="161">
        <f t="shared" si="683"/>
        <v>0</v>
      </c>
      <c r="R1698" s="85"/>
      <c r="S1698" s="86">
        <f t="shared" si="684"/>
        <v>0</v>
      </c>
      <c r="T1698" s="87">
        <f t="shared" si="685"/>
        <v>0</v>
      </c>
    </row>
    <row r="1699" spans="2:31" ht="20.100000000000001" hidden="1" customHeight="1">
      <c r="B1699" s="77">
        <v>13</v>
      </c>
      <c r="C1699" s="78" t="s">
        <v>3144</v>
      </c>
      <c r="D1699" s="79" t="s">
        <v>3163</v>
      </c>
      <c r="E1699" s="80" t="s">
        <v>3164</v>
      </c>
      <c r="F1699" s="81">
        <v>21.92</v>
      </c>
      <c r="G1699" s="222"/>
      <c r="H1699" s="186"/>
      <c r="I1699" s="186"/>
      <c r="J1699" s="308"/>
      <c r="K1699" s="227"/>
      <c r="L1699" s="82">
        <f t="shared" si="686"/>
        <v>0</v>
      </c>
      <c r="M1699" s="331"/>
      <c r="N1699" s="161">
        <f t="shared" si="680"/>
        <v>0</v>
      </c>
      <c r="O1699" s="161">
        <f t="shared" si="681"/>
        <v>0</v>
      </c>
      <c r="P1699" s="187">
        <f t="shared" si="682"/>
        <v>0</v>
      </c>
      <c r="Q1699" s="161">
        <f t="shared" si="683"/>
        <v>0</v>
      </c>
      <c r="R1699" s="85"/>
      <c r="S1699" s="86">
        <f t="shared" si="684"/>
        <v>0</v>
      </c>
      <c r="T1699" s="87">
        <f t="shared" si="685"/>
        <v>0</v>
      </c>
    </row>
    <row r="1700" spans="2:31" ht="20.100000000000001" hidden="1" customHeight="1">
      <c r="B1700" s="77">
        <v>13</v>
      </c>
      <c r="C1700" s="78" t="s">
        <v>3144</v>
      </c>
      <c r="D1700" s="79" t="s">
        <v>3163</v>
      </c>
      <c r="E1700" s="80" t="s">
        <v>3164</v>
      </c>
      <c r="F1700" s="81">
        <v>21.92</v>
      </c>
      <c r="G1700" s="222"/>
      <c r="H1700" s="186"/>
      <c r="I1700" s="186"/>
      <c r="J1700" s="308"/>
      <c r="K1700" s="227"/>
      <c r="L1700" s="82">
        <f t="shared" si="686"/>
        <v>0</v>
      </c>
      <c r="M1700" s="331"/>
      <c r="N1700" s="161">
        <f t="shared" si="680"/>
        <v>0</v>
      </c>
      <c r="O1700" s="161">
        <f t="shared" si="681"/>
        <v>0</v>
      </c>
      <c r="P1700" s="187">
        <f t="shared" si="682"/>
        <v>0</v>
      </c>
      <c r="Q1700" s="161">
        <f t="shared" si="683"/>
        <v>0</v>
      </c>
      <c r="R1700" s="85"/>
      <c r="S1700" s="86">
        <f t="shared" si="684"/>
        <v>0</v>
      </c>
      <c r="T1700" s="87">
        <f t="shared" si="685"/>
        <v>0</v>
      </c>
    </row>
    <row r="1701" spans="2:31" ht="20.100000000000001" hidden="1" customHeight="1">
      <c r="B1701" s="77">
        <v>13</v>
      </c>
      <c r="C1701" s="78" t="s">
        <v>3144</v>
      </c>
      <c r="D1701" s="79" t="s">
        <v>3163</v>
      </c>
      <c r="E1701" s="80" t="s">
        <v>3164</v>
      </c>
      <c r="F1701" s="81">
        <v>21.92</v>
      </c>
      <c r="G1701" s="222"/>
      <c r="H1701" s="186"/>
      <c r="I1701" s="186"/>
      <c r="J1701" s="308"/>
      <c r="K1701" s="227"/>
      <c r="L1701" s="82">
        <f t="shared" si="686"/>
        <v>0</v>
      </c>
      <c r="M1701" s="331"/>
      <c r="N1701" s="161">
        <f t="shared" si="680"/>
        <v>0</v>
      </c>
      <c r="O1701" s="161">
        <f t="shared" si="681"/>
        <v>0</v>
      </c>
      <c r="P1701" s="187">
        <f t="shared" si="682"/>
        <v>0</v>
      </c>
      <c r="Q1701" s="161">
        <f t="shared" si="683"/>
        <v>0</v>
      </c>
      <c r="R1701" s="85"/>
      <c r="S1701" s="86">
        <f t="shared" si="684"/>
        <v>0</v>
      </c>
      <c r="T1701" s="87">
        <f t="shared" si="685"/>
        <v>0</v>
      </c>
    </row>
    <row r="1702" spans="2:31" ht="20.100000000000001" hidden="1" customHeight="1">
      <c r="B1702" s="77">
        <v>13</v>
      </c>
      <c r="C1702" s="78" t="s">
        <v>3144</v>
      </c>
      <c r="D1702" s="173" t="s">
        <v>3165</v>
      </c>
      <c r="E1702" s="174" t="s">
        <v>3166</v>
      </c>
      <c r="F1702" s="81">
        <v>31.71</v>
      </c>
      <c r="G1702" s="222"/>
      <c r="H1702" s="186"/>
      <c r="I1702" s="186"/>
      <c r="J1702" s="308"/>
      <c r="K1702" s="227"/>
      <c r="L1702" s="82">
        <f t="shared" si="686"/>
        <v>0</v>
      </c>
      <c r="M1702" s="331"/>
      <c r="N1702" s="161">
        <f t="shared" si="680"/>
        <v>0</v>
      </c>
      <c r="O1702" s="161">
        <f t="shared" si="681"/>
        <v>0</v>
      </c>
      <c r="P1702" s="187">
        <f t="shared" si="682"/>
        <v>0</v>
      </c>
      <c r="Q1702" s="161">
        <f t="shared" si="683"/>
        <v>0</v>
      </c>
      <c r="R1702" s="85" t="s">
        <v>3167</v>
      </c>
      <c r="S1702" s="86">
        <f t="shared" si="684"/>
        <v>22</v>
      </c>
      <c r="T1702" s="87">
        <f t="shared" si="685"/>
        <v>-22</v>
      </c>
      <c r="W1702">
        <v>7</v>
      </c>
      <c r="X1702" t="s">
        <v>121</v>
      </c>
      <c r="AA1702">
        <v>15</v>
      </c>
      <c r="AD1702">
        <f>W1702</f>
        <v>7</v>
      </c>
      <c r="AE1702" s="89">
        <f>AD1702*F1702</f>
        <v>221.97</v>
      </c>
    </row>
    <row r="1703" spans="2:31" ht="20.100000000000001" hidden="1" customHeight="1">
      <c r="B1703" s="77">
        <v>13</v>
      </c>
      <c r="C1703" s="78" t="s">
        <v>3144</v>
      </c>
      <c r="D1703" s="79" t="s">
        <v>3168</v>
      </c>
      <c r="E1703" s="80" t="s">
        <v>3169</v>
      </c>
      <c r="F1703" s="81">
        <v>58.58</v>
      </c>
      <c r="G1703" s="222">
        <v>2</v>
      </c>
      <c r="H1703" s="186"/>
      <c r="I1703" s="186"/>
      <c r="J1703" s="308"/>
      <c r="K1703" s="227"/>
      <c r="L1703" s="82">
        <f t="shared" si="686"/>
        <v>2</v>
      </c>
      <c r="M1703" s="331">
        <v>2</v>
      </c>
      <c r="N1703" s="161">
        <f t="shared" si="680"/>
        <v>117.16</v>
      </c>
      <c r="O1703" s="161">
        <f t="shared" si="681"/>
        <v>117.16</v>
      </c>
      <c r="P1703" s="187">
        <f t="shared" si="682"/>
        <v>0</v>
      </c>
      <c r="Q1703" s="161">
        <f t="shared" si="683"/>
        <v>0</v>
      </c>
      <c r="R1703" s="85"/>
      <c r="S1703" s="86">
        <f t="shared" si="684"/>
        <v>0</v>
      </c>
      <c r="T1703" s="87">
        <f t="shared" si="685"/>
        <v>2</v>
      </c>
    </row>
    <row r="1704" spans="2:31" s="35" customFormat="1" ht="20.100000000000001" hidden="1" customHeight="1">
      <c r="B1704" s="171">
        <v>13</v>
      </c>
      <c r="C1704" s="184" t="s">
        <v>3144</v>
      </c>
      <c r="D1704" s="160" t="s">
        <v>3170</v>
      </c>
      <c r="E1704" s="178" t="s">
        <v>3171</v>
      </c>
      <c r="F1704" s="185">
        <v>16.170000000000002</v>
      </c>
      <c r="G1704" s="222">
        <v>24</v>
      </c>
      <c r="H1704" s="186"/>
      <c r="I1704" s="186"/>
      <c r="J1704" s="308"/>
      <c r="K1704" s="227"/>
      <c r="L1704" s="82">
        <f t="shared" si="686"/>
        <v>24</v>
      </c>
      <c r="M1704" s="331">
        <v>24</v>
      </c>
      <c r="N1704" s="161">
        <f t="shared" si="680"/>
        <v>388.08000000000004</v>
      </c>
      <c r="O1704" s="161">
        <f t="shared" si="681"/>
        <v>388.08000000000004</v>
      </c>
      <c r="P1704" s="187">
        <f t="shared" si="682"/>
        <v>0</v>
      </c>
      <c r="Q1704" s="161">
        <f t="shared" si="683"/>
        <v>0</v>
      </c>
      <c r="R1704" s="188"/>
      <c r="S1704" s="189">
        <f t="shared" si="684"/>
        <v>15</v>
      </c>
      <c r="T1704" s="190">
        <f t="shared" si="685"/>
        <v>9</v>
      </c>
      <c r="U1704" s="35">
        <v>15</v>
      </c>
    </row>
    <row r="1705" spans="2:31" ht="20.100000000000001" hidden="1" customHeight="1">
      <c r="B1705" s="77">
        <v>13</v>
      </c>
      <c r="C1705" s="78" t="s">
        <v>3144</v>
      </c>
      <c r="D1705" s="79" t="s">
        <v>3172</v>
      </c>
      <c r="E1705" s="80" t="s">
        <v>3173</v>
      </c>
      <c r="F1705" s="81">
        <v>11.83</v>
      </c>
      <c r="G1705" s="222">
        <v>1</v>
      </c>
      <c r="H1705" s="186"/>
      <c r="I1705" s="186"/>
      <c r="J1705" s="308"/>
      <c r="K1705" s="227"/>
      <c r="L1705" s="82">
        <f t="shared" si="686"/>
        <v>1</v>
      </c>
      <c r="M1705" s="331">
        <v>1</v>
      </c>
      <c r="N1705" s="161">
        <f t="shared" si="680"/>
        <v>11.83</v>
      </c>
      <c r="O1705" s="161">
        <f t="shared" si="681"/>
        <v>11.83</v>
      </c>
      <c r="P1705" s="187">
        <f t="shared" si="682"/>
        <v>0</v>
      </c>
      <c r="Q1705" s="161">
        <f t="shared" si="683"/>
        <v>0</v>
      </c>
      <c r="R1705" s="85"/>
      <c r="S1705" s="86">
        <f t="shared" si="684"/>
        <v>0</v>
      </c>
      <c r="T1705" s="87">
        <f t="shared" si="685"/>
        <v>1</v>
      </c>
    </row>
    <row r="1706" spans="2:31" ht="20.100000000000001" hidden="1" customHeight="1">
      <c r="B1706" s="77">
        <v>13</v>
      </c>
      <c r="C1706" s="78" t="s">
        <v>3144</v>
      </c>
      <c r="D1706" s="79" t="s">
        <v>3172</v>
      </c>
      <c r="E1706" s="80" t="s">
        <v>3173</v>
      </c>
      <c r="F1706" s="81">
        <v>11.83</v>
      </c>
      <c r="G1706" s="222"/>
      <c r="H1706" s="186"/>
      <c r="I1706" s="186"/>
      <c r="J1706" s="308"/>
      <c r="K1706" s="227"/>
      <c r="L1706" s="82">
        <f t="shared" si="686"/>
        <v>0</v>
      </c>
      <c r="M1706" s="331"/>
      <c r="N1706" s="161">
        <f t="shared" si="680"/>
        <v>0</v>
      </c>
      <c r="O1706" s="161">
        <f t="shared" si="681"/>
        <v>0</v>
      </c>
      <c r="P1706" s="187">
        <f t="shared" si="682"/>
        <v>0</v>
      </c>
      <c r="Q1706" s="161">
        <f t="shared" si="683"/>
        <v>0</v>
      </c>
      <c r="R1706" s="85"/>
      <c r="S1706" s="86">
        <f t="shared" si="684"/>
        <v>0</v>
      </c>
      <c r="T1706" s="87">
        <f t="shared" si="685"/>
        <v>0</v>
      </c>
    </row>
    <row r="1707" spans="2:31" ht="20.100000000000001" hidden="1" customHeight="1">
      <c r="B1707" s="77">
        <v>13</v>
      </c>
      <c r="C1707" s="78" t="s">
        <v>3144</v>
      </c>
      <c r="D1707" s="79" t="s">
        <v>3172</v>
      </c>
      <c r="E1707" s="80" t="s">
        <v>3173</v>
      </c>
      <c r="F1707" s="81">
        <v>11.83</v>
      </c>
      <c r="G1707" s="222"/>
      <c r="H1707" s="186"/>
      <c r="I1707" s="186"/>
      <c r="J1707" s="308"/>
      <c r="K1707" s="227"/>
      <c r="L1707" s="82">
        <f t="shared" si="686"/>
        <v>0</v>
      </c>
      <c r="M1707" s="331"/>
      <c r="N1707" s="161">
        <f t="shared" si="680"/>
        <v>0</v>
      </c>
      <c r="O1707" s="161">
        <f t="shared" si="681"/>
        <v>0</v>
      </c>
      <c r="P1707" s="187">
        <f t="shared" si="682"/>
        <v>0</v>
      </c>
      <c r="Q1707" s="161">
        <f t="shared" si="683"/>
        <v>0</v>
      </c>
      <c r="R1707" s="85"/>
      <c r="S1707" s="86">
        <f t="shared" si="684"/>
        <v>0</v>
      </c>
      <c r="T1707" s="87">
        <f t="shared" ref="T1707:T1772" si="705">M1707-S1707</f>
        <v>0</v>
      </c>
    </row>
    <row r="1708" spans="2:31" s="35" customFormat="1" ht="20.100000000000001" hidden="1" customHeight="1">
      <c r="B1708" s="171">
        <v>13</v>
      </c>
      <c r="C1708" s="184" t="s">
        <v>3144</v>
      </c>
      <c r="D1708" s="160" t="s">
        <v>3174</v>
      </c>
      <c r="E1708" s="178" t="s">
        <v>3175</v>
      </c>
      <c r="F1708" s="185">
        <v>10.83</v>
      </c>
      <c r="G1708" s="222">
        <v>26</v>
      </c>
      <c r="H1708" s="186"/>
      <c r="I1708" s="186"/>
      <c r="J1708" s="308"/>
      <c r="K1708" s="227"/>
      <c r="L1708" s="82">
        <f t="shared" si="686"/>
        <v>26</v>
      </c>
      <c r="M1708" s="331">
        <v>26</v>
      </c>
      <c r="N1708" s="161">
        <f t="shared" ref="N1708:N1773" si="706">F1708*L1708</f>
        <v>281.58</v>
      </c>
      <c r="O1708" s="161">
        <f t="shared" ref="O1708:O1773" si="707">M1708*F1708</f>
        <v>281.58</v>
      </c>
      <c r="P1708" s="187">
        <f t="shared" ref="P1708:P1773" si="708">L1708-M1708</f>
        <v>0</v>
      </c>
      <c r="Q1708" s="161">
        <f t="shared" ref="Q1708:Q1773" si="709">N1708-O1708</f>
        <v>0</v>
      </c>
      <c r="R1708" s="188"/>
      <c r="S1708" s="189">
        <f t="shared" ref="S1708:S1773" si="710">U1708+Y1708+W1708+AA1708</f>
        <v>0</v>
      </c>
      <c r="T1708" s="190">
        <f t="shared" si="705"/>
        <v>26</v>
      </c>
    </row>
    <row r="1709" spans="2:31" s="35" customFormat="1" ht="20.100000000000001" hidden="1" customHeight="1">
      <c r="B1709" s="171">
        <v>13</v>
      </c>
      <c r="C1709" s="184" t="s">
        <v>3144</v>
      </c>
      <c r="D1709" s="160" t="s">
        <v>3176</v>
      </c>
      <c r="E1709" s="178" t="s">
        <v>3177</v>
      </c>
      <c r="F1709" s="185">
        <v>58.58</v>
      </c>
      <c r="G1709" s="222">
        <v>4</v>
      </c>
      <c r="H1709" s="186"/>
      <c r="I1709" s="186"/>
      <c r="J1709" s="308"/>
      <c r="K1709" s="227"/>
      <c r="L1709" s="82">
        <f t="shared" si="686"/>
        <v>4</v>
      </c>
      <c r="M1709" s="331">
        <v>4</v>
      </c>
      <c r="N1709" s="161">
        <f t="shared" si="706"/>
        <v>234.32</v>
      </c>
      <c r="O1709" s="161">
        <f t="shared" si="707"/>
        <v>234.32</v>
      </c>
      <c r="P1709" s="187">
        <f t="shared" si="708"/>
        <v>0</v>
      </c>
      <c r="Q1709" s="161">
        <f t="shared" si="709"/>
        <v>0</v>
      </c>
      <c r="R1709" s="188"/>
      <c r="S1709" s="189">
        <f t="shared" si="710"/>
        <v>0</v>
      </c>
      <c r="T1709" s="190">
        <f t="shared" si="705"/>
        <v>4</v>
      </c>
    </row>
    <row r="1710" spans="2:31" ht="20.100000000000001" hidden="1" customHeight="1">
      <c r="B1710" s="77">
        <v>13</v>
      </c>
      <c r="C1710" s="78" t="s">
        <v>3144</v>
      </c>
      <c r="D1710" s="79" t="s">
        <v>3178</v>
      </c>
      <c r="E1710" s="80" t="s">
        <v>3179</v>
      </c>
      <c r="F1710" s="81">
        <v>75.33</v>
      </c>
      <c r="G1710" s="222"/>
      <c r="H1710" s="186"/>
      <c r="I1710" s="186"/>
      <c r="J1710" s="308"/>
      <c r="K1710" s="227"/>
      <c r="L1710" s="82">
        <f t="shared" si="686"/>
        <v>0</v>
      </c>
      <c r="M1710" s="331"/>
      <c r="N1710" s="161">
        <f t="shared" si="706"/>
        <v>0</v>
      </c>
      <c r="O1710" s="161">
        <f t="shared" si="707"/>
        <v>0</v>
      </c>
      <c r="P1710" s="187">
        <f t="shared" si="708"/>
        <v>0</v>
      </c>
      <c r="Q1710" s="161">
        <f t="shared" si="709"/>
        <v>0</v>
      </c>
      <c r="R1710" s="85"/>
      <c r="S1710" s="86">
        <f t="shared" si="710"/>
        <v>0</v>
      </c>
      <c r="T1710" s="87">
        <f t="shared" si="705"/>
        <v>0</v>
      </c>
    </row>
    <row r="1711" spans="2:31" ht="20.100000000000001" hidden="1" customHeight="1">
      <c r="B1711" s="77">
        <v>13</v>
      </c>
      <c r="C1711" s="78" t="s">
        <v>3144</v>
      </c>
      <c r="D1711" s="173" t="s">
        <v>3180</v>
      </c>
      <c r="E1711" s="174" t="s">
        <v>3181</v>
      </c>
      <c r="F1711" s="81">
        <v>8.8000000000000007</v>
      </c>
      <c r="G1711" s="222"/>
      <c r="H1711" s="186"/>
      <c r="I1711" s="186"/>
      <c r="J1711" s="308"/>
      <c r="K1711" s="227"/>
      <c r="L1711" s="82">
        <f t="shared" si="686"/>
        <v>0</v>
      </c>
      <c r="M1711" s="331"/>
      <c r="N1711" s="161">
        <f t="shared" si="706"/>
        <v>0</v>
      </c>
      <c r="O1711" s="161">
        <f t="shared" si="707"/>
        <v>0</v>
      </c>
      <c r="P1711" s="187">
        <f t="shared" si="708"/>
        <v>0</v>
      </c>
      <c r="Q1711" s="161">
        <f t="shared" si="709"/>
        <v>0</v>
      </c>
      <c r="R1711" s="85" t="s">
        <v>3182</v>
      </c>
      <c r="S1711" s="86">
        <f t="shared" si="710"/>
        <v>24</v>
      </c>
      <c r="T1711" s="87">
        <f t="shared" si="705"/>
        <v>-24</v>
      </c>
      <c r="U1711">
        <f>20+1</f>
        <v>21</v>
      </c>
      <c r="W1711">
        <v>3</v>
      </c>
      <c r="X1711" t="s">
        <v>115</v>
      </c>
      <c r="AD1711">
        <f>W1711</f>
        <v>3</v>
      </c>
      <c r="AE1711" s="89">
        <f>AD1711*F1711</f>
        <v>26.400000000000002</v>
      </c>
    </row>
    <row r="1712" spans="2:31" ht="20.100000000000001" hidden="1" customHeight="1">
      <c r="B1712" s="77">
        <v>13</v>
      </c>
      <c r="C1712" s="78" t="s">
        <v>3144</v>
      </c>
      <c r="D1712" s="173" t="s">
        <v>3183</v>
      </c>
      <c r="E1712" s="174" t="s">
        <v>3184</v>
      </c>
      <c r="F1712" s="81">
        <v>11.5</v>
      </c>
      <c r="G1712" s="222"/>
      <c r="H1712" s="186"/>
      <c r="I1712" s="186"/>
      <c r="J1712" s="308"/>
      <c r="K1712" s="227"/>
      <c r="L1712" s="82">
        <f t="shared" si="686"/>
        <v>0</v>
      </c>
      <c r="M1712" s="331"/>
      <c r="N1712" s="161">
        <f t="shared" si="706"/>
        <v>0</v>
      </c>
      <c r="O1712" s="161">
        <f t="shared" si="707"/>
        <v>0</v>
      </c>
      <c r="P1712" s="187">
        <f t="shared" si="708"/>
        <v>0</v>
      </c>
      <c r="Q1712" s="161">
        <f t="shared" si="709"/>
        <v>0</v>
      </c>
      <c r="R1712" s="85" t="s">
        <v>3185</v>
      </c>
      <c r="S1712" s="86">
        <f t="shared" si="710"/>
        <v>10</v>
      </c>
      <c r="T1712" s="87">
        <f t="shared" si="705"/>
        <v>-10</v>
      </c>
      <c r="U1712">
        <v>1</v>
      </c>
      <c r="W1712">
        <v>8</v>
      </c>
      <c r="X1712" t="s">
        <v>115</v>
      </c>
      <c r="AA1712">
        <v>1</v>
      </c>
      <c r="AB1712" s="88" t="s">
        <v>1301</v>
      </c>
      <c r="AD1712">
        <f>W1712+AA1712</f>
        <v>9</v>
      </c>
      <c r="AE1712" s="89">
        <f>AD1712*F1712</f>
        <v>103.5</v>
      </c>
    </row>
    <row r="1713" spans="2:31" ht="20.100000000000001" hidden="1" customHeight="1">
      <c r="B1713" s="77">
        <v>13</v>
      </c>
      <c r="C1713" s="78" t="s">
        <v>3144</v>
      </c>
      <c r="D1713" s="173" t="s">
        <v>3186</v>
      </c>
      <c r="E1713" s="174" t="s">
        <v>3187</v>
      </c>
      <c r="F1713" s="81">
        <v>11.5</v>
      </c>
      <c r="G1713" s="222"/>
      <c r="H1713" s="186"/>
      <c r="I1713" s="186"/>
      <c r="J1713" s="308"/>
      <c r="K1713" s="227"/>
      <c r="L1713" s="82">
        <f t="shared" si="686"/>
        <v>0</v>
      </c>
      <c r="M1713" s="331"/>
      <c r="N1713" s="161">
        <f t="shared" si="706"/>
        <v>0</v>
      </c>
      <c r="O1713" s="161">
        <f t="shared" si="707"/>
        <v>0</v>
      </c>
      <c r="P1713" s="187">
        <f t="shared" si="708"/>
        <v>0</v>
      </c>
      <c r="Q1713" s="161">
        <f t="shared" si="709"/>
        <v>0</v>
      </c>
      <c r="R1713" s="85"/>
      <c r="S1713" s="86">
        <f t="shared" si="710"/>
        <v>60</v>
      </c>
      <c r="T1713" s="87">
        <f t="shared" si="705"/>
        <v>-60</v>
      </c>
      <c r="AA1713">
        <f>24+24+12</f>
        <v>60</v>
      </c>
      <c r="AB1713" s="88" t="s">
        <v>171</v>
      </c>
      <c r="AD1713">
        <f>AA1713</f>
        <v>60</v>
      </c>
      <c r="AE1713" s="89">
        <f>AD1713*F1713</f>
        <v>690</v>
      </c>
    </row>
    <row r="1714" spans="2:31" ht="20.100000000000001" hidden="1" customHeight="1">
      <c r="B1714" s="77">
        <v>13</v>
      </c>
      <c r="C1714" s="78" t="s">
        <v>3144</v>
      </c>
      <c r="D1714" s="79" t="s">
        <v>3186</v>
      </c>
      <c r="E1714" s="80" t="s">
        <v>3187</v>
      </c>
      <c r="F1714" s="81">
        <v>11.5</v>
      </c>
      <c r="G1714" s="222"/>
      <c r="H1714" s="186"/>
      <c r="I1714" s="186"/>
      <c r="J1714" s="308"/>
      <c r="K1714" s="227"/>
      <c r="L1714" s="82">
        <f t="shared" si="686"/>
        <v>0</v>
      </c>
      <c r="M1714" s="331"/>
      <c r="N1714" s="161">
        <f t="shared" si="706"/>
        <v>0</v>
      </c>
      <c r="O1714" s="161">
        <f t="shared" si="707"/>
        <v>0</v>
      </c>
      <c r="P1714" s="187">
        <f t="shared" si="708"/>
        <v>0</v>
      </c>
      <c r="Q1714" s="161">
        <f t="shared" si="709"/>
        <v>0</v>
      </c>
      <c r="R1714" s="85"/>
      <c r="S1714" s="86">
        <f t="shared" si="710"/>
        <v>0</v>
      </c>
      <c r="T1714" s="87">
        <f t="shared" si="705"/>
        <v>0</v>
      </c>
    </row>
    <row r="1715" spans="2:31" ht="20.100000000000001" hidden="1" customHeight="1">
      <c r="B1715" s="77">
        <v>13</v>
      </c>
      <c r="C1715" s="78" t="s">
        <v>3144</v>
      </c>
      <c r="D1715" s="79" t="s">
        <v>3188</v>
      </c>
      <c r="E1715" s="80" t="s">
        <v>3189</v>
      </c>
      <c r="F1715" s="81">
        <v>15.5</v>
      </c>
      <c r="G1715" s="222"/>
      <c r="H1715" s="186"/>
      <c r="I1715" s="186"/>
      <c r="J1715" s="308"/>
      <c r="K1715" s="227"/>
      <c r="L1715" s="82">
        <f t="shared" si="686"/>
        <v>0</v>
      </c>
      <c r="M1715" s="331"/>
      <c r="N1715" s="161">
        <f t="shared" si="706"/>
        <v>0</v>
      </c>
      <c r="O1715" s="161">
        <f t="shared" si="707"/>
        <v>0</v>
      </c>
      <c r="P1715" s="187">
        <f t="shared" si="708"/>
        <v>0</v>
      </c>
      <c r="Q1715" s="161">
        <f t="shared" si="709"/>
        <v>0</v>
      </c>
      <c r="R1715" s="85"/>
      <c r="S1715" s="86">
        <f t="shared" si="710"/>
        <v>0</v>
      </c>
      <c r="T1715" s="87">
        <f t="shared" si="705"/>
        <v>0</v>
      </c>
    </row>
    <row r="1716" spans="2:31" s="35" customFormat="1" ht="20.100000000000001" hidden="1" customHeight="1">
      <c r="B1716" s="171">
        <v>13</v>
      </c>
      <c r="C1716" s="184" t="s">
        <v>3144</v>
      </c>
      <c r="D1716" s="160" t="s">
        <v>3190</v>
      </c>
      <c r="E1716" s="178" t="s">
        <v>3191</v>
      </c>
      <c r="F1716" s="185">
        <v>59.58</v>
      </c>
      <c r="G1716" s="222">
        <v>43</v>
      </c>
      <c r="H1716" s="186"/>
      <c r="I1716" s="186"/>
      <c r="J1716" s="308"/>
      <c r="K1716" s="227"/>
      <c r="L1716" s="82">
        <f t="shared" ref="L1716:L1781" si="711">G1716+I1716-J1716-K1716+H1716</f>
        <v>43</v>
      </c>
      <c r="M1716" s="331">
        <v>43</v>
      </c>
      <c r="N1716" s="161">
        <f t="shared" si="706"/>
        <v>2561.94</v>
      </c>
      <c r="O1716" s="161">
        <f t="shared" si="707"/>
        <v>2561.94</v>
      </c>
      <c r="P1716" s="187">
        <f t="shared" si="708"/>
        <v>0</v>
      </c>
      <c r="Q1716" s="161">
        <f t="shared" si="709"/>
        <v>0</v>
      </c>
      <c r="R1716" s="188"/>
      <c r="S1716" s="189">
        <f t="shared" si="710"/>
        <v>0</v>
      </c>
      <c r="T1716" s="190">
        <f t="shared" si="705"/>
        <v>43</v>
      </c>
    </row>
    <row r="1717" spans="2:31" ht="20.100000000000001" hidden="1" customHeight="1">
      <c r="B1717" s="77">
        <v>13</v>
      </c>
      <c r="C1717" s="78" t="s">
        <v>3144</v>
      </c>
      <c r="D1717" s="79" t="s">
        <v>3190</v>
      </c>
      <c r="E1717" s="80" t="s">
        <v>3191</v>
      </c>
      <c r="F1717" s="81">
        <v>59.58</v>
      </c>
      <c r="G1717" s="222"/>
      <c r="H1717" s="186"/>
      <c r="I1717" s="186"/>
      <c r="J1717" s="308"/>
      <c r="K1717" s="227"/>
      <c r="L1717" s="82">
        <f t="shared" si="711"/>
        <v>0</v>
      </c>
      <c r="M1717" s="331"/>
      <c r="N1717" s="161">
        <f t="shared" si="706"/>
        <v>0</v>
      </c>
      <c r="O1717" s="161">
        <f t="shared" si="707"/>
        <v>0</v>
      </c>
      <c r="P1717" s="187">
        <f t="shared" si="708"/>
        <v>0</v>
      </c>
      <c r="Q1717" s="161">
        <f t="shared" si="709"/>
        <v>0</v>
      </c>
      <c r="R1717" s="85"/>
      <c r="S1717" s="86">
        <f t="shared" si="710"/>
        <v>0</v>
      </c>
      <c r="T1717" s="87">
        <f t="shared" si="705"/>
        <v>0</v>
      </c>
    </row>
    <row r="1718" spans="2:31" ht="20.100000000000001" hidden="1" customHeight="1">
      <c r="B1718" s="77">
        <v>13</v>
      </c>
      <c r="C1718" s="78" t="s">
        <v>3144</v>
      </c>
      <c r="D1718" s="79" t="s">
        <v>3190</v>
      </c>
      <c r="E1718" s="80" t="s">
        <v>3191</v>
      </c>
      <c r="F1718" s="81">
        <v>59.58</v>
      </c>
      <c r="G1718" s="222"/>
      <c r="H1718" s="186"/>
      <c r="I1718" s="186"/>
      <c r="J1718" s="308"/>
      <c r="K1718" s="227"/>
      <c r="L1718" s="82">
        <f t="shared" si="711"/>
        <v>0</v>
      </c>
      <c r="M1718" s="331"/>
      <c r="N1718" s="161">
        <f t="shared" si="706"/>
        <v>0</v>
      </c>
      <c r="O1718" s="161">
        <f t="shared" si="707"/>
        <v>0</v>
      </c>
      <c r="P1718" s="187">
        <f t="shared" si="708"/>
        <v>0</v>
      </c>
      <c r="Q1718" s="161">
        <f t="shared" si="709"/>
        <v>0</v>
      </c>
      <c r="R1718" s="85"/>
      <c r="S1718" s="86">
        <f t="shared" si="710"/>
        <v>0</v>
      </c>
      <c r="T1718" s="87">
        <f t="shared" si="705"/>
        <v>0</v>
      </c>
    </row>
    <row r="1719" spans="2:31" ht="20.100000000000001" hidden="1" customHeight="1">
      <c r="B1719" s="77">
        <v>13</v>
      </c>
      <c r="C1719" s="78" t="s">
        <v>3144</v>
      </c>
      <c r="D1719" s="79" t="s">
        <v>3192</v>
      </c>
      <c r="E1719" s="80" t="s">
        <v>3193</v>
      </c>
      <c r="F1719" s="81">
        <v>21.92</v>
      </c>
      <c r="G1719" s="222"/>
      <c r="H1719" s="186"/>
      <c r="I1719" s="186"/>
      <c r="J1719" s="308"/>
      <c r="K1719" s="227"/>
      <c r="L1719" s="82">
        <f t="shared" si="711"/>
        <v>0</v>
      </c>
      <c r="M1719" s="331"/>
      <c r="N1719" s="161">
        <f t="shared" si="706"/>
        <v>0</v>
      </c>
      <c r="O1719" s="161">
        <f t="shared" si="707"/>
        <v>0</v>
      </c>
      <c r="P1719" s="187">
        <f t="shared" si="708"/>
        <v>0</v>
      </c>
      <c r="Q1719" s="161">
        <f t="shared" si="709"/>
        <v>0</v>
      </c>
      <c r="R1719" s="85"/>
      <c r="S1719" s="86">
        <f t="shared" si="710"/>
        <v>0</v>
      </c>
      <c r="T1719" s="87">
        <f t="shared" si="705"/>
        <v>0</v>
      </c>
    </row>
    <row r="1720" spans="2:31" ht="20.100000000000001" hidden="1" customHeight="1">
      <c r="B1720" s="77">
        <v>13</v>
      </c>
      <c r="C1720" s="78" t="s">
        <v>3144</v>
      </c>
      <c r="D1720" s="79" t="s">
        <v>3192</v>
      </c>
      <c r="E1720" s="80" t="s">
        <v>3193</v>
      </c>
      <c r="F1720" s="81">
        <v>21.92</v>
      </c>
      <c r="G1720" s="222"/>
      <c r="H1720" s="186"/>
      <c r="I1720" s="186"/>
      <c r="J1720" s="308"/>
      <c r="K1720" s="227"/>
      <c r="L1720" s="82">
        <f t="shared" si="711"/>
        <v>0</v>
      </c>
      <c r="M1720" s="331"/>
      <c r="N1720" s="161">
        <f t="shared" si="706"/>
        <v>0</v>
      </c>
      <c r="O1720" s="161">
        <f t="shared" si="707"/>
        <v>0</v>
      </c>
      <c r="P1720" s="187">
        <f t="shared" si="708"/>
        <v>0</v>
      </c>
      <c r="Q1720" s="161">
        <f t="shared" si="709"/>
        <v>0</v>
      </c>
      <c r="R1720" s="85"/>
      <c r="S1720" s="86">
        <f t="shared" si="710"/>
        <v>0</v>
      </c>
      <c r="T1720" s="87">
        <f t="shared" si="705"/>
        <v>0</v>
      </c>
    </row>
    <row r="1721" spans="2:31" ht="20.100000000000001" hidden="1" customHeight="1">
      <c r="B1721" s="77">
        <v>13</v>
      </c>
      <c r="C1721" s="78" t="s">
        <v>3144</v>
      </c>
      <c r="D1721" s="173" t="s">
        <v>3194</v>
      </c>
      <c r="E1721" s="174" t="s">
        <v>3195</v>
      </c>
      <c r="F1721" s="81">
        <v>7.08</v>
      </c>
      <c r="G1721" s="222"/>
      <c r="H1721" s="186"/>
      <c r="I1721" s="186"/>
      <c r="J1721" s="308"/>
      <c r="K1721" s="227"/>
      <c r="L1721" s="82">
        <f t="shared" si="711"/>
        <v>0</v>
      </c>
      <c r="M1721" s="331"/>
      <c r="N1721" s="161">
        <f t="shared" si="706"/>
        <v>0</v>
      </c>
      <c r="O1721" s="161">
        <f t="shared" si="707"/>
        <v>0</v>
      </c>
      <c r="P1721" s="187">
        <f t="shared" si="708"/>
        <v>0</v>
      </c>
      <c r="Q1721" s="161">
        <f t="shared" si="709"/>
        <v>0</v>
      </c>
      <c r="R1721" s="85"/>
      <c r="S1721" s="86">
        <f t="shared" si="710"/>
        <v>76</v>
      </c>
      <c r="T1721" s="87">
        <f t="shared" si="705"/>
        <v>-76</v>
      </c>
      <c r="U1721">
        <f>1+11+64</f>
        <v>76</v>
      </c>
    </row>
    <row r="1722" spans="2:31" s="35" customFormat="1" ht="20.100000000000001" hidden="1" customHeight="1">
      <c r="B1722" s="171">
        <v>13</v>
      </c>
      <c r="C1722" s="184" t="s">
        <v>3144</v>
      </c>
      <c r="D1722" s="160" t="s">
        <v>3196</v>
      </c>
      <c r="E1722" s="178" t="s">
        <v>3197</v>
      </c>
      <c r="F1722" s="185">
        <v>16.170000000000002</v>
      </c>
      <c r="G1722" s="222">
        <v>54</v>
      </c>
      <c r="H1722" s="186"/>
      <c r="I1722" s="186"/>
      <c r="J1722" s="308"/>
      <c r="K1722" s="227"/>
      <c r="L1722" s="82">
        <f t="shared" si="711"/>
        <v>54</v>
      </c>
      <c r="M1722" s="331">
        <v>54</v>
      </c>
      <c r="N1722" s="161">
        <f t="shared" si="706"/>
        <v>873.18000000000006</v>
      </c>
      <c r="O1722" s="161">
        <f t="shared" si="707"/>
        <v>873.18000000000006</v>
      </c>
      <c r="P1722" s="187">
        <f t="shared" si="708"/>
        <v>0</v>
      </c>
      <c r="Q1722" s="161">
        <f t="shared" si="709"/>
        <v>0</v>
      </c>
      <c r="R1722" s="188"/>
      <c r="S1722" s="189">
        <f t="shared" si="710"/>
        <v>0</v>
      </c>
      <c r="T1722" s="190">
        <f t="shared" si="705"/>
        <v>54</v>
      </c>
    </row>
    <row r="1723" spans="2:31" s="35" customFormat="1" ht="20.100000000000001" hidden="1" customHeight="1">
      <c r="B1723" s="171">
        <v>13</v>
      </c>
      <c r="C1723" s="184" t="s">
        <v>3144</v>
      </c>
      <c r="D1723" s="160" t="s">
        <v>3198</v>
      </c>
      <c r="E1723" s="178" t="s">
        <v>3199</v>
      </c>
      <c r="F1723" s="185">
        <v>15.67</v>
      </c>
      <c r="G1723" s="222">
        <v>21</v>
      </c>
      <c r="H1723" s="186"/>
      <c r="I1723" s="186"/>
      <c r="J1723" s="308"/>
      <c r="K1723" s="227"/>
      <c r="L1723" s="82">
        <f t="shared" si="711"/>
        <v>21</v>
      </c>
      <c r="M1723" s="331">
        <v>21</v>
      </c>
      <c r="N1723" s="161">
        <f t="shared" si="706"/>
        <v>329.07</v>
      </c>
      <c r="O1723" s="161">
        <f t="shared" si="707"/>
        <v>329.07</v>
      </c>
      <c r="P1723" s="187">
        <f t="shared" si="708"/>
        <v>0</v>
      </c>
      <c r="Q1723" s="161">
        <f t="shared" si="709"/>
        <v>0</v>
      </c>
      <c r="R1723" s="188"/>
      <c r="S1723" s="189">
        <f t="shared" si="710"/>
        <v>0</v>
      </c>
      <c r="T1723" s="190">
        <f t="shared" si="705"/>
        <v>21</v>
      </c>
    </row>
    <row r="1724" spans="2:31" ht="20.100000000000001" hidden="1" customHeight="1">
      <c r="B1724" s="77">
        <v>13</v>
      </c>
      <c r="C1724" s="78" t="s">
        <v>3144</v>
      </c>
      <c r="D1724" s="79" t="s">
        <v>3200</v>
      </c>
      <c r="E1724" s="80" t="s">
        <v>3201</v>
      </c>
      <c r="F1724" s="81">
        <v>11.83</v>
      </c>
      <c r="G1724" s="222">
        <v>25</v>
      </c>
      <c r="H1724" s="186"/>
      <c r="I1724" s="186"/>
      <c r="J1724" s="308"/>
      <c r="K1724" s="227"/>
      <c r="L1724" s="82">
        <f t="shared" si="711"/>
        <v>25</v>
      </c>
      <c r="M1724" s="331">
        <v>25</v>
      </c>
      <c r="N1724" s="161">
        <f t="shared" si="706"/>
        <v>295.75</v>
      </c>
      <c r="O1724" s="161">
        <f t="shared" si="707"/>
        <v>295.75</v>
      </c>
      <c r="P1724" s="187">
        <f t="shared" si="708"/>
        <v>0</v>
      </c>
      <c r="Q1724" s="161">
        <f t="shared" si="709"/>
        <v>0</v>
      </c>
      <c r="R1724" s="85"/>
      <c r="S1724" s="86">
        <f t="shared" si="710"/>
        <v>0</v>
      </c>
      <c r="T1724" s="87">
        <f t="shared" si="705"/>
        <v>25</v>
      </c>
    </row>
    <row r="1725" spans="2:31" ht="20.100000000000001" hidden="1" customHeight="1">
      <c r="B1725" s="77">
        <v>13</v>
      </c>
      <c r="C1725" s="78" t="s">
        <v>3144</v>
      </c>
      <c r="D1725" s="79" t="s">
        <v>3200</v>
      </c>
      <c r="E1725" s="80" t="s">
        <v>3201</v>
      </c>
      <c r="F1725" s="81">
        <v>11.83</v>
      </c>
      <c r="G1725" s="222"/>
      <c r="H1725" s="186"/>
      <c r="I1725" s="186"/>
      <c r="J1725" s="308"/>
      <c r="K1725" s="227"/>
      <c r="L1725" s="82">
        <f t="shared" si="711"/>
        <v>0</v>
      </c>
      <c r="M1725" s="331"/>
      <c r="N1725" s="161">
        <f t="shared" si="706"/>
        <v>0</v>
      </c>
      <c r="O1725" s="161">
        <f t="shared" si="707"/>
        <v>0</v>
      </c>
      <c r="P1725" s="187">
        <f t="shared" si="708"/>
        <v>0</v>
      </c>
      <c r="Q1725" s="161">
        <f t="shared" si="709"/>
        <v>0</v>
      </c>
      <c r="R1725" s="85"/>
      <c r="S1725" s="86">
        <f t="shared" si="710"/>
        <v>0</v>
      </c>
      <c r="T1725" s="87">
        <f t="shared" si="705"/>
        <v>0</v>
      </c>
    </row>
    <row r="1726" spans="2:31" ht="20.100000000000001" hidden="1" customHeight="1">
      <c r="B1726" s="77">
        <v>13</v>
      </c>
      <c r="C1726" s="78" t="s">
        <v>3144</v>
      </c>
      <c r="D1726" s="79" t="s">
        <v>3200</v>
      </c>
      <c r="E1726" s="80" t="s">
        <v>3201</v>
      </c>
      <c r="F1726" s="81">
        <v>11.83</v>
      </c>
      <c r="G1726" s="222"/>
      <c r="H1726" s="186"/>
      <c r="I1726" s="186"/>
      <c r="J1726" s="308"/>
      <c r="K1726" s="227"/>
      <c r="L1726" s="82">
        <f t="shared" si="711"/>
        <v>0</v>
      </c>
      <c r="M1726" s="331"/>
      <c r="N1726" s="161">
        <f t="shared" si="706"/>
        <v>0</v>
      </c>
      <c r="O1726" s="161">
        <f t="shared" si="707"/>
        <v>0</v>
      </c>
      <c r="P1726" s="187">
        <f t="shared" si="708"/>
        <v>0</v>
      </c>
      <c r="Q1726" s="161">
        <f t="shared" si="709"/>
        <v>0</v>
      </c>
      <c r="R1726" s="85"/>
      <c r="S1726" s="86">
        <f t="shared" si="710"/>
        <v>0</v>
      </c>
      <c r="T1726" s="87">
        <f t="shared" si="705"/>
        <v>0</v>
      </c>
    </row>
    <row r="1727" spans="2:31" s="35" customFormat="1" ht="20.100000000000001" hidden="1" customHeight="1">
      <c r="B1727" s="171">
        <v>13</v>
      </c>
      <c r="C1727" s="184" t="s">
        <v>3144</v>
      </c>
      <c r="D1727" s="160" t="s">
        <v>3202</v>
      </c>
      <c r="E1727" s="178" t="s">
        <v>3203</v>
      </c>
      <c r="F1727" s="185">
        <v>59.58</v>
      </c>
      <c r="G1727" s="222">
        <v>13</v>
      </c>
      <c r="H1727" s="186"/>
      <c r="I1727" s="186"/>
      <c r="J1727" s="308"/>
      <c r="K1727" s="227"/>
      <c r="L1727" s="82">
        <f t="shared" si="711"/>
        <v>13</v>
      </c>
      <c r="M1727" s="331">
        <v>13</v>
      </c>
      <c r="N1727" s="161">
        <f t="shared" si="706"/>
        <v>774.54</v>
      </c>
      <c r="O1727" s="161">
        <f t="shared" si="707"/>
        <v>774.54</v>
      </c>
      <c r="P1727" s="187">
        <f t="shared" si="708"/>
        <v>0</v>
      </c>
      <c r="Q1727" s="161">
        <f t="shared" si="709"/>
        <v>0</v>
      </c>
      <c r="R1727" s="188"/>
      <c r="S1727" s="189">
        <f t="shared" si="710"/>
        <v>4</v>
      </c>
      <c r="T1727" s="190">
        <f t="shared" si="705"/>
        <v>9</v>
      </c>
      <c r="U1727" s="35">
        <v>4</v>
      </c>
    </row>
    <row r="1728" spans="2:31" ht="20.100000000000001" hidden="1" customHeight="1">
      <c r="B1728" s="77">
        <v>13</v>
      </c>
      <c r="C1728" s="78" t="s">
        <v>3144</v>
      </c>
      <c r="D1728" s="79" t="s">
        <v>3202</v>
      </c>
      <c r="E1728" s="80" t="s">
        <v>3203</v>
      </c>
      <c r="F1728" s="81">
        <v>59.58</v>
      </c>
      <c r="G1728" s="222"/>
      <c r="H1728" s="186"/>
      <c r="I1728" s="186"/>
      <c r="J1728" s="308"/>
      <c r="K1728" s="227"/>
      <c r="L1728" s="82">
        <f t="shared" si="711"/>
        <v>0</v>
      </c>
      <c r="M1728" s="331"/>
      <c r="N1728" s="161">
        <f t="shared" si="706"/>
        <v>0</v>
      </c>
      <c r="O1728" s="161">
        <f t="shared" si="707"/>
        <v>0</v>
      </c>
      <c r="P1728" s="187">
        <f t="shared" si="708"/>
        <v>0</v>
      </c>
      <c r="Q1728" s="161">
        <f t="shared" si="709"/>
        <v>0</v>
      </c>
      <c r="R1728" s="85"/>
      <c r="S1728" s="86">
        <f t="shared" si="710"/>
        <v>0</v>
      </c>
      <c r="T1728" s="87">
        <f t="shared" si="705"/>
        <v>0</v>
      </c>
    </row>
    <row r="1729" spans="2:21" ht="20.100000000000001" hidden="1" customHeight="1">
      <c r="B1729" s="77">
        <v>13</v>
      </c>
      <c r="C1729" s="78" t="s">
        <v>3144</v>
      </c>
      <c r="D1729" s="79" t="s">
        <v>3202</v>
      </c>
      <c r="E1729" s="80" t="s">
        <v>3203</v>
      </c>
      <c r="F1729" s="81">
        <v>59.58</v>
      </c>
      <c r="G1729" s="222"/>
      <c r="H1729" s="186"/>
      <c r="I1729" s="186"/>
      <c r="J1729" s="308"/>
      <c r="K1729" s="227"/>
      <c r="L1729" s="82">
        <f t="shared" si="711"/>
        <v>0</v>
      </c>
      <c r="M1729" s="331"/>
      <c r="N1729" s="161">
        <f t="shared" si="706"/>
        <v>0</v>
      </c>
      <c r="O1729" s="161">
        <f t="shared" si="707"/>
        <v>0</v>
      </c>
      <c r="P1729" s="187">
        <f t="shared" si="708"/>
        <v>0</v>
      </c>
      <c r="Q1729" s="161">
        <f t="shared" si="709"/>
        <v>0</v>
      </c>
      <c r="R1729" s="85"/>
      <c r="S1729" s="86">
        <f t="shared" si="710"/>
        <v>0</v>
      </c>
      <c r="T1729" s="87">
        <f t="shared" si="705"/>
        <v>0</v>
      </c>
    </row>
    <row r="1730" spans="2:21" ht="20.100000000000001" hidden="1" customHeight="1">
      <c r="B1730" s="77">
        <v>13</v>
      </c>
      <c r="C1730" s="78" t="s">
        <v>3144</v>
      </c>
      <c r="D1730" s="173" t="s">
        <v>3204</v>
      </c>
      <c r="E1730" s="174" t="s">
        <v>3205</v>
      </c>
      <c r="F1730" s="81">
        <v>7.33</v>
      </c>
      <c r="G1730" s="222"/>
      <c r="H1730" s="186"/>
      <c r="I1730" s="186"/>
      <c r="J1730" s="308"/>
      <c r="K1730" s="227"/>
      <c r="L1730" s="82">
        <f t="shared" si="711"/>
        <v>0</v>
      </c>
      <c r="M1730" s="331"/>
      <c r="N1730" s="161">
        <f t="shared" si="706"/>
        <v>0</v>
      </c>
      <c r="O1730" s="161">
        <f t="shared" si="707"/>
        <v>0</v>
      </c>
      <c r="P1730" s="187">
        <f t="shared" si="708"/>
        <v>0</v>
      </c>
      <c r="Q1730" s="161">
        <f t="shared" si="709"/>
        <v>0</v>
      </c>
      <c r="R1730" s="85"/>
      <c r="S1730" s="86">
        <f t="shared" si="710"/>
        <v>57</v>
      </c>
      <c r="T1730" s="87">
        <f t="shared" si="705"/>
        <v>-57</v>
      </c>
      <c r="U1730">
        <f>6+3+48</f>
        <v>57</v>
      </c>
    </row>
    <row r="1731" spans="2:21" ht="20.100000000000001" hidden="1" customHeight="1">
      <c r="B1731" s="77">
        <v>13</v>
      </c>
      <c r="C1731" s="78" t="s">
        <v>3144</v>
      </c>
      <c r="D1731" s="79" t="s">
        <v>3204</v>
      </c>
      <c r="E1731" s="80" t="s">
        <v>3205</v>
      </c>
      <c r="F1731" s="81">
        <v>7.33</v>
      </c>
      <c r="G1731" s="222"/>
      <c r="H1731" s="186"/>
      <c r="I1731" s="186"/>
      <c r="J1731" s="308"/>
      <c r="K1731" s="227"/>
      <c r="L1731" s="82">
        <f t="shared" si="711"/>
        <v>0</v>
      </c>
      <c r="M1731" s="331"/>
      <c r="N1731" s="161">
        <f t="shared" si="706"/>
        <v>0</v>
      </c>
      <c r="O1731" s="161">
        <f t="shared" si="707"/>
        <v>0</v>
      </c>
      <c r="P1731" s="187">
        <f t="shared" si="708"/>
        <v>0</v>
      </c>
      <c r="Q1731" s="161">
        <f t="shared" si="709"/>
        <v>0</v>
      </c>
      <c r="R1731" s="85"/>
      <c r="S1731" s="86">
        <f t="shared" si="710"/>
        <v>0</v>
      </c>
      <c r="T1731" s="87">
        <f t="shared" si="705"/>
        <v>0</v>
      </c>
    </row>
    <row r="1732" spans="2:21" ht="20.100000000000001" hidden="1" customHeight="1">
      <c r="B1732" s="77">
        <v>13</v>
      </c>
      <c r="C1732" s="78" t="s">
        <v>3144</v>
      </c>
      <c r="D1732" s="79" t="s">
        <v>3206</v>
      </c>
      <c r="E1732" s="80" t="s">
        <v>3207</v>
      </c>
      <c r="F1732" s="81">
        <v>21.92</v>
      </c>
      <c r="G1732" s="222"/>
      <c r="H1732" s="186"/>
      <c r="I1732" s="186"/>
      <c r="J1732" s="308"/>
      <c r="K1732" s="227"/>
      <c r="L1732" s="82">
        <f t="shared" si="711"/>
        <v>0</v>
      </c>
      <c r="M1732" s="331"/>
      <c r="N1732" s="161">
        <f t="shared" si="706"/>
        <v>0</v>
      </c>
      <c r="O1732" s="161">
        <f t="shared" si="707"/>
        <v>0</v>
      </c>
      <c r="P1732" s="187">
        <f t="shared" si="708"/>
        <v>0</v>
      </c>
      <c r="Q1732" s="161">
        <f t="shared" si="709"/>
        <v>0</v>
      </c>
      <c r="R1732" s="85"/>
      <c r="S1732" s="86">
        <f t="shared" si="710"/>
        <v>0</v>
      </c>
      <c r="T1732" s="87">
        <f t="shared" si="705"/>
        <v>0</v>
      </c>
    </row>
    <row r="1733" spans="2:21" ht="20.100000000000001" hidden="1" customHeight="1">
      <c r="B1733" s="77">
        <v>13</v>
      </c>
      <c r="C1733" s="78" t="s">
        <v>3144</v>
      </c>
      <c r="D1733" s="79" t="s">
        <v>3206</v>
      </c>
      <c r="E1733" s="80" t="s">
        <v>3207</v>
      </c>
      <c r="F1733" s="81">
        <v>21.92</v>
      </c>
      <c r="G1733" s="222"/>
      <c r="H1733" s="186"/>
      <c r="I1733" s="186"/>
      <c r="J1733" s="308"/>
      <c r="K1733" s="227"/>
      <c r="L1733" s="82">
        <f t="shared" si="711"/>
        <v>0</v>
      </c>
      <c r="M1733" s="331"/>
      <c r="N1733" s="161">
        <f t="shared" si="706"/>
        <v>0</v>
      </c>
      <c r="O1733" s="161">
        <f t="shared" si="707"/>
        <v>0</v>
      </c>
      <c r="P1733" s="187">
        <f t="shared" si="708"/>
        <v>0</v>
      </c>
      <c r="Q1733" s="161">
        <f t="shared" si="709"/>
        <v>0</v>
      </c>
      <c r="R1733" s="85"/>
      <c r="S1733" s="86">
        <f t="shared" si="710"/>
        <v>0</v>
      </c>
      <c r="T1733" s="87">
        <f t="shared" si="705"/>
        <v>0</v>
      </c>
    </row>
    <row r="1734" spans="2:21" s="35" customFormat="1" ht="20.100000000000001" hidden="1" customHeight="1">
      <c r="B1734" s="171">
        <v>13</v>
      </c>
      <c r="C1734" s="184" t="s">
        <v>3144</v>
      </c>
      <c r="D1734" s="160" t="s">
        <v>3208</v>
      </c>
      <c r="E1734" s="178" t="s">
        <v>3209</v>
      </c>
      <c r="F1734" s="185">
        <v>16.170000000000002</v>
      </c>
      <c r="G1734" s="222">
        <v>16</v>
      </c>
      <c r="H1734" s="186"/>
      <c r="I1734" s="186"/>
      <c r="J1734" s="308"/>
      <c r="K1734" s="227"/>
      <c r="L1734" s="82">
        <f t="shared" si="711"/>
        <v>16</v>
      </c>
      <c r="M1734" s="331">
        <v>16</v>
      </c>
      <c r="N1734" s="161">
        <f t="shared" si="706"/>
        <v>258.72000000000003</v>
      </c>
      <c r="O1734" s="161">
        <f t="shared" si="707"/>
        <v>258.72000000000003</v>
      </c>
      <c r="P1734" s="187">
        <f t="shared" si="708"/>
        <v>0</v>
      </c>
      <c r="Q1734" s="161">
        <f t="shared" si="709"/>
        <v>0</v>
      </c>
      <c r="R1734" s="188"/>
      <c r="S1734" s="189">
        <f t="shared" si="710"/>
        <v>0</v>
      </c>
      <c r="T1734" s="190">
        <f t="shared" si="705"/>
        <v>16</v>
      </c>
    </row>
    <row r="1735" spans="2:21" s="35" customFormat="1" ht="20.100000000000001" hidden="1" customHeight="1">
      <c r="B1735" s="171">
        <v>13</v>
      </c>
      <c r="C1735" s="184" t="s">
        <v>3144</v>
      </c>
      <c r="D1735" s="160" t="s">
        <v>3210</v>
      </c>
      <c r="E1735" s="178" t="s">
        <v>3211</v>
      </c>
      <c r="F1735" s="185">
        <v>11.83</v>
      </c>
      <c r="G1735" s="222">
        <v>67</v>
      </c>
      <c r="H1735" s="186"/>
      <c r="I1735" s="186"/>
      <c r="J1735" s="308"/>
      <c r="K1735" s="227"/>
      <c r="L1735" s="82">
        <f t="shared" si="711"/>
        <v>67</v>
      </c>
      <c r="M1735" s="331">
        <v>67</v>
      </c>
      <c r="N1735" s="161">
        <f t="shared" si="706"/>
        <v>792.61</v>
      </c>
      <c r="O1735" s="161">
        <f t="shared" si="707"/>
        <v>792.61</v>
      </c>
      <c r="P1735" s="187">
        <f t="shared" si="708"/>
        <v>0</v>
      </c>
      <c r="Q1735" s="161">
        <f t="shared" si="709"/>
        <v>0</v>
      </c>
      <c r="R1735" s="188"/>
      <c r="S1735" s="189">
        <f t="shared" si="710"/>
        <v>0</v>
      </c>
      <c r="T1735" s="190">
        <f t="shared" si="705"/>
        <v>67</v>
      </c>
    </row>
    <row r="1736" spans="2:21" ht="20.100000000000001" hidden="1" customHeight="1">
      <c r="B1736" s="77">
        <v>13</v>
      </c>
      <c r="C1736" s="78" t="s">
        <v>3144</v>
      </c>
      <c r="D1736" s="79" t="s">
        <v>3210</v>
      </c>
      <c r="E1736" s="80" t="s">
        <v>3211</v>
      </c>
      <c r="F1736" s="81">
        <v>11.83</v>
      </c>
      <c r="G1736" s="222"/>
      <c r="H1736" s="186"/>
      <c r="I1736" s="186"/>
      <c r="J1736" s="308"/>
      <c r="K1736" s="227"/>
      <c r="L1736" s="82">
        <f t="shared" si="711"/>
        <v>0</v>
      </c>
      <c r="M1736" s="331"/>
      <c r="N1736" s="161">
        <f t="shared" si="706"/>
        <v>0</v>
      </c>
      <c r="O1736" s="161">
        <f t="shared" si="707"/>
        <v>0</v>
      </c>
      <c r="P1736" s="187">
        <f t="shared" si="708"/>
        <v>0</v>
      </c>
      <c r="Q1736" s="161">
        <f t="shared" si="709"/>
        <v>0</v>
      </c>
      <c r="R1736" s="85"/>
      <c r="S1736" s="86">
        <f t="shared" si="710"/>
        <v>0</v>
      </c>
      <c r="T1736" s="87">
        <f t="shared" si="705"/>
        <v>0</v>
      </c>
    </row>
    <row r="1737" spans="2:21" ht="20.100000000000001" hidden="1" customHeight="1">
      <c r="B1737" s="77">
        <v>13</v>
      </c>
      <c r="C1737" s="78" t="s">
        <v>3144</v>
      </c>
      <c r="D1737" s="79" t="s">
        <v>3212</v>
      </c>
      <c r="E1737" s="80" t="s">
        <v>3213</v>
      </c>
      <c r="F1737" s="81">
        <v>15.5</v>
      </c>
      <c r="G1737" s="222"/>
      <c r="H1737" s="186"/>
      <c r="I1737" s="186"/>
      <c r="J1737" s="308"/>
      <c r="K1737" s="227"/>
      <c r="L1737" s="82">
        <f t="shared" si="711"/>
        <v>0</v>
      </c>
      <c r="M1737" s="331"/>
      <c r="N1737" s="161">
        <f t="shared" si="706"/>
        <v>0</v>
      </c>
      <c r="O1737" s="161">
        <f t="shared" si="707"/>
        <v>0</v>
      </c>
      <c r="P1737" s="187">
        <f t="shared" si="708"/>
        <v>0</v>
      </c>
      <c r="Q1737" s="161">
        <f t="shared" si="709"/>
        <v>0</v>
      </c>
      <c r="R1737" s="85"/>
      <c r="S1737" s="86">
        <f t="shared" si="710"/>
        <v>13</v>
      </c>
      <c r="T1737" s="87">
        <f t="shared" si="705"/>
        <v>-13</v>
      </c>
      <c r="U1737">
        <v>13</v>
      </c>
    </row>
    <row r="1738" spans="2:21" ht="20.100000000000001" hidden="1" customHeight="1">
      <c r="B1738" s="77">
        <v>13</v>
      </c>
      <c r="C1738" s="78" t="s">
        <v>3144</v>
      </c>
      <c r="D1738" s="79" t="s">
        <v>3212</v>
      </c>
      <c r="E1738" s="80" t="s">
        <v>3213</v>
      </c>
      <c r="F1738" s="81">
        <v>15.5</v>
      </c>
      <c r="G1738" s="222"/>
      <c r="H1738" s="186"/>
      <c r="I1738" s="186"/>
      <c r="J1738" s="308"/>
      <c r="K1738" s="227"/>
      <c r="L1738" s="82">
        <f t="shared" si="711"/>
        <v>0</v>
      </c>
      <c r="M1738" s="331"/>
      <c r="N1738" s="161">
        <f t="shared" si="706"/>
        <v>0</v>
      </c>
      <c r="O1738" s="161">
        <f t="shared" si="707"/>
        <v>0</v>
      </c>
      <c r="P1738" s="187">
        <f t="shared" si="708"/>
        <v>0</v>
      </c>
      <c r="Q1738" s="161">
        <f t="shared" si="709"/>
        <v>0</v>
      </c>
      <c r="R1738" s="85"/>
      <c r="S1738" s="86">
        <f t="shared" si="710"/>
        <v>0</v>
      </c>
      <c r="T1738" s="87">
        <f t="shared" si="705"/>
        <v>0</v>
      </c>
    </row>
    <row r="1739" spans="2:21" ht="20.100000000000001" hidden="1" customHeight="1">
      <c r="B1739" s="77">
        <v>13</v>
      </c>
      <c r="C1739" s="78" t="s">
        <v>3144</v>
      </c>
      <c r="D1739" s="79" t="s">
        <v>3214</v>
      </c>
      <c r="E1739" s="80" t="s">
        <v>3215</v>
      </c>
      <c r="F1739" s="81">
        <v>7.03</v>
      </c>
      <c r="G1739" s="222"/>
      <c r="H1739" s="186"/>
      <c r="I1739" s="186"/>
      <c r="J1739" s="308"/>
      <c r="K1739" s="227"/>
      <c r="L1739" s="82">
        <f t="shared" si="711"/>
        <v>0</v>
      </c>
      <c r="M1739" s="331"/>
      <c r="N1739" s="161">
        <f t="shared" si="706"/>
        <v>0</v>
      </c>
      <c r="O1739" s="161">
        <f t="shared" si="707"/>
        <v>0</v>
      </c>
      <c r="P1739" s="187">
        <f t="shared" si="708"/>
        <v>0</v>
      </c>
      <c r="Q1739" s="161">
        <f t="shared" si="709"/>
        <v>0</v>
      </c>
      <c r="R1739" s="85"/>
      <c r="S1739" s="86">
        <f t="shared" si="710"/>
        <v>0</v>
      </c>
      <c r="T1739" s="87">
        <f t="shared" si="705"/>
        <v>0</v>
      </c>
    </row>
    <row r="1740" spans="2:21" ht="20.100000000000001" hidden="1" customHeight="1">
      <c r="B1740" s="77">
        <v>13</v>
      </c>
      <c r="C1740" s="78" t="s">
        <v>3144</v>
      </c>
      <c r="D1740" s="173" t="s">
        <v>3214</v>
      </c>
      <c r="E1740" s="174" t="s">
        <v>3215</v>
      </c>
      <c r="F1740" s="81">
        <v>7.03</v>
      </c>
      <c r="G1740" s="222"/>
      <c r="H1740" s="186"/>
      <c r="I1740" s="186"/>
      <c r="J1740" s="308"/>
      <c r="K1740" s="227"/>
      <c r="L1740" s="82">
        <f t="shared" si="711"/>
        <v>0</v>
      </c>
      <c r="M1740" s="331"/>
      <c r="N1740" s="161">
        <f t="shared" si="706"/>
        <v>0</v>
      </c>
      <c r="O1740" s="161">
        <f t="shared" si="707"/>
        <v>0</v>
      </c>
      <c r="P1740" s="187">
        <f t="shared" si="708"/>
        <v>0</v>
      </c>
      <c r="Q1740" s="161">
        <f t="shared" si="709"/>
        <v>0</v>
      </c>
      <c r="R1740" s="85"/>
      <c r="S1740" s="86">
        <f t="shared" si="710"/>
        <v>35</v>
      </c>
      <c r="T1740" s="87">
        <f t="shared" si="705"/>
        <v>-35</v>
      </c>
      <c r="U1740">
        <v>35</v>
      </c>
    </row>
    <row r="1741" spans="2:21" ht="20.100000000000001" hidden="1" customHeight="1">
      <c r="B1741" s="77">
        <v>13</v>
      </c>
      <c r="C1741" s="78" t="s">
        <v>3144</v>
      </c>
      <c r="D1741" s="79" t="s">
        <v>3214</v>
      </c>
      <c r="E1741" s="80" t="s">
        <v>3215</v>
      </c>
      <c r="F1741" s="81">
        <v>7.03</v>
      </c>
      <c r="G1741" s="222"/>
      <c r="H1741" s="186"/>
      <c r="I1741" s="186"/>
      <c r="J1741" s="308"/>
      <c r="K1741" s="227"/>
      <c r="L1741" s="82">
        <f t="shared" si="711"/>
        <v>0</v>
      </c>
      <c r="M1741" s="331"/>
      <c r="N1741" s="161">
        <f t="shared" si="706"/>
        <v>0</v>
      </c>
      <c r="O1741" s="161">
        <f t="shared" si="707"/>
        <v>0</v>
      </c>
      <c r="P1741" s="187">
        <f t="shared" si="708"/>
        <v>0</v>
      </c>
      <c r="Q1741" s="161">
        <f t="shared" si="709"/>
        <v>0</v>
      </c>
      <c r="R1741" s="85"/>
      <c r="S1741" s="86">
        <f t="shared" si="710"/>
        <v>0</v>
      </c>
      <c r="T1741" s="87">
        <f t="shared" si="705"/>
        <v>0</v>
      </c>
    </row>
    <row r="1742" spans="2:21" ht="20.100000000000001" hidden="1" customHeight="1">
      <c r="B1742" s="77">
        <v>13</v>
      </c>
      <c r="C1742" s="78" t="s">
        <v>3144</v>
      </c>
      <c r="D1742" s="79" t="s">
        <v>3214</v>
      </c>
      <c r="E1742" s="80" t="s">
        <v>3215</v>
      </c>
      <c r="F1742" s="81">
        <v>7.03</v>
      </c>
      <c r="G1742" s="222"/>
      <c r="H1742" s="186"/>
      <c r="I1742" s="186"/>
      <c r="J1742" s="308"/>
      <c r="K1742" s="227"/>
      <c r="L1742" s="82">
        <f t="shared" si="711"/>
        <v>0</v>
      </c>
      <c r="M1742" s="331"/>
      <c r="N1742" s="161">
        <f t="shared" si="706"/>
        <v>0</v>
      </c>
      <c r="O1742" s="161">
        <f t="shared" si="707"/>
        <v>0</v>
      </c>
      <c r="P1742" s="187">
        <f t="shared" si="708"/>
        <v>0</v>
      </c>
      <c r="Q1742" s="161">
        <f t="shared" si="709"/>
        <v>0</v>
      </c>
      <c r="R1742" s="85"/>
      <c r="S1742" s="86">
        <f t="shared" si="710"/>
        <v>0</v>
      </c>
      <c r="T1742" s="87">
        <f t="shared" si="705"/>
        <v>0</v>
      </c>
    </row>
    <row r="1743" spans="2:21" ht="20.100000000000001" hidden="1" customHeight="1">
      <c r="B1743" s="77">
        <v>13</v>
      </c>
      <c r="C1743" s="78" t="s">
        <v>3144</v>
      </c>
      <c r="D1743" s="79" t="s">
        <v>3216</v>
      </c>
      <c r="E1743" s="80" t="s">
        <v>3217</v>
      </c>
      <c r="F1743" s="81">
        <v>9.17</v>
      </c>
      <c r="G1743" s="222"/>
      <c r="H1743" s="186"/>
      <c r="I1743" s="186"/>
      <c r="J1743" s="308"/>
      <c r="K1743" s="227"/>
      <c r="L1743" s="82">
        <f t="shared" si="711"/>
        <v>0</v>
      </c>
      <c r="M1743" s="331"/>
      <c r="N1743" s="161">
        <f t="shared" si="706"/>
        <v>0</v>
      </c>
      <c r="O1743" s="161">
        <f t="shared" si="707"/>
        <v>0</v>
      </c>
      <c r="P1743" s="187">
        <f t="shared" si="708"/>
        <v>0</v>
      </c>
      <c r="Q1743" s="161">
        <f t="shared" si="709"/>
        <v>0</v>
      </c>
      <c r="R1743" s="85"/>
      <c r="S1743" s="86">
        <f t="shared" si="710"/>
        <v>0</v>
      </c>
      <c r="T1743" s="87">
        <f t="shared" si="705"/>
        <v>0</v>
      </c>
    </row>
    <row r="1744" spans="2:21" ht="20.100000000000001" hidden="1" customHeight="1">
      <c r="B1744" s="77">
        <v>13</v>
      </c>
      <c r="C1744" s="78" t="s">
        <v>3144</v>
      </c>
      <c r="D1744" s="173" t="s">
        <v>3216</v>
      </c>
      <c r="E1744" s="174" t="s">
        <v>3217</v>
      </c>
      <c r="F1744" s="81">
        <v>9.3800000000000008</v>
      </c>
      <c r="G1744" s="222"/>
      <c r="H1744" s="186"/>
      <c r="I1744" s="186"/>
      <c r="J1744" s="308"/>
      <c r="K1744" s="227"/>
      <c r="L1744" s="82">
        <f t="shared" si="711"/>
        <v>0</v>
      </c>
      <c r="M1744" s="331"/>
      <c r="N1744" s="161">
        <f t="shared" si="706"/>
        <v>0</v>
      </c>
      <c r="O1744" s="161">
        <f t="shared" si="707"/>
        <v>0</v>
      </c>
      <c r="P1744" s="187">
        <f t="shared" si="708"/>
        <v>0</v>
      </c>
      <c r="Q1744" s="161">
        <f t="shared" si="709"/>
        <v>0</v>
      </c>
      <c r="R1744" s="85"/>
      <c r="S1744" s="86">
        <f t="shared" si="710"/>
        <v>98</v>
      </c>
      <c r="T1744" s="87">
        <f t="shared" si="705"/>
        <v>-98</v>
      </c>
      <c r="U1744">
        <f>17+14+2+17+48</f>
        <v>98</v>
      </c>
    </row>
    <row r="1745" spans="2:31" ht="20.100000000000001" hidden="1" customHeight="1">
      <c r="B1745" s="77">
        <v>13</v>
      </c>
      <c r="C1745" s="78" t="s">
        <v>3144</v>
      </c>
      <c r="D1745" s="79" t="s">
        <v>3218</v>
      </c>
      <c r="E1745" s="80" t="s">
        <v>3219</v>
      </c>
      <c r="F1745" s="81">
        <v>78.33</v>
      </c>
      <c r="G1745" s="222"/>
      <c r="H1745" s="186"/>
      <c r="I1745" s="186"/>
      <c r="J1745" s="308"/>
      <c r="K1745" s="227"/>
      <c r="L1745" s="82">
        <f t="shared" si="711"/>
        <v>0</v>
      </c>
      <c r="M1745" s="331"/>
      <c r="N1745" s="161">
        <f t="shared" si="706"/>
        <v>0</v>
      </c>
      <c r="O1745" s="161">
        <f t="shared" si="707"/>
        <v>0</v>
      </c>
      <c r="P1745" s="187">
        <f t="shared" si="708"/>
        <v>0</v>
      </c>
      <c r="Q1745" s="161">
        <f t="shared" si="709"/>
        <v>0</v>
      </c>
      <c r="R1745" s="85"/>
      <c r="S1745" s="86">
        <f t="shared" si="710"/>
        <v>0</v>
      </c>
      <c r="T1745" s="87">
        <f t="shared" si="705"/>
        <v>0</v>
      </c>
    </row>
    <row r="1746" spans="2:31" ht="20.100000000000001" hidden="1" customHeight="1">
      <c r="B1746" s="77">
        <v>13</v>
      </c>
      <c r="C1746" s="78" t="s">
        <v>3144</v>
      </c>
      <c r="D1746" s="79" t="s">
        <v>3218</v>
      </c>
      <c r="E1746" s="80" t="s">
        <v>3219</v>
      </c>
      <c r="F1746" s="81">
        <v>78.33</v>
      </c>
      <c r="G1746" s="222"/>
      <c r="H1746" s="186"/>
      <c r="I1746" s="186"/>
      <c r="J1746" s="308"/>
      <c r="K1746" s="227"/>
      <c r="L1746" s="82">
        <f t="shared" si="711"/>
        <v>0</v>
      </c>
      <c r="M1746" s="331"/>
      <c r="N1746" s="161">
        <f t="shared" si="706"/>
        <v>0</v>
      </c>
      <c r="O1746" s="161">
        <f t="shared" si="707"/>
        <v>0</v>
      </c>
      <c r="P1746" s="187">
        <f t="shared" si="708"/>
        <v>0</v>
      </c>
      <c r="Q1746" s="161">
        <f t="shared" si="709"/>
        <v>0</v>
      </c>
      <c r="R1746" s="85"/>
      <c r="S1746" s="86">
        <f t="shared" si="710"/>
        <v>0</v>
      </c>
      <c r="T1746" s="87">
        <f t="shared" si="705"/>
        <v>0</v>
      </c>
    </row>
    <row r="1747" spans="2:31" ht="20.100000000000001" hidden="1" customHeight="1">
      <c r="B1747" s="77">
        <v>13</v>
      </c>
      <c r="C1747" s="78" t="s">
        <v>3144</v>
      </c>
      <c r="D1747" s="219" t="s">
        <v>3909</v>
      </c>
      <c r="E1747" s="271" t="s">
        <v>4601</v>
      </c>
      <c r="F1747" s="273">
        <v>29.508333333333301</v>
      </c>
      <c r="G1747" s="222"/>
      <c r="H1747" s="186"/>
      <c r="I1747" s="186">
        <v>24</v>
      </c>
      <c r="J1747" s="308"/>
      <c r="K1747" s="227">
        <v>1</v>
      </c>
      <c r="L1747" s="82">
        <f t="shared" ref="L1747" si="712">G1747+I1747-J1747-K1747+H1747</f>
        <v>23</v>
      </c>
      <c r="M1747" s="331">
        <v>23</v>
      </c>
      <c r="N1747" s="161">
        <f t="shared" ref="N1747" si="713">F1747*L1747</f>
        <v>678.69166666666592</v>
      </c>
      <c r="O1747" s="161">
        <f t="shared" ref="O1747" si="714">M1747*F1747</f>
        <v>678.69166666666592</v>
      </c>
      <c r="P1747" s="187">
        <f t="shared" ref="P1747" si="715">L1747-M1747</f>
        <v>0</v>
      </c>
      <c r="Q1747" s="161">
        <f t="shared" ref="Q1747" si="716">N1747-O1747</f>
        <v>0</v>
      </c>
      <c r="R1747" s="85"/>
      <c r="S1747" s="86">
        <f t="shared" ref="S1747" si="717">U1747+Y1747+W1747+AA1747</f>
        <v>28</v>
      </c>
      <c r="T1747" s="87">
        <f t="shared" ref="T1747" si="718">M1747-S1747</f>
        <v>-5</v>
      </c>
      <c r="U1747">
        <v>23</v>
      </c>
      <c r="AA1747">
        <v>5</v>
      </c>
      <c r="AB1747" s="88" t="s">
        <v>91</v>
      </c>
      <c r="AD1747">
        <f>AA1747</f>
        <v>5</v>
      </c>
      <c r="AE1747" s="89">
        <f>AD1747*F1747</f>
        <v>147.54166666666652</v>
      </c>
    </row>
    <row r="1748" spans="2:31" ht="20.100000000000001" hidden="1" customHeight="1">
      <c r="B1748" s="77">
        <v>13</v>
      </c>
      <c r="C1748" s="78" t="s">
        <v>3144</v>
      </c>
      <c r="D1748" s="219" t="s">
        <v>4771</v>
      </c>
      <c r="E1748" s="271" t="s">
        <v>4716</v>
      </c>
      <c r="F1748" s="273">
        <v>31.9366666666666</v>
      </c>
      <c r="G1748" s="222"/>
      <c r="H1748" s="186"/>
      <c r="I1748" s="186">
        <v>24</v>
      </c>
      <c r="J1748" s="308"/>
      <c r="K1748" s="227"/>
      <c r="L1748" s="82">
        <f t="shared" ref="L1748" si="719">G1748+I1748-J1748-K1748+H1748</f>
        <v>24</v>
      </c>
      <c r="M1748" s="331">
        <v>24</v>
      </c>
      <c r="N1748" s="161">
        <f t="shared" ref="N1748" si="720">F1748*L1748</f>
        <v>766.47999999999843</v>
      </c>
      <c r="O1748" s="161">
        <f t="shared" ref="O1748" si="721">M1748*F1748</f>
        <v>766.47999999999843</v>
      </c>
      <c r="P1748" s="187">
        <f t="shared" ref="P1748" si="722">L1748-M1748</f>
        <v>0</v>
      </c>
      <c r="Q1748" s="161">
        <f t="shared" ref="Q1748" si="723">N1748-O1748</f>
        <v>0</v>
      </c>
      <c r="R1748" s="85"/>
      <c r="S1748" s="86">
        <f t="shared" ref="S1748" si="724">U1748+Y1748+W1748+AA1748</f>
        <v>28</v>
      </c>
      <c r="T1748" s="87">
        <f t="shared" ref="T1748" si="725">M1748-S1748</f>
        <v>-4</v>
      </c>
      <c r="U1748">
        <v>23</v>
      </c>
      <c r="AA1748">
        <v>5</v>
      </c>
      <c r="AB1748" s="88" t="s">
        <v>91</v>
      </c>
      <c r="AD1748">
        <f>AA1748</f>
        <v>5</v>
      </c>
      <c r="AE1748" s="89">
        <f>AD1748*F1748</f>
        <v>159.683333333333</v>
      </c>
    </row>
    <row r="1749" spans="2:31" ht="20.100000000000001" hidden="1" customHeight="1">
      <c r="B1749" s="77">
        <v>13</v>
      </c>
      <c r="C1749" s="78" t="s">
        <v>3144</v>
      </c>
      <c r="D1749" s="79" t="s">
        <v>3220</v>
      </c>
      <c r="E1749" s="80" t="s">
        <v>3221</v>
      </c>
      <c r="F1749" s="81">
        <v>22.73</v>
      </c>
      <c r="G1749" s="222">
        <v>20</v>
      </c>
      <c r="H1749" s="186"/>
      <c r="I1749" s="186"/>
      <c r="J1749" s="308"/>
      <c r="K1749" s="227">
        <v>2</v>
      </c>
      <c r="L1749" s="82">
        <f t="shared" si="711"/>
        <v>18</v>
      </c>
      <c r="M1749" s="331">
        <v>18</v>
      </c>
      <c r="N1749" s="161">
        <f t="shared" si="706"/>
        <v>409.14</v>
      </c>
      <c r="O1749" s="161">
        <f t="shared" si="707"/>
        <v>409.14</v>
      </c>
      <c r="P1749" s="187">
        <f t="shared" si="708"/>
        <v>0</v>
      </c>
      <c r="Q1749" s="161">
        <f t="shared" si="709"/>
        <v>0</v>
      </c>
      <c r="R1749" s="85"/>
      <c r="S1749" s="86">
        <f t="shared" si="710"/>
        <v>28</v>
      </c>
      <c r="T1749" s="87">
        <f t="shared" si="705"/>
        <v>-10</v>
      </c>
      <c r="U1749">
        <v>23</v>
      </c>
      <c r="AA1749">
        <v>5</v>
      </c>
      <c r="AB1749" s="88" t="s">
        <v>91</v>
      </c>
      <c r="AD1749">
        <f>AA1749</f>
        <v>5</v>
      </c>
      <c r="AE1749" s="89">
        <f>AD1749*F1749</f>
        <v>113.65</v>
      </c>
    </row>
    <row r="1750" spans="2:31" ht="20.100000000000001" hidden="1" customHeight="1">
      <c r="B1750" s="77">
        <v>13</v>
      </c>
      <c r="C1750" s="78" t="s">
        <v>3144</v>
      </c>
      <c r="D1750" s="79" t="s">
        <v>3222</v>
      </c>
      <c r="E1750" s="80" t="s">
        <v>3223</v>
      </c>
      <c r="F1750" s="81">
        <v>22.73</v>
      </c>
      <c r="G1750" s="222">
        <v>2</v>
      </c>
      <c r="H1750" s="186"/>
      <c r="I1750" s="186">
        <v>24</v>
      </c>
      <c r="J1750" s="308"/>
      <c r="K1750" s="227">
        <v>7</v>
      </c>
      <c r="L1750" s="82">
        <f t="shared" si="711"/>
        <v>19</v>
      </c>
      <c r="M1750" s="331">
        <v>19</v>
      </c>
      <c r="N1750" s="161">
        <f t="shared" si="706"/>
        <v>431.87</v>
      </c>
      <c r="O1750" s="161">
        <f t="shared" si="707"/>
        <v>431.87</v>
      </c>
      <c r="P1750" s="187">
        <f t="shared" si="708"/>
        <v>0</v>
      </c>
      <c r="Q1750" s="161">
        <f t="shared" si="709"/>
        <v>0</v>
      </c>
      <c r="R1750" s="85"/>
      <c r="S1750" s="86">
        <f t="shared" si="710"/>
        <v>22</v>
      </c>
      <c r="T1750" s="87">
        <f t="shared" si="705"/>
        <v>-3</v>
      </c>
      <c r="U1750">
        <v>21</v>
      </c>
      <c r="AA1750">
        <v>1</v>
      </c>
      <c r="AB1750" s="88" t="s">
        <v>3224</v>
      </c>
      <c r="AD1750">
        <f>AA1750</f>
        <v>1</v>
      </c>
      <c r="AE1750" s="89">
        <f>AD1750*F1750</f>
        <v>22.73</v>
      </c>
    </row>
    <row r="1751" spans="2:31" ht="20.100000000000001" hidden="1" customHeight="1">
      <c r="B1751" s="77">
        <v>13</v>
      </c>
      <c r="C1751" s="78" t="s">
        <v>3144</v>
      </c>
      <c r="D1751" s="79" t="s">
        <v>3225</v>
      </c>
      <c r="E1751" s="80" t="s">
        <v>3226</v>
      </c>
      <c r="F1751" s="81">
        <v>30.14</v>
      </c>
      <c r="G1751" s="222">
        <v>1</v>
      </c>
      <c r="H1751" s="186"/>
      <c r="I1751" s="186"/>
      <c r="J1751" s="308"/>
      <c r="K1751" s="227">
        <v>1</v>
      </c>
      <c r="L1751" s="82">
        <f t="shared" si="711"/>
        <v>0</v>
      </c>
      <c r="M1751" s="331"/>
      <c r="N1751" s="161">
        <f t="shared" si="706"/>
        <v>0</v>
      </c>
      <c r="O1751" s="161">
        <f t="shared" si="707"/>
        <v>0</v>
      </c>
      <c r="P1751" s="187">
        <f t="shared" si="708"/>
        <v>0</v>
      </c>
      <c r="Q1751" s="161">
        <f t="shared" si="709"/>
        <v>0</v>
      </c>
      <c r="R1751" s="85"/>
      <c r="S1751" s="86">
        <f t="shared" si="710"/>
        <v>2</v>
      </c>
      <c r="T1751" s="87">
        <f t="shared" si="705"/>
        <v>-2</v>
      </c>
      <c r="U1751">
        <v>2</v>
      </c>
    </row>
    <row r="1752" spans="2:31" ht="20.100000000000001" hidden="1" customHeight="1">
      <c r="B1752" s="77">
        <v>13</v>
      </c>
      <c r="C1752" s="78" t="s">
        <v>3144</v>
      </c>
      <c r="D1752" s="79" t="s">
        <v>3227</v>
      </c>
      <c r="E1752" s="80" t="s">
        <v>3228</v>
      </c>
      <c r="F1752" s="81">
        <v>165.95</v>
      </c>
      <c r="G1752" s="222"/>
      <c r="H1752" s="186"/>
      <c r="I1752" s="186"/>
      <c r="J1752" s="308"/>
      <c r="K1752" s="227"/>
      <c r="L1752" s="82">
        <f t="shared" si="711"/>
        <v>0</v>
      </c>
      <c r="M1752" s="331"/>
      <c r="N1752" s="161">
        <f t="shared" si="706"/>
        <v>0</v>
      </c>
      <c r="O1752" s="161">
        <f t="shared" si="707"/>
        <v>0</v>
      </c>
      <c r="P1752" s="187">
        <f t="shared" si="708"/>
        <v>0</v>
      </c>
      <c r="Q1752" s="161">
        <f t="shared" si="709"/>
        <v>0</v>
      </c>
      <c r="R1752" s="85"/>
      <c r="S1752" s="86">
        <f t="shared" si="710"/>
        <v>1</v>
      </c>
      <c r="T1752" s="87">
        <f t="shared" si="705"/>
        <v>-1</v>
      </c>
      <c r="U1752">
        <v>1</v>
      </c>
    </row>
    <row r="1753" spans="2:31" ht="20.100000000000001" hidden="1" customHeight="1">
      <c r="B1753" s="77">
        <v>13</v>
      </c>
      <c r="C1753" s="78" t="s">
        <v>3144</v>
      </c>
      <c r="D1753" s="79" t="s">
        <v>3229</v>
      </c>
      <c r="E1753" s="80" t="s">
        <v>3230</v>
      </c>
      <c r="F1753" s="81">
        <v>28.89</v>
      </c>
      <c r="G1753" s="222"/>
      <c r="H1753" s="186"/>
      <c r="I1753" s="186"/>
      <c r="J1753" s="308"/>
      <c r="K1753" s="227"/>
      <c r="L1753" s="82">
        <f t="shared" si="711"/>
        <v>0</v>
      </c>
      <c r="M1753" s="331"/>
      <c r="N1753" s="161">
        <f t="shared" si="706"/>
        <v>0</v>
      </c>
      <c r="O1753" s="161">
        <f t="shared" si="707"/>
        <v>0</v>
      </c>
      <c r="P1753" s="187">
        <f t="shared" si="708"/>
        <v>0</v>
      </c>
      <c r="Q1753" s="161">
        <f t="shared" si="709"/>
        <v>0</v>
      </c>
      <c r="R1753" s="232"/>
      <c r="S1753" s="86">
        <f t="shared" si="710"/>
        <v>0</v>
      </c>
      <c r="T1753" s="87">
        <f t="shared" si="705"/>
        <v>0</v>
      </c>
    </row>
    <row r="1754" spans="2:31" ht="20.100000000000001" hidden="1" customHeight="1">
      <c r="B1754" s="77">
        <v>13</v>
      </c>
      <c r="C1754" s="78" t="s">
        <v>3144</v>
      </c>
      <c r="D1754" s="79" t="s">
        <v>3231</v>
      </c>
      <c r="E1754" s="80" t="s">
        <v>3232</v>
      </c>
      <c r="F1754" s="81">
        <v>28.25</v>
      </c>
      <c r="G1754" s="222"/>
      <c r="H1754" s="186"/>
      <c r="I1754" s="186"/>
      <c r="J1754" s="308"/>
      <c r="K1754" s="227"/>
      <c r="L1754" s="82">
        <f t="shared" si="711"/>
        <v>0</v>
      </c>
      <c r="M1754" s="331">
        <v>0</v>
      </c>
      <c r="N1754" s="161">
        <f t="shared" si="706"/>
        <v>0</v>
      </c>
      <c r="O1754" s="161">
        <f t="shared" si="707"/>
        <v>0</v>
      </c>
      <c r="P1754" s="187">
        <f t="shared" si="708"/>
        <v>0</v>
      </c>
      <c r="Q1754" s="161">
        <f t="shared" si="709"/>
        <v>0</v>
      </c>
      <c r="R1754" s="85"/>
      <c r="S1754" s="86">
        <f t="shared" si="710"/>
        <v>0</v>
      </c>
      <c r="T1754" s="87">
        <f t="shared" si="705"/>
        <v>0</v>
      </c>
    </row>
    <row r="1755" spans="2:31" ht="20.100000000000001" hidden="1" customHeight="1">
      <c r="B1755" s="77">
        <v>13</v>
      </c>
      <c r="C1755" s="78" t="s">
        <v>3144</v>
      </c>
      <c r="D1755" s="79" t="s">
        <v>3231</v>
      </c>
      <c r="E1755" s="80" t="s">
        <v>3232</v>
      </c>
      <c r="F1755" s="81">
        <v>28.25</v>
      </c>
      <c r="G1755" s="222">
        <v>51</v>
      </c>
      <c r="H1755" s="186"/>
      <c r="I1755" s="186"/>
      <c r="J1755" s="308"/>
      <c r="K1755" s="227"/>
      <c r="L1755" s="82">
        <f t="shared" si="711"/>
        <v>51</v>
      </c>
      <c r="M1755" s="331">
        <v>51</v>
      </c>
      <c r="N1755" s="161">
        <f t="shared" si="706"/>
        <v>1440.75</v>
      </c>
      <c r="O1755" s="161">
        <f t="shared" si="707"/>
        <v>1440.75</v>
      </c>
      <c r="P1755" s="187">
        <f t="shared" si="708"/>
        <v>0</v>
      </c>
      <c r="Q1755" s="161">
        <f t="shared" si="709"/>
        <v>0</v>
      </c>
      <c r="R1755" s="85"/>
      <c r="S1755" s="86">
        <f t="shared" si="710"/>
        <v>36</v>
      </c>
      <c r="T1755" s="87">
        <f t="shared" si="705"/>
        <v>15</v>
      </c>
      <c r="U1755">
        <f>30+6</f>
        <v>36</v>
      </c>
    </row>
    <row r="1756" spans="2:31" ht="20.100000000000001" hidden="1" customHeight="1">
      <c r="B1756" s="77">
        <v>13</v>
      </c>
      <c r="C1756" s="78" t="s">
        <v>3144</v>
      </c>
      <c r="D1756" s="79" t="s">
        <v>3233</v>
      </c>
      <c r="E1756" s="80" t="s">
        <v>3234</v>
      </c>
      <c r="F1756" s="81">
        <v>30.79</v>
      </c>
      <c r="G1756" s="222">
        <v>33</v>
      </c>
      <c r="H1756" s="186"/>
      <c r="I1756" s="186"/>
      <c r="J1756" s="308"/>
      <c r="K1756" s="227">
        <v>1</v>
      </c>
      <c r="L1756" s="82">
        <f t="shared" si="711"/>
        <v>32</v>
      </c>
      <c r="M1756" s="331">
        <v>32</v>
      </c>
      <c r="N1756" s="161">
        <f t="shared" si="706"/>
        <v>985.28</v>
      </c>
      <c r="O1756" s="161">
        <f t="shared" si="707"/>
        <v>985.28</v>
      </c>
      <c r="P1756" s="187">
        <f t="shared" si="708"/>
        <v>0</v>
      </c>
      <c r="Q1756" s="161">
        <f t="shared" si="709"/>
        <v>0</v>
      </c>
      <c r="R1756" s="85"/>
      <c r="S1756" s="86">
        <f t="shared" si="710"/>
        <v>48</v>
      </c>
      <c r="T1756" s="87">
        <f t="shared" si="705"/>
        <v>-16</v>
      </c>
      <c r="U1756">
        <f>5+7+12+24</f>
        <v>48</v>
      </c>
    </row>
    <row r="1757" spans="2:31" ht="20.100000000000001" hidden="1" customHeight="1">
      <c r="B1757" s="77">
        <v>13</v>
      </c>
      <c r="C1757" s="78" t="s">
        <v>3144</v>
      </c>
      <c r="D1757" s="79" t="s">
        <v>3233</v>
      </c>
      <c r="E1757" s="80" t="s">
        <v>3234</v>
      </c>
      <c r="F1757" s="81">
        <v>30.79</v>
      </c>
      <c r="G1757" s="222"/>
      <c r="H1757" s="186"/>
      <c r="I1757" s="186"/>
      <c r="J1757" s="308"/>
      <c r="K1757" s="227"/>
      <c r="L1757" s="82">
        <f t="shared" si="711"/>
        <v>0</v>
      </c>
      <c r="M1757" s="331"/>
      <c r="N1757" s="161">
        <f t="shared" si="706"/>
        <v>0</v>
      </c>
      <c r="O1757" s="161">
        <f t="shared" si="707"/>
        <v>0</v>
      </c>
      <c r="P1757" s="187">
        <f t="shared" si="708"/>
        <v>0</v>
      </c>
      <c r="Q1757" s="161">
        <f t="shared" si="709"/>
        <v>0</v>
      </c>
      <c r="R1757" s="85"/>
      <c r="S1757" s="86">
        <f t="shared" si="710"/>
        <v>0</v>
      </c>
      <c r="T1757" s="87">
        <f t="shared" si="705"/>
        <v>0</v>
      </c>
    </row>
    <row r="1758" spans="2:31" ht="20.100000000000001" hidden="1" customHeight="1">
      <c r="B1758" s="77">
        <v>13</v>
      </c>
      <c r="C1758" s="78" t="s">
        <v>3144</v>
      </c>
      <c r="D1758" s="79" t="s">
        <v>3235</v>
      </c>
      <c r="E1758" s="80" t="s">
        <v>3236</v>
      </c>
      <c r="F1758" s="81">
        <v>19.11</v>
      </c>
      <c r="G1758" s="222"/>
      <c r="H1758" s="186"/>
      <c r="I1758" s="186"/>
      <c r="J1758" s="308"/>
      <c r="K1758" s="227"/>
      <c r="L1758" s="82">
        <f t="shared" si="711"/>
        <v>0</v>
      </c>
      <c r="M1758" s="331"/>
      <c r="N1758" s="161">
        <f t="shared" si="706"/>
        <v>0</v>
      </c>
      <c r="O1758" s="161">
        <f t="shared" si="707"/>
        <v>0</v>
      </c>
      <c r="P1758" s="187">
        <f t="shared" si="708"/>
        <v>0</v>
      </c>
      <c r="Q1758" s="161">
        <f t="shared" si="709"/>
        <v>0</v>
      </c>
      <c r="R1758" s="85"/>
      <c r="S1758" s="86">
        <f t="shared" si="710"/>
        <v>0</v>
      </c>
      <c r="T1758" s="87">
        <f t="shared" si="705"/>
        <v>0</v>
      </c>
    </row>
    <row r="1759" spans="2:31" ht="20.100000000000001" hidden="1" customHeight="1">
      <c r="B1759" s="77">
        <v>13</v>
      </c>
      <c r="C1759" s="78" t="s">
        <v>3144</v>
      </c>
      <c r="D1759" s="79" t="s">
        <v>3237</v>
      </c>
      <c r="E1759" s="80" t="s">
        <v>3238</v>
      </c>
      <c r="F1759" s="81">
        <v>10.65</v>
      </c>
      <c r="G1759" s="222"/>
      <c r="H1759" s="186"/>
      <c r="I1759" s="186"/>
      <c r="J1759" s="308"/>
      <c r="K1759" s="227"/>
      <c r="L1759" s="82">
        <f t="shared" si="711"/>
        <v>0</v>
      </c>
      <c r="M1759" s="331"/>
      <c r="N1759" s="161">
        <f t="shared" si="706"/>
        <v>0</v>
      </c>
      <c r="O1759" s="161">
        <f t="shared" si="707"/>
        <v>0</v>
      </c>
      <c r="P1759" s="187">
        <f t="shared" si="708"/>
        <v>0</v>
      </c>
      <c r="Q1759" s="161">
        <f t="shared" si="709"/>
        <v>0</v>
      </c>
      <c r="R1759" s="85"/>
      <c r="S1759" s="86">
        <f t="shared" si="710"/>
        <v>0</v>
      </c>
      <c r="T1759" s="87">
        <f t="shared" si="705"/>
        <v>0</v>
      </c>
    </row>
    <row r="1760" spans="2:31" ht="20.100000000000001" hidden="1" customHeight="1">
      <c r="B1760" s="77">
        <v>13</v>
      </c>
      <c r="C1760" s="78" t="s">
        <v>3144</v>
      </c>
      <c r="D1760" s="79" t="s">
        <v>3239</v>
      </c>
      <c r="E1760" s="80" t="s">
        <v>3240</v>
      </c>
      <c r="F1760" s="81">
        <v>11</v>
      </c>
      <c r="G1760" s="222">
        <v>100</v>
      </c>
      <c r="H1760" s="186"/>
      <c r="I1760" s="186"/>
      <c r="J1760" s="308"/>
      <c r="K1760" s="227"/>
      <c r="L1760" s="82">
        <f t="shared" si="711"/>
        <v>100</v>
      </c>
      <c r="M1760" s="331">
        <v>100</v>
      </c>
      <c r="N1760" s="161">
        <f t="shared" si="706"/>
        <v>1100</v>
      </c>
      <c r="O1760" s="161">
        <f t="shared" si="707"/>
        <v>1100</v>
      </c>
      <c r="P1760" s="187">
        <f t="shared" si="708"/>
        <v>0</v>
      </c>
      <c r="Q1760" s="161">
        <f t="shared" si="709"/>
        <v>0</v>
      </c>
      <c r="R1760" s="172" t="s">
        <v>3717</v>
      </c>
      <c r="S1760" s="86">
        <f t="shared" si="710"/>
        <v>0</v>
      </c>
      <c r="T1760" s="87">
        <f t="shared" si="705"/>
        <v>100</v>
      </c>
    </row>
    <row r="1761" spans="2:21" ht="20.100000000000001" hidden="1" customHeight="1">
      <c r="B1761" s="77">
        <v>13</v>
      </c>
      <c r="C1761" s="78" t="s">
        <v>3144</v>
      </c>
      <c r="D1761" s="79" t="s">
        <v>3241</v>
      </c>
      <c r="E1761" s="80" t="s">
        <v>3242</v>
      </c>
      <c r="F1761" s="81">
        <v>45</v>
      </c>
      <c r="G1761" s="222"/>
      <c r="H1761" s="186"/>
      <c r="I1761" s="186"/>
      <c r="J1761" s="308"/>
      <c r="K1761" s="227"/>
      <c r="L1761" s="82">
        <f t="shared" si="711"/>
        <v>0</v>
      </c>
      <c r="M1761" s="331"/>
      <c r="N1761" s="161">
        <f t="shared" si="706"/>
        <v>0</v>
      </c>
      <c r="O1761" s="161">
        <f t="shared" si="707"/>
        <v>0</v>
      </c>
      <c r="P1761" s="187">
        <f t="shared" si="708"/>
        <v>0</v>
      </c>
      <c r="Q1761" s="161">
        <f t="shared" si="709"/>
        <v>0</v>
      </c>
      <c r="R1761" s="85"/>
      <c r="S1761" s="86">
        <f t="shared" si="710"/>
        <v>0</v>
      </c>
      <c r="T1761" s="87">
        <f t="shared" si="705"/>
        <v>0</v>
      </c>
    </row>
    <row r="1762" spans="2:21" ht="20.100000000000001" hidden="1" customHeight="1">
      <c r="B1762" s="77">
        <v>13</v>
      </c>
      <c r="C1762" s="78" t="s">
        <v>3144</v>
      </c>
      <c r="D1762" s="79" t="s">
        <v>3243</v>
      </c>
      <c r="E1762" s="80" t="s">
        <v>3244</v>
      </c>
      <c r="F1762" s="81">
        <v>19.11</v>
      </c>
      <c r="G1762" s="222"/>
      <c r="H1762" s="186"/>
      <c r="I1762" s="186"/>
      <c r="J1762" s="308"/>
      <c r="K1762" s="227"/>
      <c r="L1762" s="82">
        <f t="shared" si="711"/>
        <v>0</v>
      </c>
      <c r="M1762" s="331"/>
      <c r="N1762" s="161">
        <f t="shared" si="706"/>
        <v>0</v>
      </c>
      <c r="O1762" s="161">
        <f t="shared" si="707"/>
        <v>0</v>
      </c>
      <c r="P1762" s="187">
        <f t="shared" si="708"/>
        <v>0</v>
      </c>
      <c r="Q1762" s="161">
        <f t="shared" si="709"/>
        <v>0</v>
      </c>
      <c r="R1762" s="85"/>
      <c r="S1762" s="86">
        <f t="shared" si="710"/>
        <v>0</v>
      </c>
      <c r="T1762" s="87">
        <f t="shared" si="705"/>
        <v>0</v>
      </c>
    </row>
    <row r="1763" spans="2:21" ht="20.100000000000001" hidden="1" customHeight="1">
      <c r="B1763" s="77">
        <v>13</v>
      </c>
      <c r="C1763" s="78" t="s">
        <v>3144</v>
      </c>
      <c r="D1763" s="79" t="s">
        <v>3245</v>
      </c>
      <c r="E1763" s="80" t="s">
        <v>3246</v>
      </c>
      <c r="F1763" s="81">
        <v>10.65</v>
      </c>
      <c r="G1763" s="222"/>
      <c r="H1763" s="186"/>
      <c r="I1763" s="186"/>
      <c r="J1763" s="308"/>
      <c r="K1763" s="227"/>
      <c r="L1763" s="82">
        <f t="shared" si="711"/>
        <v>0</v>
      </c>
      <c r="M1763" s="331">
        <v>0</v>
      </c>
      <c r="N1763" s="161">
        <f t="shared" si="706"/>
        <v>0</v>
      </c>
      <c r="O1763" s="161">
        <f t="shared" si="707"/>
        <v>0</v>
      </c>
      <c r="P1763" s="187">
        <f t="shared" si="708"/>
        <v>0</v>
      </c>
      <c r="Q1763" s="161">
        <f t="shared" si="709"/>
        <v>0</v>
      </c>
      <c r="R1763" s="85"/>
      <c r="S1763" s="86">
        <f t="shared" si="710"/>
        <v>0</v>
      </c>
      <c r="T1763" s="87">
        <f t="shared" si="705"/>
        <v>0</v>
      </c>
    </row>
    <row r="1764" spans="2:21" ht="20.100000000000001" hidden="1" customHeight="1">
      <c r="B1764" s="77">
        <v>13</v>
      </c>
      <c r="C1764" s="78" t="s">
        <v>3144</v>
      </c>
      <c r="D1764" s="79" t="s">
        <v>3247</v>
      </c>
      <c r="E1764" s="80" t="s">
        <v>3248</v>
      </c>
      <c r="F1764" s="81">
        <v>19.11</v>
      </c>
      <c r="G1764" s="222"/>
      <c r="H1764" s="186"/>
      <c r="I1764" s="186"/>
      <c r="J1764" s="308"/>
      <c r="K1764" s="227"/>
      <c r="L1764" s="82">
        <f t="shared" si="711"/>
        <v>0</v>
      </c>
      <c r="M1764" s="331"/>
      <c r="N1764" s="161">
        <f t="shared" si="706"/>
        <v>0</v>
      </c>
      <c r="O1764" s="161">
        <f t="shared" si="707"/>
        <v>0</v>
      </c>
      <c r="P1764" s="187">
        <f t="shared" si="708"/>
        <v>0</v>
      </c>
      <c r="Q1764" s="161">
        <f t="shared" si="709"/>
        <v>0</v>
      </c>
      <c r="R1764" s="85"/>
      <c r="S1764" s="86">
        <f t="shared" si="710"/>
        <v>0</v>
      </c>
      <c r="T1764" s="87">
        <f t="shared" si="705"/>
        <v>0</v>
      </c>
    </row>
    <row r="1765" spans="2:21" ht="20.100000000000001" hidden="1" customHeight="1">
      <c r="B1765" s="77">
        <v>13</v>
      </c>
      <c r="C1765" s="78" t="s">
        <v>3144</v>
      </c>
      <c r="D1765" s="79" t="s">
        <v>3249</v>
      </c>
      <c r="E1765" s="80" t="s">
        <v>3250</v>
      </c>
      <c r="F1765" s="81">
        <v>10.65</v>
      </c>
      <c r="G1765" s="222"/>
      <c r="H1765" s="186"/>
      <c r="I1765" s="186"/>
      <c r="J1765" s="308"/>
      <c r="K1765" s="227"/>
      <c r="L1765" s="82">
        <f t="shared" si="711"/>
        <v>0</v>
      </c>
      <c r="M1765" s="331"/>
      <c r="N1765" s="161">
        <f t="shared" si="706"/>
        <v>0</v>
      </c>
      <c r="O1765" s="161">
        <f t="shared" si="707"/>
        <v>0</v>
      </c>
      <c r="P1765" s="187">
        <f t="shared" si="708"/>
        <v>0</v>
      </c>
      <c r="Q1765" s="161">
        <f t="shared" si="709"/>
        <v>0</v>
      </c>
      <c r="R1765" s="85"/>
      <c r="S1765" s="86">
        <f t="shared" si="710"/>
        <v>0</v>
      </c>
      <c r="T1765" s="87">
        <f t="shared" si="705"/>
        <v>0</v>
      </c>
    </row>
    <row r="1766" spans="2:21" ht="20.100000000000001" hidden="1" customHeight="1">
      <c r="B1766" s="77">
        <v>13</v>
      </c>
      <c r="C1766" s="78" t="s">
        <v>3144</v>
      </c>
      <c r="D1766" s="79" t="s">
        <v>3251</v>
      </c>
      <c r="E1766" s="80" t="s">
        <v>3252</v>
      </c>
      <c r="F1766" s="81">
        <v>19.11</v>
      </c>
      <c r="G1766" s="222"/>
      <c r="H1766" s="186"/>
      <c r="I1766" s="186"/>
      <c r="J1766" s="308"/>
      <c r="K1766" s="227"/>
      <c r="L1766" s="82">
        <f t="shared" si="711"/>
        <v>0</v>
      </c>
      <c r="M1766" s="331"/>
      <c r="N1766" s="161">
        <f t="shared" si="706"/>
        <v>0</v>
      </c>
      <c r="O1766" s="161">
        <f t="shared" si="707"/>
        <v>0</v>
      </c>
      <c r="P1766" s="187">
        <f t="shared" si="708"/>
        <v>0</v>
      </c>
      <c r="Q1766" s="161">
        <f t="shared" si="709"/>
        <v>0</v>
      </c>
      <c r="R1766" s="85"/>
      <c r="S1766" s="86">
        <f t="shared" si="710"/>
        <v>0</v>
      </c>
      <c r="T1766" s="87">
        <f t="shared" si="705"/>
        <v>0</v>
      </c>
    </row>
    <row r="1767" spans="2:21" ht="20.100000000000001" hidden="1" customHeight="1">
      <c r="B1767" s="77">
        <v>13</v>
      </c>
      <c r="C1767" s="78" t="s">
        <v>3144</v>
      </c>
      <c r="D1767" s="79" t="s">
        <v>3253</v>
      </c>
      <c r="E1767" s="80" t="s">
        <v>3254</v>
      </c>
      <c r="F1767" s="81">
        <v>10.65</v>
      </c>
      <c r="G1767" s="222"/>
      <c r="H1767" s="186"/>
      <c r="I1767" s="186"/>
      <c r="J1767" s="308"/>
      <c r="K1767" s="227"/>
      <c r="L1767" s="82">
        <f t="shared" si="711"/>
        <v>0</v>
      </c>
      <c r="M1767" s="331"/>
      <c r="N1767" s="161">
        <f t="shared" si="706"/>
        <v>0</v>
      </c>
      <c r="O1767" s="161">
        <f t="shared" si="707"/>
        <v>0</v>
      </c>
      <c r="P1767" s="187">
        <f t="shared" si="708"/>
        <v>0</v>
      </c>
      <c r="Q1767" s="161">
        <f t="shared" si="709"/>
        <v>0</v>
      </c>
      <c r="R1767" s="85"/>
      <c r="S1767" s="86">
        <f t="shared" si="710"/>
        <v>0</v>
      </c>
      <c r="T1767" s="87">
        <f t="shared" si="705"/>
        <v>0</v>
      </c>
    </row>
    <row r="1768" spans="2:21" ht="20.100000000000001" hidden="1" customHeight="1">
      <c r="B1768" s="77">
        <v>13</v>
      </c>
      <c r="C1768" s="78" t="s">
        <v>3144</v>
      </c>
      <c r="D1768" s="79" t="s">
        <v>3255</v>
      </c>
      <c r="E1768" s="80" t="s">
        <v>3256</v>
      </c>
      <c r="F1768" s="81">
        <v>19.11</v>
      </c>
      <c r="G1768" s="222"/>
      <c r="H1768" s="186"/>
      <c r="I1768" s="186"/>
      <c r="J1768" s="308"/>
      <c r="K1768" s="227"/>
      <c r="L1768" s="82">
        <f t="shared" si="711"/>
        <v>0</v>
      </c>
      <c r="M1768" s="331"/>
      <c r="N1768" s="161">
        <f t="shared" si="706"/>
        <v>0</v>
      </c>
      <c r="O1768" s="161">
        <f t="shared" si="707"/>
        <v>0</v>
      </c>
      <c r="P1768" s="187">
        <f t="shared" si="708"/>
        <v>0</v>
      </c>
      <c r="Q1768" s="161">
        <f t="shared" si="709"/>
        <v>0</v>
      </c>
      <c r="R1768" s="85"/>
      <c r="S1768" s="86">
        <f t="shared" si="710"/>
        <v>0</v>
      </c>
      <c r="T1768" s="87">
        <f t="shared" si="705"/>
        <v>0</v>
      </c>
    </row>
    <row r="1769" spans="2:21" ht="20.100000000000001" hidden="1" customHeight="1">
      <c r="B1769" s="77">
        <v>13</v>
      </c>
      <c r="C1769" s="78" t="s">
        <v>3144</v>
      </c>
      <c r="D1769" s="79" t="s">
        <v>3257</v>
      </c>
      <c r="E1769" s="80" t="s">
        <v>3258</v>
      </c>
      <c r="F1769" s="81">
        <v>10.65</v>
      </c>
      <c r="G1769" s="222"/>
      <c r="H1769" s="186"/>
      <c r="I1769" s="186"/>
      <c r="J1769" s="308"/>
      <c r="K1769" s="227"/>
      <c r="L1769" s="82">
        <f t="shared" si="711"/>
        <v>0</v>
      </c>
      <c r="M1769" s="331"/>
      <c r="N1769" s="161">
        <f t="shared" si="706"/>
        <v>0</v>
      </c>
      <c r="O1769" s="161">
        <f t="shared" si="707"/>
        <v>0</v>
      </c>
      <c r="P1769" s="187">
        <f t="shared" si="708"/>
        <v>0</v>
      </c>
      <c r="Q1769" s="161">
        <f t="shared" si="709"/>
        <v>0</v>
      </c>
      <c r="R1769" s="85"/>
      <c r="S1769" s="86">
        <f t="shared" si="710"/>
        <v>0</v>
      </c>
      <c r="T1769" s="87">
        <f t="shared" si="705"/>
        <v>0</v>
      </c>
    </row>
    <row r="1770" spans="2:21" ht="20.100000000000001" hidden="1" customHeight="1">
      <c r="B1770" s="77">
        <v>13</v>
      </c>
      <c r="C1770" s="78" t="s">
        <v>3144</v>
      </c>
      <c r="D1770" s="79" t="s">
        <v>3259</v>
      </c>
      <c r="E1770" s="80" t="s">
        <v>3260</v>
      </c>
      <c r="F1770" s="81">
        <v>19.11</v>
      </c>
      <c r="G1770" s="222"/>
      <c r="H1770" s="186"/>
      <c r="I1770" s="186"/>
      <c r="J1770" s="308"/>
      <c r="K1770" s="227"/>
      <c r="L1770" s="82">
        <f t="shared" si="711"/>
        <v>0</v>
      </c>
      <c r="M1770" s="331"/>
      <c r="N1770" s="161">
        <f t="shared" si="706"/>
        <v>0</v>
      </c>
      <c r="O1770" s="161">
        <f t="shared" si="707"/>
        <v>0</v>
      </c>
      <c r="P1770" s="187">
        <f t="shared" si="708"/>
        <v>0</v>
      </c>
      <c r="Q1770" s="161">
        <f t="shared" si="709"/>
        <v>0</v>
      </c>
      <c r="R1770" s="85"/>
      <c r="S1770" s="86">
        <f t="shared" si="710"/>
        <v>0</v>
      </c>
      <c r="T1770" s="87">
        <f t="shared" si="705"/>
        <v>0</v>
      </c>
    </row>
    <row r="1771" spans="2:21" ht="20.100000000000001" hidden="1" customHeight="1">
      <c r="B1771" s="77">
        <v>13</v>
      </c>
      <c r="C1771" s="78" t="s">
        <v>3144</v>
      </c>
      <c r="D1771" s="79" t="s">
        <v>3261</v>
      </c>
      <c r="E1771" s="80" t="s">
        <v>3262</v>
      </c>
      <c r="F1771" s="81">
        <v>10.65</v>
      </c>
      <c r="G1771" s="222"/>
      <c r="H1771" s="186"/>
      <c r="I1771" s="186"/>
      <c r="J1771" s="308"/>
      <c r="K1771" s="227"/>
      <c r="L1771" s="82">
        <f t="shared" si="711"/>
        <v>0</v>
      </c>
      <c r="M1771" s="331"/>
      <c r="N1771" s="161">
        <f t="shared" si="706"/>
        <v>0</v>
      </c>
      <c r="O1771" s="161">
        <f t="shared" si="707"/>
        <v>0</v>
      </c>
      <c r="P1771" s="187">
        <f t="shared" si="708"/>
        <v>0</v>
      </c>
      <c r="Q1771" s="161">
        <f t="shared" si="709"/>
        <v>0</v>
      </c>
      <c r="R1771" s="85"/>
      <c r="S1771" s="86">
        <f t="shared" si="710"/>
        <v>0</v>
      </c>
      <c r="T1771" s="87">
        <f t="shared" si="705"/>
        <v>0</v>
      </c>
    </row>
    <row r="1772" spans="2:21" ht="20.100000000000001" hidden="1" customHeight="1">
      <c r="B1772" s="77">
        <v>13</v>
      </c>
      <c r="C1772" s="78" t="s">
        <v>3144</v>
      </c>
      <c r="D1772" s="79" t="s">
        <v>3263</v>
      </c>
      <c r="E1772" s="80" t="s">
        <v>3264</v>
      </c>
      <c r="F1772" s="81">
        <v>78</v>
      </c>
      <c r="G1772" s="222"/>
      <c r="H1772" s="186"/>
      <c r="I1772" s="186"/>
      <c r="J1772" s="308"/>
      <c r="K1772" s="227"/>
      <c r="L1772" s="82">
        <f t="shared" si="711"/>
        <v>0</v>
      </c>
      <c r="M1772" s="331">
        <v>0</v>
      </c>
      <c r="N1772" s="161">
        <f t="shared" si="706"/>
        <v>0</v>
      </c>
      <c r="O1772" s="161">
        <f t="shared" si="707"/>
        <v>0</v>
      </c>
      <c r="P1772" s="187">
        <f t="shared" si="708"/>
        <v>0</v>
      </c>
      <c r="Q1772" s="161">
        <f t="shared" si="709"/>
        <v>0</v>
      </c>
      <c r="R1772" s="85"/>
      <c r="S1772" s="86">
        <f t="shared" si="710"/>
        <v>0</v>
      </c>
      <c r="T1772" s="87">
        <f t="shared" si="705"/>
        <v>0</v>
      </c>
    </row>
    <row r="1773" spans="2:21" ht="20.100000000000001" hidden="1" customHeight="1">
      <c r="B1773" s="77">
        <v>13</v>
      </c>
      <c r="C1773" s="78" t="s">
        <v>3144</v>
      </c>
      <c r="D1773" s="79" t="s">
        <v>3265</v>
      </c>
      <c r="E1773" s="80" t="s">
        <v>3266</v>
      </c>
      <c r="F1773" s="81">
        <v>140</v>
      </c>
      <c r="G1773" s="222">
        <v>1</v>
      </c>
      <c r="H1773" s="186"/>
      <c r="I1773" s="186"/>
      <c r="J1773" s="308"/>
      <c r="K1773" s="227"/>
      <c r="L1773" s="82">
        <f t="shared" si="711"/>
        <v>1</v>
      </c>
      <c r="M1773" s="331">
        <v>1</v>
      </c>
      <c r="N1773" s="161">
        <f t="shared" si="706"/>
        <v>140</v>
      </c>
      <c r="O1773" s="161">
        <f t="shared" si="707"/>
        <v>140</v>
      </c>
      <c r="P1773" s="187">
        <f t="shared" si="708"/>
        <v>0</v>
      </c>
      <c r="Q1773" s="161">
        <f t="shared" si="709"/>
        <v>0</v>
      </c>
      <c r="R1773" s="85"/>
      <c r="S1773" s="86">
        <f t="shared" si="710"/>
        <v>1</v>
      </c>
      <c r="T1773" s="87">
        <f t="shared" ref="T1773:T1855" si="726">M1773-S1773</f>
        <v>0</v>
      </c>
      <c r="U1773">
        <v>1</v>
      </c>
    </row>
    <row r="1774" spans="2:21" ht="20.100000000000001" hidden="1" customHeight="1">
      <c r="B1774" s="77">
        <v>13</v>
      </c>
      <c r="C1774" s="78" t="s">
        <v>3144</v>
      </c>
      <c r="D1774" s="79" t="s">
        <v>3267</v>
      </c>
      <c r="E1774" s="80" t="s">
        <v>3816</v>
      </c>
      <c r="F1774" s="81">
        <v>102.08</v>
      </c>
      <c r="G1774" s="222">
        <v>18</v>
      </c>
      <c r="H1774" s="186"/>
      <c r="I1774" s="186"/>
      <c r="J1774" s="308"/>
      <c r="K1774" s="227"/>
      <c r="L1774" s="82">
        <f t="shared" si="711"/>
        <v>18</v>
      </c>
      <c r="M1774" s="331">
        <v>18</v>
      </c>
      <c r="N1774" s="161">
        <f t="shared" ref="N1774:N1855" si="727">F1774*L1774</f>
        <v>1837.44</v>
      </c>
      <c r="O1774" s="161">
        <f t="shared" ref="O1774:O1855" si="728">M1774*F1774</f>
        <v>1837.44</v>
      </c>
      <c r="P1774" s="187">
        <f t="shared" ref="P1774:P1855" si="729">L1774-M1774</f>
        <v>0</v>
      </c>
      <c r="Q1774" s="161">
        <f t="shared" ref="Q1774:Q1855" si="730">N1774-O1774</f>
        <v>0</v>
      </c>
      <c r="R1774" s="85"/>
      <c r="S1774" s="86">
        <f t="shared" ref="S1774:S1856" si="731">U1774+Y1774+W1774+AA1774</f>
        <v>0</v>
      </c>
      <c r="T1774" s="87">
        <f t="shared" si="726"/>
        <v>18</v>
      </c>
    </row>
    <row r="1775" spans="2:21" ht="20.100000000000001" hidden="1" customHeight="1">
      <c r="B1775" s="77">
        <v>13</v>
      </c>
      <c r="C1775" s="78" t="s">
        <v>3144</v>
      </c>
      <c r="D1775" s="79" t="s">
        <v>3268</v>
      </c>
      <c r="E1775" s="80" t="s">
        <v>3269</v>
      </c>
      <c r="F1775" s="81">
        <v>30.79</v>
      </c>
      <c r="G1775" s="222"/>
      <c r="H1775" s="186"/>
      <c r="I1775" s="186"/>
      <c r="J1775" s="308"/>
      <c r="K1775" s="227"/>
      <c r="L1775" s="82">
        <f t="shared" si="711"/>
        <v>0</v>
      </c>
      <c r="M1775" s="331"/>
      <c r="N1775" s="161">
        <f t="shared" si="727"/>
        <v>0</v>
      </c>
      <c r="O1775" s="161">
        <f t="shared" si="728"/>
        <v>0</v>
      </c>
      <c r="P1775" s="187">
        <f t="shared" si="729"/>
        <v>0</v>
      </c>
      <c r="Q1775" s="161">
        <f t="shared" si="730"/>
        <v>0</v>
      </c>
      <c r="R1775" s="85"/>
      <c r="S1775" s="86">
        <f t="shared" si="731"/>
        <v>0</v>
      </c>
      <c r="T1775" s="87">
        <f t="shared" si="726"/>
        <v>0</v>
      </c>
    </row>
    <row r="1776" spans="2:21" ht="20.100000000000001" hidden="1" customHeight="1">
      <c r="B1776" s="77">
        <v>13</v>
      </c>
      <c r="C1776" s="78" t="s">
        <v>3144</v>
      </c>
      <c r="D1776" s="79" t="s">
        <v>3270</v>
      </c>
      <c r="E1776" s="80" t="s">
        <v>3271</v>
      </c>
      <c r="F1776" s="81">
        <v>38.85</v>
      </c>
      <c r="G1776" s="222">
        <v>85</v>
      </c>
      <c r="H1776" s="186"/>
      <c r="I1776" s="186"/>
      <c r="J1776" s="308"/>
      <c r="K1776" s="227"/>
      <c r="L1776" s="82">
        <f t="shared" si="711"/>
        <v>85</v>
      </c>
      <c r="M1776" s="331">
        <v>85</v>
      </c>
      <c r="N1776" s="161">
        <f t="shared" si="727"/>
        <v>3302.25</v>
      </c>
      <c r="O1776" s="161">
        <f t="shared" si="728"/>
        <v>3302.25</v>
      </c>
      <c r="P1776" s="187">
        <f t="shared" si="729"/>
        <v>0</v>
      </c>
      <c r="Q1776" s="161">
        <f t="shared" si="730"/>
        <v>0</v>
      </c>
      <c r="R1776" s="85"/>
      <c r="S1776" s="86">
        <f t="shared" si="731"/>
        <v>0</v>
      </c>
      <c r="T1776" s="87">
        <f t="shared" si="726"/>
        <v>85</v>
      </c>
    </row>
    <row r="1777" spans="2:31" ht="20.100000000000001" hidden="1" customHeight="1">
      <c r="B1777" s="77">
        <v>13</v>
      </c>
      <c r="C1777" s="78" t="s">
        <v>3144</v>
      </c>
      <c r="D1777" s="79" t="s">
        <v>3272</v>
      </c>
      <c r="E1777" s="80" t="s">
        <v>3273</v>
      </c>
      <c r="F1777" s="81">
        <v>9.91</v>
      </c>
      <c r="G1777" s="222"/>
      <c r="H1777" s="186"/>
      <c r="I1777" s="186"/>
      <c r="J1777" s="308"/>
      <c r="K1777" s="227"/>
      <c r="L1777" s="82">
        <f t="shared" si="711"/>
        <v>0</v>
      </c>
      <c r="M1777" s="331"/>
      <c r="N1777" s="161">
        <f t="shared" si="727"/>
        <v>0</v>
      </c>
      <c r="O1777" s="161">
        <f t="shared" si="728"/>
        <v>0</v>
      </c>
      <c r="P1777" s="187">
        <f t="shared" si="729"/>
        <v>0</v>
      </c>
      <c r="Q1777" s="161">
        <f t="shared" si="730"/>
        <v>0</v>
      </c>
      <c r="R1777" s="85"/>
      <c r="S1777" s="86">
        <f t="shared" si="731"/>
        <v>0</v>
      </c>
      <c r="T1777" s="87">
        <f t="shared" si="726"/>
        <v>0</v>
      </c>
    </row>
    <row r="1778" spans="2:31" ht="20.100000000000001" hidden="1" customHeight="1">
      <c r="B1778" s="77">
        <v>13</v>
      </c>
      <c r="C1778" s="78" t="s">
        <v>3144</v>
      </c>
      <c r="D1778" s="79" t="s">
        <v>3274</v>
      </c>
      <c r="E1778" s="80" t="s">
        <v>3275</v>
      </c>
      <c r="F1778" s="81">
        <v>385</v>
      </c>
      <c r="G1778" s="222">
        <v>3</v>
      </c>
      <c r="H1778" s="186"/>
      <c r="I1778" s="186"/>
      <c r="J1778" s="308"/>
      <c r="K1778" s="227"/>
      <c r="L1778" s="82">
        <f t="shared" si="711"/>
        <v>3</v>
      </c>
      <c r="M1778" s="331">
        <v>3</v>
      </c>
      <c r="N1778" s="161">
        <f t="shared" si="727"/>
        <v>1155</v>
      </c>
      <c r="O1778" s="161">
        <f t="shared" si="728"/>
        <v>1155</v>
      </c>
      <c r="P1778" s="187">
        <f t="shared" si="729"/>
        <v>0</v>
      </c>
      <c r="Q1778" s="161">
        <f t="shared" si="730"/>
        <v>0</v>
      </c>
      <c r="R1778" s="85"/>
      <c r="S1778" s="86">
        <f t="shared" si="731"/>
        <v>0</v>
      </c>
      <c r="T1778" s="87">
        <f t="shared" si="726"/>
        <v>3</v>
      </c>
    </row>
    <row r="1779" spans="2:31" ht="20.100000000000001" hidden="1" customHeight="1">
      <c r="B1779" s="77">
        <v>13</v>
      </c>
      <c r="C1779" s="78" t="s">
        <v>3144</v>
      </c>
      <c r="D1779" s="79" t="s">
        <v>3276</v>
      </c>
      <c r="E1779" s="80" t="s">
        <v>3277</v>
      </c>
      <c r="F1779" s="81">
        <v>75</v>
      </c>
      <c r="G1779" s="222">
        <v>1</v>
      </c>
      <c r="H1779" s="186"/>
      <c r="I1779" s="186"/>
      <c r="J1779" s="308"/>
      <c r="K1779" s="227"/>
      <c r="L1779" s="82">
        <f t="shared" si="711"/>
        <v>1</v>
      </c>
      <c r="M1779" s="331">
        <v>1</v>
      </c>
      <c r="N1779" s="161">
        <f t="shared" si="727"/>
        <v>75</v>
      </c>
      <c r="O1779" s="161">
        <f t="shared" si="728"/>
        <v>75</v>
      </c>
      <c r="P1779" s="187">
        <f t="shared" si="729"/>
        <v>0</v>
      </c>
      <c r="Q1779" s="161">
        <f t="shared" si="730"/>
        <v>0</v>
      </c>
      <c r="R1779" s="85"/>
      <c r="S1779" s="86">
        <f t="shared" si="731"/>
        <v>0</v>
      </c>
      <c r="T1779" s="87">
        <f t="shared" si="726"/>
        <v>1</v>
      </c>
    </row>
    <row r="1780" spans="2:31" ht="20.100000000000001" hidden="1" customHeight="1">
      <c r="B1780" s="77">
        <v>13</v>
      </c>
      <c r="C1780" s="78" t="s">
        <v>3144</v>
      </c>
      <c r="D1780" s="79" t="s">
        <v>3278</v>
      </c>
      <c r="E1780" s="80" t="s">
        <v>3279</v>
      </c>
      <c r="F1780" s="81">
        <v>7.5</v>
      </c>
      <c r="G1780" s="222">
        <v>10</v>
      </c>
      <c r="H1780" s="186"/>
      <c r="I1780" s="186"/>
      <c r="J1780" s="308"/>
      <c r="K1780" s="227"/>
      <c r="L1780" s="82">
        <f t="shared" si="711"/>
        <v>10</v>
      </c>
      <c r="M1780" s="331">
        <v>10</v>
      </c>
      <c r="N1780" s="161">
        <f t="shared" si="727"/>
        <v>75</v>
      </c>
      <c r="O1780" s="161">
        <f t="shared" si="728"/>
        <v>75</v>
      </c>
      <c r="P1780" s="187">
        <f t="shared" si="729"/>
        <v>0</v>
      </c>
      <c r="Q1780" s="161">
        <f t="shared" si="730"/>
        <v>0</v>
      </c>
      <c r="R1780" s="91">
        <v>45436</v>
      </c>
      <c r="S1780" s="86">
        <f t="shared" si="731"/>
        <v>10</v>
      </c>
      <c r="T1780" s="87">
        <f t="shared" si="726"/>
        <v>0</v>
      </c>
      <c r="W1780">
        <v>10</v>
      </c>
      <c r="X1780" t="s">
        <v>115</v>
      </c>
      <c r="AD1780">
        <f>W1780</f>
        <v>10</v>
      </c>
      <c r="AE1780" s="89">
        <f>AD1780*F1780</f>
        <v>75</v>
      </c>
    </row>
    <row r="1781" spans="2:31" ht="20.100000000000001" hidden="1" customHeight="1">
      <c r="B1781" s="77">
        <v>13</v>
      </c>
      <c r="C1781" s="78" t="s">
        <v>3144</v>
      </c>
      <c r="D1781" s="79" t="s">
        <v>3280</v>
      </c>
      <c r="E1781" s="80" t="s">
        <v>3281</v>
      </c>
      <c r="F1781" s="81">
        <v>75</v>
      </c>
      <c r="G1781" s="222">
        <v>1</v>
      </c>
      <c r="H1781" s="186"/>
      <c r="I1781" s="186"/>
      <c r="J1781" s="308"/>
      <c r="K1781" s="227"/>
      <c r="L1781" s="82">
        <f t="shared" si="711"/>
        <v>1</v>
      </c>
      <c r="M1781" s="331">
        <v>1</v>
      </c>
      <c r="N1781" s="161">
        <f t="shared" si="727"/>
        <v>75</v>
      </c>
      <c r="O1781" s="161">
        <f t="shared" si="728"/>
        <v>75</v>
      </c>
      <c r="P1781" s="187">
        <f t="shared" si="729"/>
        <v>0</v>
      </c>
      <c r="Q1781" s="161">
        <f t="shared" si="730"/>
        <v>0</v>
      </c>
      <c r="R1781" s="85"/>
      <c r="S1781" s="86">
        <f t="shared" si="731"/>
        <v>0</v>
      </c>
      <c r="T1781" s="87">
        <f t="shared" si="726"/>
        <v>1</v>
      </c>
    </row>
    <row r="1782" spans="2:31" ht="20.100000000000001" hidden="1" customHeight="1">
      <c r="B1782" s="77">
        <v>13</v>
      </c>
      <c r="C1782" s="78" t="s">
        <v>3144</v>
      </c>
      <c r="D1782" s="79" t="s">
        <v>3282</v>
      </c>
      <c r="E1782" s="80" t="s">
        <v>3283</v>
      </c>
      <c r="F1782" s="81">
        <v>5.5</v>
      </c>
      <c r="G1782" s="222">
        <v>2</v>
      </c>
      <c r="H1782" s="186"/>
      <c r="I1782" s="186"/>
      <c r="J1782" s="308"/>
      <c r="K1782" s="227"/>
      <c r="L1782" s="82">
        <f t="shared" ref="L1782:L1855" si="732">G1782+I1782-J1782-K1782+H1782</f>
        <v>2</v>
      </c>
      <c r="M1782" s="331">
        <v>2</v>
      </c>
      <c r="N1782" s="161">
        <f t="shared" si="727"/>
        <v>11</v>
      </c>
      <c r="O1782" s="161">
        <f t="shared" si="728"/>
        <v>11</v>
      </c>
      <c r="P1782" s="187">
        <f t="shared" si="729"/>
        <v>0</v>
      </c>
      <c r="Q1782" s="161">
        <f t="shared" si="730"/>
        <v>0</v>
      </c>
      <c r="R1782" s="85"/>
      <c r="S1782" s="86">
        <f t="shared" si="731"/>
        <v>0</v>
      </c>
      <c r="T1782" s="87">
        <f t="shared" si="726"/>
        <v>2</v>
      </c>
    </row>
    <row r="1783" spans="2:31" ht="20.100000000000001" hidden="1" customHeight="1">
      <c r="B1783" s="77">
        <v>13</v>
      </c>
      <c r="C1783" s="78" t="s">
        <v>3144</v>
      </c>
      <c r="D1783" s="79" t="s">
        <v>3284</v>
      </c>
      <c r="E1783" s="80" t="s">
        <v>3285</v>
      </c>
      <c r="F1783" s="81">
        <v>23.13</v>
      </c>
      <c r="G1783" s="222">
        <v>7</v>
      </c>
      <c r="H1783" s="186"/>
      <c r="I1783" s="186"/>
      <c r="J1783" s="308"/>
      <c r="K1783" s="227">
        <v>2</v>
      </c>
      <c r="L1783" s="82">
        <f t="shared" si="732"/>
        <v>5</v>
      </c>
      <c r="M1783" s="331">
        <v>5</v>
      </c>
      <c r="N1783" s="161">
        <f t="shared" si="727"/>
        <v>115.64999999999999</v>
      </c>
      <c r="O1783" s="161">
        <f t="shared" si="728"/>
        <v>115.64999999999999</v>
      </c>
      <c r="P1783" s="187">
        <f t="shared" si="729"/>
        <v>0</v>
      </c>
      <c r="Q1783" s="161">
        <f t="shared" si="730"/>
        <v>0</v>
      </c>
      <c r="R1783" s="232"/>
      <c r="S1783" s="86">
        <f t="shared" si="731"/>
        <v>14</v>
      </c>
      <c r="T1783" s="87">
        <f t="shared" si="726"/>
        <v>-9</v>
      </c>
      <c r="U1783">
        <v>14</v>
      </c>
    </row>
    <row r="1784" spans="2:31" ht="20.100000000000001" hidden="1" customHeight="1">
      <c r="B1784" s="77">
        <v>13</v>
      </c>
      <c r="C1784" s="78" t="s">
        <v>3144</v>
      </c>
      <c r="D1784" s="79" t="s">
        <v>3286</v>
      </c>
      <c r="E1784" s="80" t="s">
        <v>3287</v>
      </c>
      <c r="F1784" s="81">
        <v>19.47</v>
      </c>
      <c r="G1784" s="222">
        <v>16</v>
      </c>
      <c r="H1784" s="186"/>
      <c r="I1784" s="186"/>
      <c r="J1784" s="308"/>
      <c r="K1784" s="227">
        <v>10</v>
      </c>
      <c r="L1784" s="82">
        <f t="shared" si="732"/>
        <v>6</v>
      </c>
      <c r="M1784" s="331">
        <v>6</v>
      </c>
      <c r="N1784" s="161">
        <f t="shared" si="727"/>
        <v>116.82</v>
      </c>
      <c r="O1784" s="161">
        <f t="shared" si="728"/>
        <v>116.82</v>
      </c>
      <c r="P1784" s="187">
        <f t="shared" si="729"/>
        <v>0</v>
      </c>
      <c r="Q1784" s="161">
        <f t="shared" si="730"/>
        <v>0</v>
      </c>
      <c r="R1784" s="85"/>
      <c r="S1784" s="86">
        <f t="shared" si="731"/>
        <v>57</v>
      </c>
      <c r="T1784" s="87">
        <f t="shared" si="726"/>
        <v>-51</v>
      </c>
      <c r="U1784">
        <f>33+24</f>
        <v>57</v>
      </c>
    </row>
    <row r="1785" spans="2:31" ht="20.100000000000001" hidden="1" customHeight="1">
      <c r="B1785" s="77">
        <v>13</v>
      </c>
      <c r="C1785" s="78" t="s">
        <v>3144</v>
      </c>
      <c r="D1785" s="79" t="s">
        <v>3288</v>
      </c>
      <c r="E1785" s="80" t="s">
        <v>3289</v>
      </c>
      <c r="F1785" s="81">
        <v>11.5</v>
      </c>
      <c r="G1785" s="222">
        <v>28</v>
      </c>
      <c r="H1785" s="186"/>
      <c r="I1785" s="186"/>
      <c r="J1785" s="308"/>
      <c r="K1785" s="227">
        <v>4</v>
      </c>
      <c r="L1785" s="82">
        <f t="shared" si="732"/>
        <v>24</v>
      </c>
      <c r="M1785" s="331">
        <v>24</v>
      </c>
      <c r="N1785" s="161">
        <f t="shared" si="727"/>
        <v>276</v>
      </c>
      <c r="O1785" s="161">
        <f t="shared" si="728"/>
        <v>276</v>
      </c>
      <c r="P1785" s="187">
        <f t="shared" si="729"/>
        <v>0</v>
      </c>
      <c r="Q1785" s="161">
        <f t="shared" si="730"/>
        <v>0</v>
      </c>
      <c r="R1785" s="85"/>
      <c r="S1785" s="86">
        <f t="shared" si="731"/>
        <v>56</v>
      </c>
      <c r="T1785" s="87">
        <f t="shared" si="726"/>
        <v>-32</v>
      </c>
      <c r="U1785">
        <v>56</v>
      </c>
    </row>
    <row r="1786" spans="2:31" ht="20.100000000000001" hidden="1" customHeight="1">
      <c r="B1786" s="77">
        <v>13</v>
      </c>
      <c r="C1786" s="78" t="s">
        <v>3144</v>
      </c>
      <c r="D1786" s="79" t="s">
        <v>3290</v>
      </c>
      <c r="E1786" s="80" t="s">
        <v>3291</v>
      </c>
      <c r="F1786" s="81">
        <v>57.97</v>
      </c>
      <c r="G1786" s="222"/>
      <c r="H1786" s="186"/>
      <c r="I1786" s="186"/>
      <c r="J1786" s="308"/>
      <c r="K1786" s="227"/>
      <c r="L1786" s="82">
        <f t="shared" si="732"/>
        <v>0</v>
      </c>
      <c r="M1786" s="331"/>
      <c r="N1786" s="161">
        <f t="shared" si="727"/>
        <v>0</v>
      </c>
      <c r="O1786" s="161">
        <f t="shared" si="728"/>
        <v>0</v>
      </c>
      <c r="P1786" s="187">
        <f t="shared" si="729"/>
        <v>0</v>
      </c>
      <c r="Q1786" s="161">
        <f t="shared" si="730"/>
        <v>0</v>
      </c>
      <c r="R1786" s="85"/>
      <c r="S1786" s="86">
        <f t="shared" si="731"/>
        <v>0</v>
      </c>
      <c r="T1786" s="87">
        <f t="shared" si="726"/>
        <v>0</v>
      </c>
    </row>
    <row r="1787" spans="2:31" ht="20.100000000000001" hidden="1" customHeight="1">
      <c r="B1787" s="77">
        <v>13</v>
      </c>
      <c r="C1787" s="78" t="s">
        <v>3144</v>
      </c>
      <c r="D1787" s="79" t="s">
        <v>3292</v>
      </c>
      <c r="E1787" s="80" t="s">
        <v>3293</v>
      </c>
      <c r="F1787" s="81">
        <v>58</v>
      </c>
      <c r="G1787" s="222"/>
      <c r="H1787" s="186"/>
      <c r="I1787" s="186"/>
      <c r="J1787" s="308"/>
      <c r="K1787" s="227"/>
      <c r="L1787" s="82">
        <f t="shared" si="732"/>
        <v>0</v>
      </c>
      <c r="M1787" s="331"/>
      <c r="N1787" s="161">
        <f t="shared" si="727"/>
        <v>0</v>
      </c>
      <c r="O1787" s="161">
        <f t="shared" si="728"/>
        <v>0</v>
      </c>
      <c r="P1787" s="187">
        <f t="shared" si="729"/>
        <v>0</v>
      </c>
      <c r="Q1787" s="161">
        <f t="shared" si="730"/>
        <v>0</v>
      </c>
      <c r="R1787" s="85"/>
      <c r="S1787" s="86">
        <f t="shared" si="731"/>
        <v>0</v>
      </c>
      <c r="T1787" s="87">
        <f t="shared" si="726"/>
        <v>0</v>
      </c>
    </row>
    <row r="1788" spans="2:31" ht="20.100000000000001" hidden="1" customHeight="1">
      <c r="B1788" s="77">
        <v>13</v>
      </c>
      <c r="C1788" s="78" t="s">
        <v>3144</v>
      </c>
      <c r="D1788" s="79" t="s">
        <v>3294</v>
      </c>
      <c r="E1788" s="80" t="s">
        <v>3295</v>
      </c>
      <c r="F1788" s="81">
        <v>525</v>
      </c>
      <c r="G1788" s="222"/>
      <c r="H1788" s="186"/>
      <c r="I1788" s="186"/>
      <c r="J1788" s="308"/>
      <c r="K1788" s="227"/>
      <c r="L1788" s="82">
        <f t="shared" si="732"/>
        <v>0</v>
      </c>
      <c r="M1788" s="331"/>
      <c r="N1788" s="161">
        <f t="shared" si="727"/>
        <v>0</v>
      </c>
      <c r="O1788" s="161">
        <f t="shared" si="728"/>
        <v>0</v>
      </c>
      <c r="P1788" s="187">
        <f t="shared" si="729"/>
        <v>0</v>
      </c>
      <c r="Q1788" s="161">
        <f t="shared" si="730"/>
        <v>0</v>
      </c>
      <c r="R1788" s="85"/>
      <c r="S1788" s="86">
        <f t="shared" si="731"/>
        <v>0</v>
      </c>
      <c r="T1788" s="87">
        <f t="shared" si="726"/>
        <v>0</v>
      </c>
    </row>
    <row r="1789" spans="2:31" ht="20.100000000000001" hidden="1" customHeight="1">
      <c r="B1789" s="77">
        <v>13</v>
      </c>
      <c r="C1789" s="78" t="s">
        <v>3144</v>
      </c>
      <c r="D1789" s="79" t="s">
        <v>3296</v>
      </c>
      <c r="E1789" s="80" t="s">
        <v>3297</v>
      </c>
      <c r="F1789" s="81">
        <v>11.9</v>
      </c>
      <c r="G1789" s="222"/>
      <c r="H1789" s="186"/>
      <c r="I1789" s="186"/>
      <c r="J1789" s="308"/>
      <c r="K1789" s="227"/>
      <c r="L1789" s="82">
        <f t="shared" si="732"/>
        <v>0</v>
      </c>
      <c r="M1789" s="331"/>
      <c r="N1789" s="161">
        <f t="shared" si="727"/>
        <v>0</v>
      </c>
      <c r="O1789" s="161">
        <f t="shared" si="728"/>
        <v>0</v>
      </c>
      <c r="P1789" s="187">
        <f t="shared" si="729"/>
        <v>0</v>
      </c>
      <c r="Q1789" s="161">
        <f t="shared" si="730"/>
        <v>0</v>
      </c>
      <c r="R1789" s="85"/>
      <c r="S1789" s="86">
        <f t="shared" si="731"/>
        <v>0</v>
      </c>
      <c r="T1789" s="87">
        <f t="shared" si="726"/>
        <v>0</v>
      </c>
    </row>
    <row r="1790" spans="2:31" ht="20.100000000000001" hidden="1" customHeight="1">
      <c r="B1790" s="77">
        <v>13</v>
      </c>
      <c r="C1790" s="78" t="s">
        <v>3144</v>
      </c>
      <c r="D1790" s="219" t="s">
        <v>3853</v>
      </c>
      <c r="E1790" s="261" t="s">
        <v>4039</v>
      </c>
      <c r="F1790" s="260">
        <v>32</v>
      </c>
      <c r="G1790" s="222"/>
      <c r="H1790" s="186"/>
      <c r="I1790" s="186">
        <v>24</v>
      </c>
      <c r="J1790" s="308"/>
      <c r="K1790" s="227">
        <v>16</v>
      </c>
      <c r="L1790" s="82">
        <f t="shared" ref="L1790" si="733">G1790+I1790-J1790-K1790+H1790</f>
        <v>8</v>
      </c>
      <c r="M1790" s="331">
        <v>8</v>
      </c>
      <c r="N1790" s="161">
        <f t="shared" ref="N1790" si="734">F1790*L1790</f>
        <v>256</v>
      </c>
      <c r="O1790" s="161">
        <f t="shared" ref="O1790" si="735">M1790*F1790</f>
        <v>256</v>
      </c>
      <c r="P1790" s="187">
        <f t="shared" ref="P1790" si="736">L1790-M1790</f>
        <v>0</v>
      </c>
      <c r="Q1790" s="161">
        <f t="shared" ref="Q1790" si="737">N1790-O1790</f>
        <v>0</v>
      </c>
      <c r="R1790" s="85"/>
      <c r="S1790" s="86">
        <f t="shared" ref="S1790" si="738">U1790+Y1790+W1790+AA1790</f>
        <v>0</v>
      </c>
      <c r="T1790" s="87">
        <f t="shared" ref="T1790" si="739">M1790-S1790</f>
        <v>8</v>
      </c>
    </row>
    <row r="1791" spans="2:31" ht="20.100000000000001" hidden="1" customHeight="1">
      <c r="B1791" s="77">
        <v>13</v>
      </c>
      <c r="C1791" s="78" t="s">
        <v>3144</v>
      </c>
      <c r="D1791" s="79" t="s">
        <v>3298</v>
      </c>
      <c r="E1791" s="80" t="s">
        <v>3299</v>
      </c>
      <c r="F1791" s="81">
        <v>104.33</v>
      </c>
      <c r="G1791" s="222"/>
      <c r="H1791" s="186"/>
      <c r="I1791" s="186"/>
      <c r="J1791" s="308"/>
      <c r="K1791" s="227"/>
      <c r="L1791" s="82">
        <f t="shared" si="732"/>
        <v>0</v>
      </c>
      <c r="M1791" s="331"/>
      <c r="N1791" s="161">
        <f t="shared" si="727"/>
        <v>0</v>
      </c>
      <c r="O1791" s="161">
        <f t="shared" si="728"/>
        <v>0</v>
      </c>
      <c r="P1791" s="187">
        <f t="shared" si="729"/>
        <v>0</v>
      </c>
      <c r="Q1791" s="161">
        <f t="shared" si="730"/>
        <v>0</v>
      </c>
      <c r="R1791" s="85"/>
      <c r="S1791" s="86">
        <f t="shared" si="731"/>
        <v>0</v>
      </c>
      <c r="T1791" s="87">
        <f t="shared" si="726"/>
        <v>0</v>
      </c>
    </row>
    <row r="1792" spans="2:31" ht="20.100000000000001" hidden="1" customHeight="1">
      <c r="B1792" s="77">
        <v>13</v>
      </c>
      <c r="C1792" s="78" t="s">
        <v>3144</v>
      </c>
      <c r="D1792" s="79" t="s">
        <v>3300</v>
      </c>
      <c r="E1792" s="80" t="s">
        <v>3301</v>
      </c>
      <c r="F1792" s="81">
        <v>51.17</v>
      </c>
      <c r="G1792" s="222"/>
      <c r="H1792" s="186"/>
      <c r="I1792" s="186"/>
      <c r="J1792" s="308"/>
      <c r="K1792" s="227"/>
      <c r="L1792" s="82">
        <f t="shared" si="732"/>
        <v>0</v>
      </c>
      <c r="M1792" s="331"/>
      <c r="N1792" s="161">
        <f t="shared" si="727"/>
        <v>0</v>
      </c>
      <c r="O1792" s="161">
        <f t="shared" si="728"/>
        <v>0</v>
      </c>
      <c r="P1792" s="187">
        <f t="shared" si="729"/>
        <v>0</v>
      </c>
      <c r="Q1792" s="161">
        <f t="shared" si="730"/>
        <v>0</v>
      </c>
      <c r="R1792" s="85"/>
      <c r="S1792" s="86">
        <f t="shared" si="731"/>
        <v>0</v>
      </c>
      <c r="T1792" s="87">
        <f t="shared" si="726"/>
        <v>0</v>
      </c>
    </row>
    <row r="1793" spans="2:31" ht="20.100000000000001" hidden="1" customHeight="1">
      <c r="B1793" s="77">
        <v>13</v>
      </c>
      <c r="C1793" s="78" t="s">
        <v>3144</v>
      </c>
      <c r="D1793" s="79" t="s">
        <v>3302</v>
      </c>
      <c r="E1793" s="80" t="s">
        <v>3303</v>
      </c>
      <c r="F1793" s="81">
        <v>41.88</v>
      </c>
      <c r="G1793" s="222"/>
      <c r="H1793" s="186"/>
      <c r="I1793" s="186"/>
      <c r="J1793" s="308"/>
      <c r="K1793" s="227"/>
      <c r="L1793" s="82">
        <f t="shared" si="732"/>
        <v>0</v>
      </c>
      <c r="M1793" s="331"/>
      <c r="N1793" s="161">
        <f t="shared" si="727"/>
        <v>0</v>
      </c>
      <c r="O1793" s="161">
        <f t="shared" si="728"/>
        <v>0</v>
      </c>
      <c r="P1793" s="187">
        <f t="shared" si="729"/>
        <v>0</v>
      </c>
      <c r="Q1793" s="161">
        <f t="shared" si="730"/>
        <v>0</v>
      </c>
      <c r="R1793" s="85"/>
      <c r="S1793" s="86">
        <f t="shared" si="731"/>
        <v>0</v>
      </c>
      <c r="T1793" s="87">
        <f t="shared" si="726"/>
        <v>0</v>
      </c>
    </row>
    <row r="1794" spans="2:31" ht="20.100000000000001" hidden="1" customHeight="1">
      <c r="B1794" s="77">
        <v>13</v>
      </c>
      <c r="C1794" s="78" t="s">
        <v>3144</v>
      </c>
      <c r="D1794" s="79" t="s">
        <v>3304</v>
      </c>
      <c r="E1794" s="80" t="s">
        <v>3305</v>
      </c>
      <c r="F1794" s="81">
        <v>39.67</v>
      </c>
      <c r="G1794" s="222">
        <v>96</v>
      </c>
      <c r="H1794" s="186"/>
      <c r="I1794" s="186"/>
      <c r="J1794" s="308"/>
      <c r="K1794" s="227"/>
      <c r="L1794" s="82">
        <f t="shared" si="732"/>
        <v>96</v>
      </c>
      <c r="M1794" s="331">
        <f>48+48</f>
        <v>96</v>
      </c>
      <c r="N1794" s="161">
        <f t="shared" si="727"/>
        <v>3808.32</v>
      </c>
      <c r="O1794" s="161">
        <f t="shared" si="728"/>
        <v>3808.32</v>
      </c>
      <c r="P1794" s="187">
        <f t="shared" si="729"/>
        <v>0</v>
      </c>
      <c r="Q1794" s="161">
        <f t="shared" si="730"/>
        <v>0</v>
      </c>
      <c r="R1794" s="85"/>
      <c r="S1794" s="86">
        <f t="shared" si="731"/>
        <v>0</v>
      </c>
      <c r="T1794" s="87">
        <f t="shared" si="726"/>
        <v>96</v>
      </c>
    </row>
    <row r="1795" spans="2:31" ht="20.100000000000001" hidden="1" customHeight="1">
      <c r="B1795" s="77">
        <v>13</v>
      </c>
      <c r="C1795" s="78" t="s">
        <v>3144</v>
      </c>
      <c r="D1795" s="79" t="s">
        <v>3306</v>
      </c>
      <c r="E1795" s="80" t="s">
        <v>3307</v>
      </c>
      <c r="F1795" s="81">
        <v>40.5</v>
      </c>
      <c r="G1795" s="222"/>
      <c r="H1795" s="186"/>
      <c r="I1795" s="186"/>
      <c r="J1795" s="308"/>
      <c r="K1795" s="227"/>
      <c r="L1795" s="82">
        <f t="shared" si="732"/>
        <v>0</v>
      </c>
      <c r="M1795" s="331"/>
      <c r="N1795" s="161">
        <f t="shared" si="727"/>
        <v>0</v>
      </c>
      <c r="O1795" s="161">
        <f t="shared" si="728"/>
        <v>0</v>
      </c>
      <c r="P1795" s="187">
        <f t="shared" si="729"/>
        <v>0</v>
      </c>
      <c r="Q1795" s="161">
        <f t="shared" si="730"/>
        <v>0</v>
      </c>
      <c r="R1795" s="85"/>
      <c r="S1795" s="86">
        <f t="shared" si="731"/>
        <v>0</v>
      </c>
      <c r="T1795" s="87">
        <f t="shared" si="726"/>
        <v>0</v>
      </c>
    </row>
    <row r="1796" spans="2:31" ht="20.100000000000001" hidden="1" customHeight="1">
      <c r="B1796" s="77">
        <v>13</v>
      </c>
      <c r="C1796" s="78" t="s">
        <v>3144</v>
      </c>
      <c r="D1796" s="79" t="s">
        <v>3308</v>
      </c>
      <c r="E1796" s="80" t="s">
        <v>3309</v>
      </c>
      <c r="F1796" s="81">
        <v>24.38</v>
      </c>
      <c r="G1796" s="222">
        <v>32</v>
      </c>
      <c r="H1796" s="186"/>
      <c r="I1796" s="186"/>
      <c r="J1796" s="308"/>
      <c r="K1796" s="227"/>
      <c r="L1796" s="82">
        <f t="shared" si="732"/>
        <v>32</v>
      </c>
      <c r="M1796" s="331">
        <v>32</v>
      </c>
      <c r="N1796" s="161">
        <f t="shared" si="727"/>
        <v>780.16</v>
      </c>
      <c r="O1796" s="161">
        <f t="shared" si="728"/>
        <v>780.16</v>
      </c>
      <c r="P1796" s="187">
        <f t="shared" si="729"/>
        <v>0</v>
      </c>
      <c r="Q1796" s="161">
        <f t="shared" si="730"/>
        <v>0</v>
      </c>
      <c r="R1796" s="85"/>
      <c r="S1796" s="86">
        <f t="shared" si="731"/>
        <v>0</v>
      </c>
      <c r="T1796" s="87">
        <f t="shared" si="726"/>
        <v>32</v>
      </c>
    </row>
    <row r="1797" spans="2:31" ht="20.100000000000001" hidden="1" customHeight="1">
      <c r="B1797" s="77">
        <v>13</v>
      </c>
      <c r="C1797" s="78" t="s">
        <v>3144</v>
      </c>
      <c r="D1797" s="79" t="s">
        <v>3310</v>
      </c>
      <c r="E1797" s="80" t="s">
        <v>3311</v>
      </c>
      <c r="F1797" s="81">
        <v>13.07</v>
      </c>
      <c r="G1797" s="222"/>
      <c r="H1797" s="186"/>
      <c r="I1797" s="186"/>
      <c r="J1797" s="308"/>
      <c r="K1797" s="227"/>
      <c r="L1797" s="82">
        <f t="shared" si="732"/>
        <v>0</v>
      </c>
      <c r="M1797" s="331"/>
      <c r="N1797" s="161">
        <f t="shared" si="727"/>
        <v>0</v>
      </c>
      <c r="O1797" s="161">
        <f t="shared" si="728"/>
        <v>0</v>
      </c>
      <c r="P1797" s="187">
        <f t="shared" si="729"/>
        <v>0</v>
      </c>
      <c r="Q1797" s="161">
        <f t="shared" si="730"/>
        <v>0</v>
      </c>
      <c r="R1797" s="85"/>
      <c r="S1797" s="86">
        <f t="shared" si="731"/>
        <v>0</v>
      </c>
      <c r="T1797" s="87">
        <f t="shared" si="726"/>
        <v>0</v>
      </c>
    </row>
    <row r="1798" spans="2:31" ht="20.100000000000001" hidden="1" customHeight="1">
      <c r="B1798" s="77">
        <v>13</v>
      </c>
      <c r="C1798" s="78" t="s">
        <v>3144</v>
      </c>
      <c r="D1798" s="79" t="s">
        <v>3312</v>
      </c>
      <c r="E1798" s="80" t="s">
        <v>3313</v>
      </c>
      <c r="F1798" s="81">
        <v>90</v>
      </c>
      <c r="G1798" s="222">
        <v>3</v>
      </c>
      <c r="H1798" s="186"/>
      <c r="I1798" s="186"/>
      <c r="J1798" s="308"/>
      <c r="K1798" s="227"/>
      <c r="L1798" s="82">
        <f t="shared" si="732"/>
        <v>3</v>
      </c>
      <c r="M1798" s="331">
        <v>3</v>
      </c>
      <c r="N1798" s="161">
        <f t="shared" si="727"/>
        <v>270</v>
      </c>
      <c r="O1798" s="161">
        <f t="shared" si="728"/>
        <v>270</v>
      </c>
      <c r="P1798" s="187">
        <f t="shared" si="729"/>
        <v>0</v>
      </c>
      <c r="Q1798" s="161">
        <f t="shared" si="730"/>
        <v>0</v>
      </c>
      <c r="R1798" s="85" t="s">
        <v>3314</v>
      </c>
      <c r="S1798" s="86">
        <f t="shared" si="731"/>
        <v>30</v>
      </c>
      <c r="T1798" s="87">
        <f t="shared" si="726"/>
        <v>-27</v>
      </c>
      <c r="W1798">
        <f>10*3</f>
        <v>30</v>
      </c>
      <c r="X1798" t="s">
        <v>115</v>
      </c>
      <c r="AD1798">
        <f>W1798</f>
        <v>30</v>
      </c>
      <c r="AE1798" s="89">
        <f>AD1798*F1798</f>
        <v>2700</v>
      </c>
    </row>
    <row r="1799" spans="2:31" ht="20.100000000000001" hidden="1" customHeight="1">
      <c r="B1799" s="77">
        <v>14</v>
      </c>
      <c r="C1799" s="78" t="s">
        <v>3315</v>
      </c>
      <c r="D1799" s="79" t="s">
        <v>3316</v>
      </c>
      <c r="E1799" s="80" t="s">
        <v>3317</v>
      </c>
      <c r="F1799" s="81">
        <v>21</v>
      </c>
      <c r="G1799" s="222"/>
      <c r="H1799" s="186"/>
      <c r="I1799" s="186"/>
      <c r="J1799" s="308"/>
      <c r="K1799" s="227"/>
      <c r="L1799" s="82">
        <f t="shared" si="732"/>
        <v>0</v>
      </c>
      <c r="M1799" s="331"/>
      <c r="N1799" s="161">
        <f t="shared" si="727"/>
        <v>0</v>
      </c>
      <c r="O1799" s="161">
        <f t="shared" si="728"/>
        <v>0</v>
      </c>
      <c r="P1799" s="187">
        <f t="shared" si="729"/>
        <v>0</v>
      </c>
      <c r="Q1799" s="161">
        <f t="shared" si="730"/>
        <v>0</v>
      </c>
      <c r="R1799" s="85"/>
      <c r="S1799" s="86">
        <f t="shared" si="731"/>
        <v>0</v>
      </c>
      <c r="T1799" s="87">
        <f t="shared" si="726"/>
        <v>0</v>
      </c>
    </row>
    <row r="1800" spans="2:31" ht="20.100000000000001" hidden="1" customHeight="1">
      <c r="B1800" s="77">
        <v>14</v>
      </c>
      <c r="C1800" s="78" t="s">
        <v>3315</v>
      </c>
      <c r="D1800" s="79" t="s">
        <v>3318</v>
      </c>
      <c r="E1800" s="80" t="s">
        <v>3319</v>
      </c>
      <c r="F1800" s="81">
        <v>30.25</v>
      </c>
      <c r="G1800" s="222"/>
      <c r="H1800" s="186"/>
      <c r="I1800" s="186"/>
      <c r="J1800" s="308"/>
      <c r="K1800" s="227"/>
      <c r="L1800" s="82">
        <f t="shared" si="732"/>
        <v>0</v>
      </c>
      <c r="M1800" s="331"/>
      <c r="N1800" s="161">
        <f t="shared" si="727"/>
        <v>0</v>
      </c>
      <c r="O1800" s="161">
        <f t="shared" si="728"/>
        <v>0</v>
      </c>
      <c r="P1800" s="187">
        <f t="shared" si="729"/>
        <v>0</v>
      </c>
      <c r="Q1800" s="161">
        <f t="shared" si="730"/>
        <v>0</v>
      </c>
      <c r="R1800" s="85"/>
      <c r="S1800" s="86">
        <f t="shared" si="731"/>
        <v>0</v>
      </c>
      <c r="T1800" s="87">
        <f t="shared" si="726"/>
        <v>0</v>
      </c>
    </row>
    <row r="1801" spans="2:31" ht="20.100000000000001" hidden="1" customHeight="1">
      <c r="B1801" s="77">
        <v>14</v>
      </c>
      <c r="C1801" s="78" t="s">
        <v>3315</v>
      </c>
      <c r="D1801" s="79" t="s">
        <v>3318</v>
      </c>
      <c r="E1801" s="80" t="s">
        <v>3319</v>
      </c>
      <c r="F1801" s="81">
        <v>30.25</v>
      </c>
      <c r="G1801" s="222">
        <v>10</v>
      </c>
      <c r="H1801" s="186"/>
      <c r="I1801" s="186"/>
      <c r="J1801" s="308"/>
      <c r="K1801" s="227"/>
      <c r="L1801" s="82">
        <f t="shared" si="732"/>
        <v>10</v>
      </c>
      <c r="M1801" s="331">
        <v>10</v>
      </c>
      <c r="N1801" s="161">
        <f t="shared" si="727"/>
        <v>302.5</v>
      </c>
      <c r="O1801" s="161">
        <f t="shared" si="728"/>
        <v>302.5</v>
      </c>
      <c r="P1801" s="187">
        <f t="shared" si="729"/>
        <v>0</v>
      </c>
      <c r="Q1801" s="161">
        <f t="shared" si="730"/>
        <v>0</v>
      </c>
      <c r="R1801" s="85"/>
      <c r="S1801" s="86">
        <f t="shared" si="731"/>
        <v>11</v>
      </c>
      <c r="T1801" s="87">
        <f t="shared" si="726"/>
        <v>-1</v>
      </c>
      <c r="U1801">
        <v>11</v>
      </c>
    </row>
    <row r="1802" spans="2:31" ht="20.100000000000001" hidden="1" customHeight="1">
      <c r="B1802" s="77">
        <v>14</v>
      </c>
      <c r="C1802" s="78" t="s">
        <v>3315</v>
      </c>
      <c r="D1802" s="79" t="s">
        <v>3320</v>
      </c>
      <c r="E1802" s="80" t="s">
        <v>3321</v>
      </c>
      <c r="F1802" s="81">
        <v>154.30000000000001</v>
      </c>
      <c r="G1802" s="222">
        <v>220</v>
      </c>
      <c r="H1802" s="186"/>
      <c r="I1802" s="186"/>
      <c r="J1802" s="308"/>
      <c r="K1802" s="227"/>
      <c r="L1802" s="82">
        <f t="shared" si="732"/>
        <v>220</v>
      </c>
      <c r="M1802" s="331">
        <v>220</v>
      </c>
      <c r="N1802" s="161">
        <f t="shared" si="727"/>
        <v>33946</v>
      </c>
      <c r="O1802" s="161">
        <f t="shared" si="728"/>
        <v>33946</v>
      </c>
      <c r="P1802" s="187">
        <f t="shared" si="729"/>
        <v>0</v>
      </c>
      <c r="Q1802" s="161">
        <f t="shared" si="730"/>
        <v>0</v>
      </c>
      <c r="R1802" s="85"/>
      <c r="S1802" s="86">
        <f t="shared" si="731"/>
        <v>220</v>
      </c>
      <c r="T1802" s="87">
        <f t="shared" si="726"/>
        <v>0</v>
      </c>
      <c r="W1802">
        <v>220</v>
      </c>
    </row>
    <row r="1803" spans="2:31" ht="20.100000000000001" hidden="1" customHeight="1">
      <c r="B1803" s="77">
        <v>14</v>
      </c>
      <c r="C1803" s="78" t="s">
        <v>3315</v>
      </c>
      <c r="D1803" s="79" t="s">
        <v>3322</v>
      </c>
      <c r="E1803" s="80" t="s">
        <v>3323</v>
      </c>
      <c r="F1803" s="81">
        <v>125.7</v>
      </c>
      <c r="G1803" s="222">
        <v>325</v>
      </c>
      <c r="H1803" s="186"/>
      <c r="I1803" s="186"/>
      <c r="J1803" s="308"/>
      <c r="K1803" s="227"/>
      <c r="L1803" s="82">
        <f t="shared" si="732"/>
        <v>325</v>
      </c>
      <c r="M1803" s="331">
        <v>325</v>
      </c>
      <c r="N1803" s="161">
        <f t="shared" si="727"/>
        <v>40852.5</v>
      </c>
      <c r="O1803" s="161">
        <f t="shared" si="728"/>
        <v>40852.5</v>
      </c>
      <c r="P1803" s="187">
        <f t="shared" si="729"/>
        <v>0</v>
      </c>
      <c r="Q1803" s="161">
        <f t="shared" si="730"/>
        <v>0</v>
      </c>
      <c r="R1803" s="85"/>
      <c r="S1803" s="86">
        <f t="shared" si="731"/>
        <v>326</v>
      </c>
      <c r="T1803" s="87">
        <f t="shared" si="726"/>
        <v>-1</v>
      </c>
      <c r="U1803">
        <v>26</v>
      </c>
      <c r="W1803">
        <v>300</v>
      </c>
    </row>
    <row r="1804" spans="2:31" ht="20.100000000000001" hidden="1" customHeight="1">
      <c r="B1804" s="77">
        <v>14</v>
      </c>
      <c r="C1804" s="78" t="s">
        <v>3315</v>
      </c>
      <c r="D1804" s="79" t="s">
        <v>3324</v>
      </c>
      <c r="E1804" s="80" t="s">
        <v>3325</v>
      </c>
      <c r="F1804" s="81">
        <v>7</v>
      </c>
      <c r="G1804" s="222">
        <v>94</v>
      </c>
      <c r="H1804" s="186"/>
      <c r="I1804" s="186"/>
      <c r="J1804" s="308"/>
      <c r="K1804" s="227"/>
      <c r="L1804" s="82">
        <f t="shared" si="732"/>
        <v>94</v>
      </c>
      <c r="M1804" s="331">
        <v>94</v>
      </c>
      <c r="N1804" s="161">
        <f t="shared" si="727"/>
        <v>658</v>
      </c>
      <c r="O1804" s="161">
        <f t="shared" si="728"/>
        <v>658</v>
      </c>
      <c r="P1804" s="187">
        <f t="shared" si="729"/>
        <v>0</v>
      </c>
      <c r="Q1804" s="161">
        <f t="shared" si="730"/>
        <v>0</v>
      </c>
      <c r="R1804" s="85"/>
      <c r="S1804" s="86">
        <f t="shared" si="731"/>
        <v>94</v>
      </c>
      <c r="T1804" s="87">
        <f t="shared" si="726"/>
        <v>0</v>
      </c>
      <c r="U1804">
        <v>94</v>
      </c>
    </row>
    <row r="1805" spans="2:31" ht="20.100000000000001" hidden="1" customHeight="1">
      <c r="B1805" s="77">
        <v>14</v>
      </c>
      <c r="C1805" s="78" t="s">
        <v>3315</v>
      </c>
      <c r="D1805" s="79" t="s">
        <v>3326</v>
      </c>
      <c r="E1805" s="80" t="s">
        <v>3327</v>
      </c>
      <c r="F1805" s="81">
        <v>66.89</v>
      </c>
      <c r="G1805" s="222">
        <v>1</v>
      </c>
      <c r="H1805" s="186"/>
      <c r="I1805" s="186"/>
      <c r="J1805" s="308"/>
      <c r="K1805" s="227"/>
      <c r="L1805" s="82">
        <f t="shared" si="732"/>
        <v>1</v>
      </c>
      <c r="M1805" s="331">
        <v>1</v>
      </c>
      <c r="N1805" s="161">
        <f t="shared" si="727"/>
        <v>66.89</v>
      </c>
      <c r="O1805" s="161">
        <f t="shared" si="728"/>
        <v>66.89</v>
      </c>
      <c r="P1805" s="187">
        <f t="shared" si="729"/>
        <v>0</v>
      </c>
      <c r="Q1805" s="161">
        <f t="shared" si="730"/>
        <v>0</v>
      </c>
      <c r="R1805" s="85"/>
      <c r="S1805" s="86">
        <f t="shared" si="731"/>
        <v>1</v>
      </c>
      <c r="T1805" s="87">
        <f t="shared" si="726"/>
        <v>0</v>
      </c>
      <c r="U1805">
        <v>1</v>
      </c>
    </row>
    <row r="1806" spans="2:31" ht="20.100000000000001" hidden="1" customHeight="1">
      <c r="B1806" s="77">
        <v>14</v>
      </c>
      <c r="C1806" s="78" t="s">
        <v>3315</v>
      </c>
      <c r="D1806" s="79" t="s">
        <v>3328</v>
      </c>
      <c r="E1806" s="80" t="s">
        <v>3329</v>
      </c>
      <c r="F1806" s="81">
        <v>6</v>
      </c>
      <c r="G1806" s="222">
        <v>53</v>
      </c>
      <c r="H1806" s="186"/>
      <c r="I1806" s="186"/>
      <c r="J1806" s="308"/>
      <c r="K1806" s="227"/>
      <c r="L1806" s="82">
        <f t="shared" si="732"/>
        <v>53</v>
      </c>
      <c r="M1806" s="331">
        <v>53</v>
      </c>
      <c r="N1806" s="161">
        <f t="shared" si="727"/>
        <v>318</v>
      </c>
      <c r="O1806" s="161">
        <f t="shared" si="728"/>
        <v>318</v>
      </c>
      <c r="P1806" s="187">
        <f t="shared" si="729"/>
        <v>0</v>
      </c>
      <c r="Q1806" s="161">
        <f t="shared" si="730"/>
        <v>0</v>
      </c>
      <c r="R1806" s="85" t="s">
        <v>1696</v>
      </c>
      <c r="S1806" s="86">
        <f t="shared" si="731"/>
        <v>53</v>
      </c>
      <c r="T1806" s="87">
        <f t="shared" si="726"/>
        <v>0</v>
      </c>
      <c r="U1806">
        <v>53</v>
      </c>
      <c r="V1806" s="88" t="s">
        <v>45</v>
      </c>
      <c r="AD1806" s="17">
        <f>M1806</f>
        <v>53</v>
      </c>
      <c r="AE1806" s="89">
        <f>AD1806*F1806</f>
        <v>318</v>
      </c>
    </row>
    <row r="1807" spans="2:31" ht="20.100000000000001" hidden="1" customHeight="1">
      <c r="B1807" s="77">
        <v>14</v>
      </c>
      <c r="C1807" s="78" t="s">
        <v>3315</v>
      </c>
      <c r="D1807" s="79" t="s">
        <v>3330</v>
      </c>
      <c r="E1807" s="80" t="s">
        <v>3331</v>
      </c>
      <c r="F1807" s="81">
        <v>4.4800000000000004</v>
      </c>
      <c r="G1807" s="222"/>
      <c r="H1807" s="186">
        <v>10</v>
      </c>
      <c r="I1807" s="186"/>
      <c r="J1807" s="308"/>
      <c r="K1807" s="227">
        <v>10</v>
      </c>
      <c r="L1807" s="82">
        <f t="shared" si="732"/>
        <v>0</v>
      </c>
      <c r="M1807" s="331"/>
      <c r="N1807" s="161">
        <f t="shared" si="727"/>
        <v>0</v>
      </c>
      <c r="O1807" s="161">
        <f t="shared" si="728"/>
        <v>0</v>
      </c>
      <c r="P1807" s="187">
        <f t="shared" si="729"/>
        <v>0</v>
      </c>
      <c r="Q1807" s="161">
        <f t="shared" si="730"/>
        <v>0</v>
      </c>
      <c r="R1807" s="85"/>
      <c r="S1807" s="86">
        <f t="shared" si="731"/>
        <v>0</v>
      </c>
      <c r="T1807" s="87">
        <f t="shared" si="726"/>
        <v>0</v>
      </c>
    </row>
    <row r="1808" spans="2:31" ht="20.100000000000001" hidden="1" customHeight="1">
      <c r="B1808" s="77">
        <v>14</v>
      </c>
      <c r="C1808" s="78" t="s">
        <v>3315</v>
      </c>
      <c r="D1808" s="218" t="s">
        <v>3856</v>
      </c>
      <c r="E1808" s="304" t="s">
        <v>4816</v>
      </c>
      <c r="F1808" s="81">
        <v>3.7</v>
      </c>
      <c r="G1808" s="222"/>
      <c r="H1808" s="186">
        <v>20</v>
      </c>
      <c r="I1808" s="186"/>
      <c r="J1808" s="308"/>
      <c r="K1808" s="227">
        <v>6</v>
      </c>
      <c r="L1808" s="82">
        <f t="shared" ref="L1808:L1809" si="740">G1808+I1808-J1808-K1808+H1808</f>
        <v>14</v>
      </c>
      <c r="M1808" s="331">
        <v>14</v>
      </c>
      <c r="N1808" s="161">
        <f t="shared" ref="N1808:N1809" si="741">F1808*L1808</f>
        <v>51.800000000000004</v>
      </c>
      <c r="O1808" s="161">
        <f t="shared" ref="O1808:O1809" si="742">M1808*F1808</f>
        <v>51.800000000000004</v>
      </c>
      <c r="P1808" s="187">
        <f t="shared" ref="P1808:P1809" si="743">L1808-M1808</f>
        <v>0</v>
      </c>
      <c r="Q1808" s="161">
        <f t="shared" ref="Q1808:Q1809" si="744">N1808-O1808</f>
        <v>0</v>
      </c>
      <c r="R1808" s="85"/>
      <c r="S1808" s="86">
        <f t="shared" ref="S1808:S1809" si="745">U1808+Y1808+W1808+AA1808</f>
        <v>0</v>
      </c>
      <c r="T1808" s="87">
        <f t="shared" ref="T1808:T1809" si="746">M1808-S1808</f>
        <v>14</v>
      </c>
    </row>
    <row r="1809" spans="2:21" ht="20.100000000000001" hidden="1" customHeight="1">
      <c r="B1809" s="77">
        <v>14</v>
      </c>
      <c r="C1809" s="78" t="s">
        <v>3315</v>
      </c>
      <c r="D1809" s="218" t="s">
        <v>3854</v>
      </c>
      <c r="E1809" s="303" t="s">
        <v>4053</v>
      </c>
      <c r="F1809" s="81">
        <v>5.8</v>
      </c>
      <c r="G1809" s="222"/>
      <c r="H1809" s="186">
        <v>30</v>
      </c>
      <c r="I1809" s="186"/>
      <c r="J1809" s="308"/>
      <c r="K1809" s="227">
        <v>30</v>
      </c>
      <c r="L1809" s="82">
        <f t="shared" si="740"/>
        <v>0</v>
      </c>
      <c r="M1809" s="331"/>
      <c r="N1809" s="161">
        <f t="shared" si="741"/>
        <v>0</v>
      </c>
      <c r="O1809" s="161">
        <f t="shared" si="742"/>
        <v>0</v>
      </c>
      <c r="P1809" s="187">
        <f t="shared" si="743"/>
        <v>0</v>
      </c>
      <c r="Q1809" s="161">
        <f t="shared" si="744"/>
        <v>0</v>
      </c>
      <c r="R1809" s="85"/>
      <c r="S1809" s="86">
        <f t="shared" si="745"/>
        <v>0</v>
      </c>
      <c r="T1809" s="87">
        <f t="shared" si="746"/>
        <v>0</v>
      </c>
    </row>
    <row r="1810" spans="2:21" ht="20.100000000000001" hidden="1" customHeight="1">
      <c r="B1810" s="77">
        <v>14</v>
      </c>
      <c r="C1810" s="78" t="s">
        <v>3315</v>
      </c>
      <c r="D1810" s="218" t="s">
        <v>3857</v>
      </c>
      <c r="E1810" s="303" t="s">
        <v>4079</v>
      </c>
      <c r="F1810" s="81">
        <v>1</v>
      </c>
      <c r="G1810" s="222"/>
      <c r="H1810" s="186">
        <v>24</v>
      </c>
      <c r="I1810" s="186"/>
      <c r="J1810" s="308"/>
      <c r="K1810" s="227">
        <v>24</v>
      </c>
      <c r="L1810" s="82">
        <f t="shared" si="732"/>
        <v>0</v>
      </c>
      <c r="M1810" s="331"/>
      <c r="N1810" s="161">
        <f t="shared" si="727"/>
        <v>0</v>
      </c>
      <c r="O1810" s="161">
        <f t="shared" si="728"/>
        <v>0</v>
      </c>
      <c r="P1810" s="187">
        <f t="shared" si="729"/>
        <v>0</v>
      </c>
      <c r="Q1810" s="161">
        <f t="shared" si="730"/>
        <v>0</v>
      </c>
      <c r="R1810" s="85"/>
      <c r="S1810" s="86">
        <f t="shared" si="731"/>
        <v>0</v>
      </c>
      <c r="T1810" s="87">
        <f t="shared" si="726"/>
        <v>0</v>
      </c>
    </row>
    <row r="1811" spans="2:21" ht="20.100000000000001" hidden="1" customHeight="1">
      <c r="B1811" s="77">
        <v>14</v>
      </c>
      <c r="C1811" s="78" t="s">
        <v>3315</v>
      </c>
      <c r="D1811" s="79" t="s">
        <v>3332</v>
      </c>
      <c r="E1811" s="80" t="s">
        <v>3333</v>
      </c>
      <c r="F1811" s="81">
        <v>4.4800000000000004</v>
      </c>
      <c r="G1811" s="222"/>
      <c r="H1811" s="186"/>
      <c r="I1811" s="186"/>
      <c r="J1811" s="308"/>
      <c r="K1811" s="227"/>
      <c r="L1811" s="82">
        <f t="shared" si="732"/>
        <v>0</v>
      </c>
      <c r="M1811" s="331"/>
      <c r="N1811" s="161">
        <f t="shared" si="727"/>
        <v>0</v>
      </c>
      <c r="O1811" s="161">
        <f t="shared" si="728"/>
        <v>0</v>
      </c>
      <c r="P1811" s="187">
        <f t="shared" si="729"/>
        <v>0</v>
      </c>
      <c r="Q1811" s="161">
        <f t="shared" si="730"/>
        <v>0</v>
      </c>
      <c r="R1811" s="232"/>
      <c r="S1811" s="86">
        <f t="shared" si="731"/>
        <v>0</v>
      </c>
      <c r="T1811" s="87">
        <f t="shared" si="726"/>
        <v>0</v>
      </c>
    </row>
    <row r="1812" spans="2:21" ht="20.100000000000001" hidden="1" customHeight="1">
      <c r="B1812" s="77">
        <v>14</v>
      </c>
      <c r="C1812" s="78" t="s">
        <v>3315</v>
      </c>
      <c r="D1812" s="79" t="s">
        <v>3334</v>
      </c>
      <c r="E1812" s="80" t="s">
        <v>3335</v>
      </c>
      <c r="F1812" s="81">
        <v>3.6</v>
      </c>
      <c r="G1812" s="222"/>
      <c r="H1812" s="186">
        <v>20</v>
      </c>
      <c r="I1812" s="186"/>
      <c r="J1812" s="308"/>
      <c r="K1812" s="227">
        <v>15</v>
      </c>
      <c r="L1812" s="82">
        <f t="shared" si="732"/>
        <v>5</v>
      </c>
      <c r="M1812" s="331">
        <v>5</v>
      </c>
      <c r="N1812" s="161">
        <f t="shared" si="727"/>
        <v>18</v>
      </c>
      <c r="O1812" s="161">
        <f t="shared" si="728"/>
        <v>18</v>
      </c>
      <c r="P1812" s="187">
        <f t="shared" si="729"/>
        <v>0</v>
      </c>
      <c r="Q1812" s="161">
        <f t="shared" si="730"/>
        <v>0</v>
      </c>
      <c r="R1812" s="85"/>
      <c r="S1812" s="86">
        <f t="shared" si="731"/>
        <v>0</v>
      </c>
      <c r="T1812" s="87">
        <f t="shared" si="726"/>
        <v>5</v>
      </c>
    </row>
    <row r="1813" spans="2:21" ht="20.100000000000001" customHeight="1">
      <c r="B1813" s="77">
        <v>14</v>
      </c>
      <c r="C1813" s="78" t="s">
        <v>3315</v>
      </c>
      <c r="D1813" s="79" t="s">
        <v>3336</v>
      </c>
      <c r="E1813" s="80" t="s">
        <v>3337</v>
      </c>
      <c r="F1813" s="81">
        <v>3.6</v>
      </c>
      <c r="G1813" s="222"/>
      <c r="H1813" s="186">
        <v>20</v>
      </c>
      <c r="I1813" s="186"/>
      <c r="J1813" s="308"/>
      <c r="K1813" s="227">
        <v>11</v>
      </c>
      <c r="L1813" s="82">
        <f t="shared" si="732"/>
        <v>9</v>
      </c>
      <c r="M1813" s="331">
        <v>8</v>
      </c>
      <c r="N1813" s="161">
        <f t="shared" si="727"/>
        <v>32.4</v>
      </c>
      <c r="O1813" s="161">
        <f t="shared" si="728"/>
        <v>28.8</v>
      </c>
      <c r="P1813" s="187">
        <f t="shared" si="729"/>
        <v>1</v>
      </c>
      <c r="Q1813" s="161">
        <f t="shared" si="730"/>
        <v>3.5999999999999979</v>
      </c>
      <c r="R1813" s="85"/>
      <c r="S1813" s="86">
        <f t="shared" si="731"/>
        <v>0</v>
      </c>
      <c r="T1813" s="87">
        <f t="shared" si="726"/>
        <v>8</v>
      </c>
    </row>
    <row r="1814" spans="2:21" ht="20.100000000000001" hidden="1" customHeight="1">
      <c r="B1814" s="77">
        <v>14</v>
      </c>
      <c r="C1814" s="78" t="s">
        <v>3315</v>
      </c>
      <c r="D1814" s="79" t="s">
        <v>3338</v>
      </c>
      <c r="E1814" s="80" t="s">
        <v>3339</v>
      </c>
      <c r="F1814" s="81">
        <v>7</v>
      </c>
      <c r="G1814" s="222">
        <v>4</v>
      </c>
      <c r="H1814" s="186"/>
      <c r="I1814" s="186"/>
      <c r="J1814" s="308"/>
      <c r="K1814" s="227"/>
      <c r="L1814" s="82">
        <f t="shared" si="732"/>
        <v>4</v>
      </c>
      <c r="M1814" s="331">
        <v>4</v>
      </c>
      <c r="N1814" s="161">
        <f t="shared" si="727"/>
        <v>28</v>
      </c>
      <c r="O1814" s="161">
        <f t="shared" si="728"/>
        <v>28</v>
      </c>
      <c r="P1814" s="187">
        <f t="shared" si="729"/>
        <v>0</v>
      </c>
      <c r="Q1814" s="161">
        <f t="shared" si="730"/>
        <v>0</v>
      </c>
      <c r="R1814" s="85"/>
      <c r="S1814" s="86">
        <f t="shared" si="731"/>
        <v>6</v>
      </c>
      <c r="T1814" s="87">
        <f t="shared" si="726"/>
        <v>-2</v>
      </c>
      <c r="U1814">
        <v>6</v>
      </c>
    </row>
    <row r="1815" spans="2:21" ht="20.100000000000001" hidden="1" customHeight="1">
      <c r="B1815" s="77">
        <v>14</v>
      </c>
      <c r="C1815" s="78" t="s">
        <v>3315</v>
      </c>
      <c r="D1815" s="79" t="s">
        <v>3340</v>
      </c>
      <c r="E1815" s="80" t="s">
        <v>3341</v>
      </c>
      <c r="F1815" s="81">
        <v>20</v>
      </c>
      <c r="G1815" s="222"/>
      <c r="H1815" s="186"/>
      <c r="I1815" s="186"/>
      <c r="J1815" s="308"/>
      <c r="K1815" s="227"/>
      <c r="L1815" s="82">
        <f t="shared" si="732"/>
        <v>0</v>
      </c>
      <c r="M1815" s="331"/>
      <c r="N1815" s="161">
        <f t="shared" si="727"/>
        <v>0</v>
      </c>
      <c r="O1815" s="161">
        <f t="shared" si="728"/>
        <v>0</v>
      </c>
      <c r="P1815" s="187">
        <f t="shared" si="729"/>
        <v>0</v>
      </c>
      <c r="Q1815" s="161">
        <f t="shared" si="730"/>
        <v>0</v>
      </c>
      <c r="R1815" s="85"/>
      <c r="S1815" s="86">
        <f t="shared" si="731"/>
        <v>2</v>
      </c>
      <c r="T1815" s="87">
        <f t="shared" si="726"/>
        <v>-2</v>
      </c>
      <c r="U1815">
        <v>2</v>
      </c>
    </row>
    <row r="1816" spans="2:21" ht="20.100000000000001" customHeight="1">
      <c r="B1816" s="77">
        <v>14</v>
      </c>
      <c r="C1816" s="78" t="s">
        <v>3315</v>
      </c>
      <c r="D1816" s="79" t="s">
        <v>3342</v>
      </c>
      <c r="E1816" s="80" t="s">
        <v>3343</v>
      </c>
      <c r="F1816" s="81">
        <v>0.76</v>
      </c>
      <c r="G1816" s="222">
        <v>50</v>
      </c>
      <c r="H1816" s="186">
        <v>50</v>
      </c>
      <c r="I1816" s="186"/>
      <c r="J1816" s="308"/>
      <c r="K1816" s="227">
        <v>98</v>
      </c>
      <c r="L1816" s="82">
        <f t="shared" si="732"/>
        <v>2</v>
      </c>
      <c r="M1816" s="331">
        <v>0</v>
      </c>
      <c r="N1816" s="161">
        <f t="shared" si="727"/>
        <v>1.52</v>
      </c>
      <c r="O1816" s="161">
        <f t="shared" si="728"/>
        <v>0</v>
      </c>
      <c r="P1816" s="187">
        <f t="shared" si="729"/>
        <v>2</v>
      </c>
      <c r="Q1816" s="161">
        <f t="shared" si="730"/>
        <v>1.52</v>
      </c>
      <c r="R1816" s="85"/>
      <c r="S1816" s="86">
        <f t="shared" si="731"/>
        <v>10</v>
      </c>
      <c r="T1816" s="87">
        <f t="shared" si="726"/>
        <v>-10</v>
      </c>
      <c r="U1816">
        <v>10</v>
      </c>
    </row>
    <row r="1817" spans="2:21" ht="20.100000000000001" hidden="1" customHeight="1">
      <c r="B1817" s="77">
        <v>14</v>
      </c>
      <c r="C1817" s="78" t="s">
        <v>3315</v>
      </c>
      <c r="D1817" s="218" t="s">
        <v>3894</v>
      </c>
      <c r="E1817" s="303" t="s">
        <v>4400</v>
      </c>
      <c r="F1817" s="303">
        <v>5.61</v>
      </c>
      <c r="G1817" s="222"/>
      <c r="H1817" s="186">
        <v>12</v>
      </c>
      <c r="I1817" s="186"/>
      <c r="J1817" s="308"/>
      <c r="K1817" s="227">
        <v>12</v>
      </c>
      <c r="L1817" s="82">
        <f t="shared" ref="L1817:L1818" si="747">G1817+I1817-J1817-K1817+H1817</f>
        <v>0</v>
      </c>
      <c r="M1817" s="331"/>
      <c r="N1817" s="161">
        <f t="shared" ref="N1817:N1818" si="748">F1817*L1817</f>
        <v>0</v>
      </c>
      <c r="O1817" s="161">
        <f t="shared" ref="O1817:O1818" si="749">M1817*F1817</f>
        <v>0</v>
      </c>
      <c r="P1817" s="187">
        <f t="shared" ref="P1817:P1818" si="750">L1817-M1817</f>
        <v>0</v>
      </c>
      <c r="Q1817" s="161">
        <f t="shared" ref="Q1817:Q1818" si="751">N1817-O1817</f>
        <v>0</v>
      </c>
      <c r="R1817" s="85"/>
      <c r="S1817" s="86">
        <f t="shared" ref="S1817:S1818" si="752">U1817+Y1817+W1817+AA1817</f>
        <v>0</v>
      </c>
      <c r="T1817" s="87">
        <f t="shared" ref="T1817:T1818" si="753">M1817-S1817</f>
        <v>0</v>
      </c>
    </row>
    <row r="1818" spans="2:21" ht="20.100000000000001" customHeight="1">
      <c r="B1818" s="77">
        <v>14</v>
      </c>
      <c r="C1818" s="78" t="s">
        <v>3315</v>
      </c>
      <c r="D1818" s="218" t="s">
        <v>3889</v>
      </c>
      <c r="E1818" s="303" t="s">
        <v>4372</v>
      </c>
      <c r="F1818" s="303">
        <v>5.61</v>
      </c>
      <c r="G1818" s="222"/>
      <c r="H1818" s="186">
        <v>12</v>
      </c>
      <c r="I1818" s="186"/>
      <c r="J1818" s="308"/>
      <c r="K1818" s="227">
        <v>8</v>
      </c>
      <c r="L1818" s="82">
        <f t="shared" si="747"/>
        <v>4</v>
      </c>
      <c r="M1818" s="331">
        <v>2</v>
      </c>
      <c r="N1818" s="161">
        <f t="shared" si="748"/>
        <v>22.44</v>
      </c>
      <c r="O1818" s="161">
        <f t="shared" si="749"/>
        <v>11.22</v>
      </c>
      <c r="P1818" s="187">
        <f t="shared" si="750"/>
        <v>2</v>
      </c>
      <c r="Q1818" s="161">
        <f t="shared" si="751"/>
        <v>11.22</v>
      </c>
      <c r="R1818" s="85"/>
      <c r="S1818" s="86">
        <f t="shared" si="752"/>
        <v>0</v>
      </c>
      <c r="T1818" s="87">
        <f t="shared" si="753"/>
        <v>2</v>
      </c>
    </row>
    <row r="1819" spans="2:21" ht="20.100000000000001" hidden="1" customHeight="1">
      <c r="B1819" s="77">
        <v>14</v>
      </c>
      <c r="C1819" s="78" t="s">
        <v>3315</v>
      </c>
      <c r="D1819" s="218" t="s">
        <v>3348</v>
      </c>
      <c r="E1819" s="303" t="s">
        <v>3349</v>
      </c>
      <c r="F1819" s="303">
        <v>5.74</v>
      </c>
      <c r="G1819" s="222"/>
      <c r="H1819" s="186">
        <v>10</v>
      </c>
      <c r="I1819" s="186"/>
      <c r="J1819" s="308"/>
      <c r="K1819" s="227">
        <v>10</v>
      </c>
      <c r="L1819" s="82">
        <f t="shared" ref="L1819:L1820" si="754">G1819+I1819-J1819-K1819+H1819</f>
        <v>0</v>
      </c>
      <c r="M1819" s="331"/>
      <c r="N1819" s="161">
        <f t="shared" ref="N1819:N1820" si="755">F1819*L1819</f>
        <v>0</v>
      </c>
      <c r="O1819" s="161">
        <f t="shared" ref="O1819:O1820" si="756">M1819*F1819</f>
        <v>0</v>
      </c>
      <c r="P1819" s="187">
        <f t="shared" ref="P1819:P1820" si="757">L1819-M1819</f>
        <v>0</v>
      </c>
      <c r="Q1819" s="161">
        <f t="shared" ref="Q1819:Q1820" si="758">N1819-O1819</f>
        <v>0</v>
      </c>
      <c r="R1819" s="85"/>
      <c r="S1819" s="86">
        <f t="shared" ref="S1819:S1820" si="759">U1819+Y1819+W1819+AA1819</f>
        <v>0</v>
      </c>
      <c r="T1819" s="87">
        <f t="shared" ref="T1819:T1820" si="760">M1819-S1819</f>
        <v>0</v>
      </c>
    </row>
    <row r="1820" spans="2:21" ht="20.100000000000001" customHeight="1">
      <c r="B1820" s="77">
        <v>14</v>
      </c>
      <c r="C1820" s="78" t="s">
        <v>3315</v>
      </c>
      <c r="D1820" s="218" t="s">
        <v>3906</v>
      </c>
      <c r="E1820" s="303" t="s">
        <v>4519</v>
      </c>
      <c r="F1820" s="303">
        <v>5.74</v>
      </c>
      <c r="G1820" s="222"/>
      <c r="H1820" s="186">
        <v>10</v>
      </c>
      <c r="I1820" s="186"/>
      <c r="J1820" s="308"/>
      <c r="K1820" s="227">
        <v>9</v>
      </c>
      <c r="L1820" s="82">
        <f t="shared" si="754"/>
        <v>1</v>
      </c>
      <c r="M1820" s="331">
        <v>0</v>
      </c>
      <c r="N1820" s="161">
        <f t="shared" si="755"/>
        <v>5.74</v>
      </c>
      <c r="O1820" s="161">
        <f t="shared" si="756"/>
        <v>0</v>
      </c>
      <c r="P1820" s="187">
        <f t="shared" si="757"/>
        <v>1</v>
      </c>
      <c r="Q1820" s="161">
        <f t="shared" si="758"/>
        <v>5.74</v>
      </c>
      <c r="R1820" s="85"/>
      <c r="S1820" s="86">
        <f t="shared" si="759"/>
        <v>0</v>
      </c>
      <c r="T1820" s="87">
        <f t="shared" si="760"/>
        <v>0</v>
      </c>
    </row>
    <row r="1821" spans="2:21" ht="20.100000000000001" hidden="1" customHeight="1">
      <c r="B1821" s="77">
        <v>14</v>
      </c>
      <c r="C1821" s="78" t="s">
        <v>3315</v>
      </c>
      <c r="D1821" s="79" t="s">
        <v>3344</v>
      </c>
      <c r="E1821" s="80" t="s">
        <v>3345</v>
      </c>
      <c r="F1821" s="81">
        <v>35.5</v>
      </c>
      <c r="G1821" s="222"/>
      <c r="H1821" s="186"/>
      <c r="I1821" s="186"/>
      <c r="J1821" s="308"/>
      <c r="K1821" s="227"/>
      <c r="L1821" s="82">
        <f t="shared" si="732"/>
        <v>0</v>
      </c>
      <c r="M1821" s="331"/>
      <c r="N1821" s="161">
        <f t="shared" si="727"/>
        <v>0</v>
      </c>
      <c r="O1821" s="161">
        <f t="shared" si="728"/>
        <v>0</v>
      </c>
      <c r="P1821" s="187">
        <f t="shared" si="729"/>
        <v>0</v>
      </c>
      <c r="Q1821" s="161">
        <f t="shared" si="730"/>
        <v>0</v>
      </c>
      <c r="R1821" s="85"/>
      <c r="S1821" s="86">
        <f t="shared" si="731"/>
        <v>0</v>
      </c>
      <c r="T1821" s="87">
        <f t="shared" si="726"/>
        <v>0</v>
      </c>
    </row>
    <row r="1822" spans="2:21" ht="20.100000000000001" hidden="1" customHeight="1">
      <c r="B1822" s="77">
        <v>14</v>
      </c>
      <c r="C1822" s="78" t="s">
        <v>3315</v>
      </c>
      <c r="D1822" s="79" t="s">
        <v>3346</v>
      </c>
      <c r="E1822" s="80" t="s">
        <v>3347</v>
      </c>
      <c r="F1822" s="81">
        <v>52.75</v>
      </c>
      <c r="G1822" s="222"/>
      <c r="H1822" s="186"/>
      <c r="I1822" s="186"/>
      <c r="J1822" s="308"/>
      <c r="K1822" s="227"/>
      <c r="L1822" s="82">
        <f t="shared" si="732"/>
        <v>0</v>
      </c>
      <c r="M1822" s="331"/>
      <c r="N1822" s="161">
        <f t="shared" si="727"/>
        <v>0</v>
      </c>
      <c r="O1822" s="161">
        <f t="shared" si="728"/>
        <v>0</v>
      </c>
      <c r="P1822" s="187">
        <f t="shared" si="729"/>
        <v>0</v>
      </c>
      <c r="Q1822" s="161">
        <f t="shared" si="730"/>
        <v>0</v>
      </c>
      <c r="R1822" s="85"/>
      <c r="S1822" s="86">
        <f t="shared" si="731"/>
        <v>0</v>
      </c>
      <c r="T1822" s="87">
        <f t="shared" si="726"/>
        <v>0</v>
      </c>
    </row>
    <row r="1823" spans="2:21" ht="20.100000000000001" hidden="1" customHeight="1">
      <c r="B1823" s="77">
        <v>14</v>
      </c>
      <c r="C1823" s="78" t="s">
        <v>3315</v>
      </c>
      <c r="D1823" s="79" t="s">
        <v>3348</v>
      </c>
      <c r="E1823" s="80" t="s">
        <v>3349</v>
      </c>
      <c r="F1823" s="81">
        <v>5.74</v>
      </c>
      <c r="G1823" s="222"/>
      <c r="H1823" s="186"/>
      <c r="I1823" s="186"/>
      <c r="J1823" s="308"/>
      <c r="K1823" s="227"/>
      <c r="L1823" s="82">
        <f t="shared" si="732"/>
        <v>0</v>
      </c>
      <c r="M1823" s="331"/>
      <c r="N1823" s="161">
        <f t="shared" si="727"/>
        <v>0</v>
      </c>
      <c r="O1823" s="161">
        <f t="shared" si="728"/>
        <v>0</v>
      </c>
      <c r="P1823" s="187">
        <f t="shared" si="729"/>
        <v>0</v>
      </c>
      <c r="Q1823" s="161">
        <f t="shared" si="730"/>
        <v>0</v>
      </c>
      <c r="R1823" s="85"/>
      <c r="S1823" s="86">
        <f t="shared" si="731"/>
        <v>0</v>
      </c>
      <c r="T1823" s="87">
        <f t="shared" si="726"/>
        <v>0</v>
      </c>
    </row>
    <row r="1824" spans="2:21" ht="20.100000000000001" hidden="1" customHeight="1">
      <c r="B1824" s="77">
        <v>14</v>
      </c>
      <c r="C1824" s="78" t="s">
        <v>3315</v>
      </c>
      <c r="D1824" s="79" t="s">
        <v>3350</v>
      </c>
      <c r="E1824" s="80" t="s">
        <v>3351</v>
      </c>
      <c r="F1824" s="81">
        <v>3.88</v>
      </c>
      <c r="G1824" s="222"/>
      <c r="H1824" s="186"/>
      <c r="I1824" s="186"/>
      <c r="J1824" s="308"/>
      <c r="K1824" s="227"/>
      <c r="L1824" s="82">
        <f t="shared" si="732"/>
        <v>0</v>
      </c>
      <c r="M1824" s="331"/>
      <c r="N1824" s="161">
        <f t="shared" si="727"/>
        <v>0</v>
      </c>
      <c r="O1824" s="161">
        <f t="shared" si="728"/>
        <v>0</v>
      </c>
      <c r="P1824" s="187">
        <f t="shared" si="729"/>
        <v>0</v>
      </c>
      <c r="Q1824" s="161">
        <f t="shared" si="730"/>
        <v>0</v>
      </c>
      <c r="R1824" s="85"/>
      <c r="S1824" s="86">
        <f t="shared" si="731"/>
        <v>0</v>
      </c>
      <c r="T1824" s="87">
        <f t="shared" si="726"/>
        <v>0</v>
      </c>
    </row>
    <row r="1825" spans="2:31" ht="20.100000000000001" hidden="1" customHeight="1">
      <c r="B1825" s="77">
        <v>14</v>
      </c>
      <c r="C1825" s="78" t="s">
        <v>3315</v>
      </c>
      <c r="D1825" s="79" t="s">
        <v>3352</v>
      </c>
      <c r="E1825" s="80" t="s">
        <v>3353</v>
      </c>
      <c r="F1825" s="81">
        <v>0.76</v>
      </c>
      <c r="G1825" s="222"/>
      <c r="H1825" s="186"/>
      <c r="I1825" s="186"/>
      <c r="J1825" s="308"/>
      <c r="K1825" s="227"/>
      <c r="L1825" s="82">
        <f t="shared" si="732"/>
        <v>0</v>
      </c>
      <c r="M1825" s="331"/>
      <c r="N1825" s="161">
        <f t="shared" si="727"/>
        <v>0</v>
      </c>
      <c r="O1825" s="161">
        <f t="shared" si="728"/>
        <v>0</v>
      </c>
      <c r="P1825" s="187">
        <f t="shared" si="729"/>
        <v>0</v>
      </c>
      <c r="Q1825" s="161">
        <f t="shared" si="730"/>
        <v>0</v>
      </c>
      <c r="R1825" s="85"/>
      <c r="S1825" s="86">
        <f t="shared" si="731"/>
        <v>28</v>
      </c>
      <c r="T1825" s="87">
        <f t="shared" si="726"/>
        <v>-28</v>
      </c>
      <c r="U1825">
        <v>28</v>
      </c>
    </row>
    <row r="1826" spans="2:31" ht="20.100000000000001" hidden="1" customHeight="1">
      <c r="B1826" s="77">
        <v>14</v>
      </c>
      <c r="C1826" s="78" t="s">
        <v>3315</v>
      </c>
      <c r="D1826" s="79" t="s">
        <v>3354</v>
      </c>
      <c r="E1826" s="80" t="s">
        <v>3355</v>
      </c>
      <c r="F1826" s="81">
        <v>0.76</v>
      </c>
      <c r="G1826" s="222"/>
      <c r="H1826" s="186"/>
      <c r="I1826" s="186"/>
      <c r="J1826" s="308"/>
      <c r="K1826" s="227"/>
      <c r="L1826" s="82">
        <f t="shared" si="732"/>
        <v>0</v>
      </c>
      <c r="M1826" s="331"/>
      <c r="N1826" s="161">
        <f t="shared" si="727"/>
        <v>0</v>
      </c>
      <c r="O1826" s="161">
        <f t="shared" si="728"/>
        <v>0</v>
      </c>
      <c r="P1826" s="187">
        <f t="shared" si="729"/>
        <v>0</v>
      </c>
      <c r="Q1826" s="161">
        <f t="shared" si="730"/>
        <v>0</v>
      </c>
      <c r="R1826" s="85"/>
      <c r="S1826" s="86">
        <f t="shared" si="731"/>
        <v>2</v>
      </c>
      <c r="T1826" s="87">
        <f t="shared" si="726"/>
        <v>-2</v>
      </c>
      <c r="U1826">
        <v>2</v>
      </c>
    </row>
    <row r="1827" spans="2:31" ht="20.100000000000001" hidden="1" customHeight="1">
      <c r="B1827" s="77">
        <v>14</v>
      </c>
      <c r="C1827" s="78" t="s">
        <v>3315</v>
      </c>
      <c r="D1827" s="79" t="s">
        <v>3356</v>
      </c>
      <c r="E1827" s="80" t="s">
        <v>3357</v>
      </c>
      <c r="F1827" s="81">
        <v>9</v>
      </c>
      <c r="G1827" s="222">
        <v>18</v>
      </c>
      <c r="H1827" s="186"/>
      <c r="I1827" s="186"/>
      <c r="J1827" s="308"/>
      <c r="K1827" s="227"/>
      <c r="L1827" s="82">
        <f t="shared" si="732"/>
        <v>18</v>
      </c>
      <c r="M1827" s="331">
        <v>18</v>
      </c>
      <c r="N1827" s="161">
        <f t="shared" si="727"/>
        <v>162</v>
      </c>
      <c r="O1827" s="161">
        <f t="shared" si="728"/>
        <v>162</v>
      </c>
      <c r="P1827" s="187">
        <f t="shared" si="729"/>
        <v>0</v>
      </c>
      <c r="Q1827" s="161">
        <f t="shared" si="730"/>
        <v>0</v>
      </c>
      <c r="R1827" s="85" t="s">
        <v>1696</v>
      </c>
      <c r="S1827" s="86">
        <f t="shared" si="731"/>
        <v>18</v>
      </c>
      <c r="T1827" s="87">
        <f t="shared" si="726"/>
        <v>0</v>
      </c>
      <c r="U1827">
        <v>18</v>
      </c>
      <c r="V1827" s="88" t="s">
        <v>45</v>
      </c>
      <c r="AD1827" s="17">
        <f>M1827</f>
        <v>18</v>
      </c>
      <c r="AE1827" s="89">
        <f>AD1827*F1827</f>
        <v>162</v>
      </c>
    </row>
    <row r="1828" spans="2:31" ht="20.100000000000001" hidden="1" customHeight="1">
      <c r="B1828" s="77">
        <v>14</v>
      </c>
      <c r="C1828" s="78" t="s">
        <v>3315</v>
      </c>
      <c r="D1828" s="79" t="s">
        <v>3358</v>
      </c>
      <c r="E1828" s="80" t="s">
        <v>3359</v>
      </c>
      <c r="F1828" s="81">
        <v>5</v>
      </c>
      <c r="G1828" s="222">
        <v>14</v>
      </c>
      <c r="H1828" s="186"/>
      <c r="I1828" s="186"/>
      <c r="J1828" s="308"/>
      <c r="K1828" s="227"/>
      <c r="L1828" s="82">
        <f t="shared" si="732"/>
        <v>14</v>
      </c>
      <c r="M1828" s="331">
        <v>14</v>
      </c>
      <c r="N1828" s="161">
        <f t="shared" si="727"/>
        <v>70</v>
      </c>
      <c r="O1828" s="161">
        <f t="shared" si="728"/>
        <v>70</v>
      </c>
      <c r="P1828" s="187">
        <f t="shared" si="729"/>
        <v>0</v>
      </c>
      <c r="Q1828" s="161">
        <f t="shared" si="730"/>
        <v>0</v>
      </c>
      <c r="R1828" s="85" t="s">
        <v>1696</v>
      </c>
      <c r="S1828" s="86">
        <f t="shared" si="731"/>
        <v>14</v>
      </c>
      <c r="T1828" s="87">
        <f t="shared" si="726"/>
        <v>0</v>
      </c>
      <c r="U1828">
        <v>14</v>
      </c>
      <c r="V1828" s="88" t="s">
        <v>45</v>
      </c>
      <c r="AD1828" s="17">
        <f>M1828</f>
        <v>14</v>
      </c>
      <c r="AE1828" s="89">
        <f>AD1828*F1828</f>
        <v>70</v>
      </c>
    </row>
    <row r="1829" spans="2:31" ht="20.100000000000001" hidden="1" customHeight="1">
      <c r="B1829" s="77">
        <v>14</v>
      </c>
      <c r="C1829" s="78" t="s">
        <v>3315</v>
      </c>
      <c r="D1829" s="79" t="s">
        <v>3360</v>
      </c>
      <c r="E1829" s="80" t="s">
        <v>3361</v>
      </c>
      <c r="F1829" s="81">
        <v>0</v>
      </c>
      <c r="G1829" s="222">
        <v>45</v>
      </c>
      <c r="H1829" s="186"/>
      <c r="I1829" s="186"/>
      <c r="J1829" s="308"/>
      <c r="K1829" s="227"/>
      <c r="L1829" s="82">
        <f t="shared" si="732"/>
        <v>45</v>
      </c>
      <c r="M1829" s="331">
        <v>45</v>
      </c>
      <c r="N1829" s="161">
        <f t="shared" si="727"/>
        <v>0</v>
      </c>
      <c r="O1829" s="161">
        <f t="shared" si="728"/>
        <v>0</v>
      </c>
      <c r="P1829" s="187">
        <f t="shared" si="729"/>
        <v>0</v>
      </c>
      <c r="Q1829" s="161">
        <f t="shared" si="730"/>
        <v>0</v>
      </c>
      <c r="R1829" s="85"/>
      <c r="S1829" s="86">
        <f t="shared" si="731"/>
        <v>0</v>
      </c>
      <c r="T1829" s="87">
        <f t="shared" si="726"/>
        <v>45</v>
      </c>
    </row>
    <row r="1830" spans="2:31" ht="20.100000000000001" hidden="1" customHeight="1">
      <c r="B1830" s="77">
        <v>14</v>
      </c>
      <c r="C1830" s="78" t="s">
        <v>3315</v>
      </c>
      <c r="D1830" s="79" t="s">
        <v>3362</v>
      </c>
      <c r="E1830" s="80" t="s">
        <v>3363</v>
      </c>
      <c r="F1830" s="81">
        <v>0</v>
      </c>
      <c r="G1830" s="222">
        <v>19</v>
      </c>
      <c r="H1830" s="186"/>
      <c r="I1830" s="186"/>
      <c r="J1830" s="308"/>
      <c r="K1830" s="227"/>
      <c r="L1830" s="82">
        <f t="shared" si="732"/>
        <v>19</v>
      </c>
      <c r="M1830" s="331">
        <v>19</v>
      </c>
      <c r="N1830" s="161">
        <f t="shared" si="727"/>
        <v>0</v>
      </c>
      <c r="O1830" s="161">
        <f t="shared" si="728"/>
        <v>0</v>
      </c>
      <c r="P1830" s="187">
        <f t="shared" si="729"/>
        <v>0</v>
      </c>
      <c r="Q1830" s="161">
        <f t="shared" si="730"/>
        <v>0</v>
      </c>
      <c r="R1830" s="85"/>
      <c r="S1830" s="86">
        <f t="shared" si="731"/>
        <v>0</v>
      </c>
      <c r="T1830" s="87">
        <f t="shared" si="726"/>
        <v>19</v>
      </c>
    </row>
    <row r="1831" spans="2:31" ht="20.100000000000001" hidden="1" customHeight="1">
      <c r="B1831" s="77">
        <v>14</v>
      </c>
      <c r="C1831" s="78" t="s">
        <v>3315</v>
      </c>
      <c r="D1831" s="79" t="s">
        <v>3364</v>
      </c>
      <c r="E1831" s="80" t="s">
        <v>3365</v>
      </c>
      <c r="F1831" s="81">
        <v>9</v>
      </c>
      <c r="G1831" s="222">
        <v>1</v>
      </c>
      <c r="H1831" s="186"/>
      <c r="I1831" s="186"/>
      <c r="J1831" s="308"/>
      <c r="K1831" s="227"/>
      <c r="L1831" s="82">
        <f t="shared" si="732"/>
        <v>1</v>
      </c>
      <c r="M1831" s="331">
        <v>1</v>
      </c>
      <c r="N1831" s="161">
        <f t="shared" si="727"/>
        <v>9</v>
      </c>
      <c r="O1831" s="161">
        <f t="shared" si="728"/>
        <v>9</v>
      </c>
      <c r="P1831" s="187">
        <f t="shared" si="729"/>
        <v>0</v>
      </c>
      <c r="Q1831" s="161">
        <f t="shared" si="730"/>
        <v>0</v>
      </c>
      <c r="R1831" s="85"/>
      <c r="S1831" s="86">
        <f t="shared" si="731"/>
        <v>1</v>
      </c>
      <c r="T1831" s="87">
        <f t="shared" si="726"/>
        <v>0</v>
      </c>
      <c r="U1831">
        <v>1</v>
      </c>
    </row>
    <row r="1832" spans="2:31" ht="20.100000000000001" hidden="1" customHeight="1">
      <c r="B1832" s="77">
        <v>14</v>
      </c>
      <c r="C1832" s="78" t="s">
        <v>3315</v>
      </c>
      <c r="D1832" s="79" t="s">
        <v>3366</v>
      </c>
      <c r="E1832" s="80" t="s">
        <v>3367</v>
      </c>
      <c r="F1832" s="81">
        <v>0.74</v>
      </c>
      <c r="G1832" s="222"/>
      <c r="H1832" s="186"/>
      <c r="I1832" s="186"/>
      <c r="J1832" s="308"/>
      <c r="K1832" s="227">
        <v>17</v>
      </c>
      <c r="L1832" s="82">
        <f t="shared" si="732"/>
        <v>-17</v>
      </c>
      <c r="M1832" s="331"/>
      <c r="N1832" s="161">
        <f t="shared" si="727"/>
        <v>-12.58</v>
      </c>
      <c r="O1832" s="161">
        <f t="shared" si="728"/>
        <v>0</v>
      </c>
      <c r="P1832" s="187">
        <f t="shared" si="729"/>
        <v>-17</v>
      </c>
      <c r="Q1832" s="161">
        <f t="shared" si="730"/>
        <v>-12.58</v>
      </c>
      <c r="R1832" s="85"/>
      <c r="S1832" s="86">
        <f t="shared" si="731"/>
        <v>1</v>
      </c>
      <c r="T1832" s="87">
        <f t="shared" si="726"/>
        <v>-1</v>
      </c>
      <c r="U1832">
        <v>1</v>
      </c>
    </row>
    <row r="1833" spans="2:31" ht="20.100000000000001" customHeight="1">
      <c r="B1833" s="77">
        <v>14</v>
      </c>
      <c r="C1833" s="78" t="s">
        <v>3315</v>
      </c>
      <c r="D1833" s="79" t="s">
        <v>3726</v>
      </c>
      <c r="E1833" s="80" t="s">
        <v>3727</v>
      </c>
      <c r="F1833" s="81">
        <v>6.0250000000000004</v>
      </c>
      <c r="G1833" s="222">
        <v>3</v>
      </c>
      <c r="H1833" s="186"/>
      <c r="I1833" s="186"/>
      <c r="J1833" s="308"/>
      <c r="K1833" s="227">
        <v>1</v>
      </c>
      <c r="L1833" s="82">
        <f t="shared" si="732"/>
        <v>2</v>
      </c>
      <c r="M1833" s="331">
        <v>0</v>
      </c>
      <c r="N1833" s="161">
        <f t="shared" ref="N1833:N1845" si="761">F1833*L1833</f>
        <v>12.05</v>
      </c>
      <c r="O1833" s="161">
        <f t="shared" ref="O1833:O1845" si="762">M1833*F1833</f>
        <v>0</v>
      </c>
      <c r="P1833" s="187">
        <f t="shared" ref="P1833:P1845" si="763">L1833-M1833</f>
        <v>2</v>
      </c>
      <c r="Q1833" s="161">
        <f t="shared" ref="Q1833:Q1845" si="764">N1833-O1833</f>
        <v>12.05</v>
      </c>
      <c r="R1833" s="85"/>
      <c r="S1833" s="86"/>
      <c r="T1833" s="87"/>
    </row>
    <row r="1834" spans="2:31" ht="20.100000000000001" customHeight="1">
      <c r="B1834" s="77">
        <v>14</v>
      </c>
      <c r="C1834" s="78" t="s">
        <v>3315</v>
      </c>
      <c r="D1834" s="79" t="s">
        <v>3724</v>
      </c>
      <c r="E1834" s="80" t="s">
        <v>3725</v>
      </c>
      <c r="F1834" s="81">
        <v>14.8158333333333</v>
      </c>
      <c r="G1834" s="222">
        <v>5</v>
      </c>
      <c r="H1834" s="186"/>
      <c r="I1834" s="186"/>
      <c r="J1834" s="308"/>
      <c r="K1834" s="227">
        <v>4</v>
      </c>
      <c r="L1834" s="82">
        <f t="shared" si="732"/>
        <v>1</v>
      </c>
      <c r="M1834" s="331">
        <v>0</v>
      </c>
      <c r="N1834" s="161">
        <f t="shared" si="761"/>
        <v>14.8158333333333</v>
      </c>
      <c r="O1834" s="161">
        <f t="shared" si="762"/>
        <v>0</v>
      </c>
      <c r="P1834" s="187">
        <f t="shared" si="763"/>
        <v>1</v>
      </c>
      <c r="Q1834" s="161">
        <f t="shared" si="764"/>
        <v>14.8158333333333</v>
      </c>
      <c r="R1834" s="85"/>
      <c r="S1834" s="86"/>
      <c r="T1834" s="87"/>
    </row>
    <row r="1835" spans="2:31" ht="20.100000000000001" hidden="1" customHeight="1">
      <c r="B1835" s="77">
        <v>14</v>
      </c>
      <c r="C1835" s="78" t="s">
        <v>3315</v>
      </c>
      <c r="D1835" s="79" t="s">
        <v>607</v>
      </c>
      <c r="E1835" s="80" t="s">
        <v>608</v>
      </c>
      <c r="F1835" s="81">
        <v>6.4</v>
      </c>
      <c r="G1835" s="222"/>
      <c r="H1835" s="186"/>
      <c r="I1835" s="186"/>
      <c r="J1835" s="308"/>
      <c r="K1835" s="227"/>
      <c r="L1835" s="82">
        <f t="shared" si="732"/>
        <v>0</v>
      </c>
      <c r="M1835" s="331"/>
      <c r="N1835" s="161">
        <f t="shared" si="761"/>
        <v>0</v>
      </c>
      <c r="O1835" s="161">
        <f t="shared" si="762"/>
        <v>0</v>
      </c>
      <c r="P1835" s="187">
        <f t="shared" si="763"/>
        <v>0</v>
      </c>
      <c r="Q1835" s="161">
        <f t="shared" si="764"/>
        <v>0</v>
      </c>
      <c r="R1835" s="85"/>
      <c r="S1835" s="86"/>
      <c r="T1835" s="87"/>
    </row>
    <row r="1836" spans="2:31" ht="20.100000000000001" hidden="1" customHeight="1">
      <c r="B1836" s="77">
        <v>14</v>
      </c>
      <c r="C1836" s="78" t="s">
        <v>3315</v>
      </c>
      <c r="D1836" s="79" t="s">
        <v>3730</v>
      </c>
      <c r="E1836" s="80" t="s">
        <v>3731</v>
      </c>
      <c r="F1836" s="81">
        <v>6.4</v>
      </c>
      <c r="G1836" s="222"/>
      <c r="H1836" s="186"/>
      <c r="I1836" s="186"/>
      <c r="J1836" s="308"/>
      <c r="K1836" s="227"/>
      <c r="L1836" s="82">
        <f t="shared" si="732"/>
        <v>0</v>
      </c>
      <c r="M1836" s="331"/>
      <c r="N1836" s="161">
        <f t="shared" ref="N1836:N1840" si="765">F1836*L1836</f>
        <v>0</v>
      </c>
      <c r="O1836" s="161">
        <f t="shared" ref="O1836:O1840" si="766">M1836*F1836</f>
        <v>0</v>
      </c>
      <c r="P1836" s="187">
        <f t="shared" ref="P1836:P1840" si="767">L1836-M1836</f>
        <v>0</v>
      </c>
      <c r="Q1836" s="161">
        <f t="shared" ref="Q1836:Q1840" si="768">N1836-O1836</f>
        <v>0</v>
      </c>
      <c r="R1836" s="85"/>
      <c r="S1836" s="86"/>
      <c r="T1836" s="87"/>
    </row>
    <row r="1837" spans="2:31" ht="20.100000000000001" hidden="1" customHeight="1">
      <c r="B1837" s="77">
        <v>14</v>
      </c>
      <c r="C1837" s="78" t="s">
        <v>3315</v>
      </c>
      <c r="D1837" s="305" t="s">
        <v>3741</v>
      </c>
      <c r="E1837" s="306" t="s">
        <v>3742</v>
      </c>
      <c r="F1837" s="35">
        <v>6.15</v>
      </c>
      <c r="G1837" s="307"/>
      <c r="H1837" s="186">
        <v>10</v>
      </c>
      <c r="I1837" s="186"/>
      <c r="J1837" s="308"/>
      <c r="K1837" s="227">
        <v>10</v>
      </c>
      <c r="L1837" s="82">
        <f t="shared" ref="L1837:L1838" si="769">G1837+I1837-J1837-K1837+H1837</f>
        <v>0</v>
      </c>
      <c r="M1837" s="331"/>
      <c r="N1837" s="161">
        <f t="shared" ref="N1837:N1838" si="770">F1837*L1837</f>
        <v>0</v>
      </c>
      <c r="O1837" s="161">
        <f t="shared" ref="O1837:O1838" si="771">M1837*F1837</f>
        <v>0</v>
      </c>
      <c r="P1837" s="187">
        <f t="shared" ref="P1837:P1838" si="772">L1837-M1837</f>
        <v>0</v>
      </c>
      <c r="Q1837" s="161">
        <f t="shared" ref="Q1837:Q1838" si="773">N1837-O1837</f>
        <v>0</v>
      </c>
      <c r="R1837" s="85"/>
      <c r="S1837" s="86"/>
      <c r="T1837" s="87"/>
    </row>
    <row r="1838" spans="2:31" ht="20.100000000000001" hidden="1" customHeight="1">
      <c r="B1838" s="77">
        <v>14</v>
      </c>
      <c r="C1838" s="78" t="s">
        <v>3315</v>
      </c>
      <c r="D1838" s="218" t="s">
        <v>3875</v>
      </c>
      <c r="E1838" s="303" t="s">
        <v>4205</v>
      </c>
      <c r="F1838" s="303">
        <v>5.85</v>
      </c>
      <c r="G1838" s="222"/>
      <c r="H1838" s="186">
        <v>10</v>
      </c>
      <c r="I1838" s="186"/>
      <c r="J1838" s="308"/>
      <c r="K1838" s="227">
        <v>10</v>
      </c>
      <c r="L1838" s="82">
        <f t="shared" si="769"/>
        <v>0</v>
      </c>
      <c r="M1838" s="331"/>
      <c r="N1838" s="161">
        <f t="shared" si="770"/>
        <v>0</v>
      </c>
      <c r="O1838" s="161">
        <f t="shared" si="771"/>
        <v>0</v>
      </c>
      <c r="P1838" s="187">
        <f t="shared" si="772"/>
        <v>0</v>
      </c>
      <c r="Q1838" s="161">
        <f t="shared" si="773"/>
        <v>0</v>
      </c>
      <c r="R1838" s="85"/>
      <c r="S1838" s="86"/>
      <c r="T1838" s="87"/>
    </row>
    <row r="1839" spans="2:31" ht="20.100000000000001" hidden="1" customHeight="1">
      <c r="B1839" s="77">
        <v>14</v>
      </c>
      <c r="C1839" s="78" t="s">
        <v>3315</v>
      </c>
      <c r="D1839" s="218" t="s">
        <v>3876</v>
      </c>
      <c r="E1839" s="303" t="s">
        <v>4208</v>
      </c>
      <c r="F1839" s="303">
        <v>6.18</v>
      </c>
      <c r="G1839" s="222"/>
      <c r="H1839" s="186">
        <v>10</v>
      </c>
      <c r="I1839" s="186"/>
      <c r="J1839" s="308"/>
      <c r="K1839" s="227">
        <v>10</v>
      </c>
      <c r="L1839" s="82">
        <f t="shared" si="732"/>
        <v>0</v>
      </c>
      <c r="M1839" s="331"/>
      <c r="N1839" s="161">
        <f t="shared" si="765"/>
        <v>0</v>
      </c>
      <c r="O1839" s="161">
        <f t="shared" si="766"/>
        <v>0</v>
      </c>
      <c r="P1839" s="187">
        <f t="shared" si="767"/>
        <v>0</v>
      </c>
      <c r="Q1839" s="161">
        <f t="shared" si="768"/>
        <v>0</v>
      </c>
      <c r="R1839" s="85"/>
      <c r="S1839" s="86"/>
      <c r="T1839" s="87"/>
    </row>
    <row r="1840" spans="2:31" ht="20.100000000000001" customHeight="1">
      <c r="B1840" s="77">
        <v>14</v>
      </c>
      <c r="C1840" s="78" t="s">
        <v>3315</v>
      </c>
      <c r="D1840" s="79" t="s">
        <v>3737</v>
      </c>
      <c r="E1840" s="80" t="s">
        <v>3738</v>
      </c>
      <c r="F1840" s="81">
        <v>6.15</v>
      </c>
      <c r="G1840" s="222">
        <v>1</v>
      </c>
      <c r="H1840" s="186"/>
      <c r="I1840" s="186"/>
      <c r="J1840" s="308"/>
      <c r="K1840" s="227"/>
      <c r="L1840" s="82">
        <f t="shared" si="732"/>
        <v>1</v>
      </c>
      <c r="M1840" s="331">
        <v>0</v>
      </c>
      <c r="N1840" s="161">
        <f t="shared" si="765"/>
        <v>6.15</v>
      </c>
      <c r="O1840" s="161">
        <f t="shared" si="766"/>
        <v>0</v>
      </c>
      <c r="P1840" s="187">
        <f t="shared" si="767"/>
        <v>1</v>
      </c>
      <c r="Q1840" s="161">
        <f t="shared" si="768"/>
        <v>6.15</v>
      </c>
      <c r="R1840" s="85"/>
      <c r="S1840" s="86"/>
      <c r="T1840" s="87"/>
    </row>
    <row r="1841" spans="2:21" ht="20.100000000000001" hidden="1" customHeight="1">
      <c r="B1841" s="77">
        <v>14</v>
      </c>
      <c r="C1841" s="78" t="s">
        <v>3315</v>
      </c>
      <c r="D1841" s="79" t="s">
        <v>3743</v>
      </c>
      <c r="E1841" s="80" t="s">
        <v>3744</v>
      </c>
      <c r="F1841" s="81">
        <v>0.76</v>
      </c>
      <c r="G1841" s="222">
        <v>8</v>
      </c>
      <c r="H1841" s="186"/>
      <c r="I1841" s="186"/>
      <c r="J1841" s="308"/>
      <c r="K1841" s="227">
        <v>9</v>
      </c>
      <c r="L1841" s="82">
        <f t="shared" si="732"/>
        <v>-1</v>
      </c>
      <c r="M1841" s="331"/>
      <c r="N1841" s="161">
        <f t="shared" si="761"/>
        <v>-0.76</v>
      </c>
      <c r="O1841" s="161">
        <f t="shared" si="762"/>
        <v>0</v>
      </c>
      <c r="P1841" s="187">
        <f t="shared" si="763"/>
        <v>-1</v>
      </c>
      <c r="Q1841" s="161">
        <f t="shared" si="764"/>
        <v>-0.76</v>
      </c>
      <c r="R1841" s="85"/>
      <c r="S1841" s="86"/>
      <c r="T1841" s="87"/>
    </row>
    <row r="1842" spans="2:21" ht="20.100000000000001" customHeight="1">
      <c r="B1842" s="77">
        <v>14</v>
      </c>
      <c r="C1842" s="78" t="s">
        <v>3315</v>
      </c>
      <c r="D1842" s="79" t="s">
        <v>3366</v>
      </c>
      <c r="E1842" s="80" t="s">
        <v>3367</v>
      </c>
      <c r="F1842" s="81">
        <v>0.76</v>
      </c>
      <c r="G1842" s="222">
        <v>21</v>
      </c>
      <c r="H1842" s="186"/>
      <c r="I1842" s="186"/>
      <c r="J1842" s="308"/>
      <c r="K1842" s="227"/>
      <c r="L1842" s="82">
        <f t="shared" si="732"/>
        <v>21</v>
      </c>
      <c r="M1842" s="331">
        <v>0</v>
      </c>
      <c r="N1842" s="161">
        <f t="shared" si="761"/>
        <v>15.96</v>
      </c>
      <c r="O1842" s="161">
        <f t="shared" si="762"/>
        <v>0</v>
      </c>
      <c r="P1842" s="187">
        <f t="shared" si="763"/>
        <v>21</v>
      </c>
      <c r="Q1842" s="161">
        <f t="shared" si="764"/>
        <v>15.96</v>
      </c>
      <c r="R1842" s="85"/>
      <c r="S1842" s="86"/>
      <c r="T1842" s="87"/>
    </row>
    <row r="1843" spans="2:21" ht="20.100000000000001" hidden="1" customHeight="1">
      <c r="B1843" s="77">
        <v>14</v>
      </c>
      <c r="C1843" s="78" t="s">
        <v>3315</v>
      </c>
      <c r="D1843" s="79" t="s">
        <v>3759</v>
      </c>
      <c r="E1843" s="80" t="s">
        <v>3760</v>
      </c>
      <c r="F1843" s="81">
        <v>3.21875</v>
      </c>
      <c r="G1843" s="222">
        <v>12</v>
      </c>
      <c r="H1843" s="186"/>
      <c r="I1843" s="186"/>
      <c r="J1843" s="308"/>
      <c r="K1843" s="227">
        <v>12</v>
      </c>
      <c r="L1843" s="82">
        <f t="shared" si="732"/>
        <v>0</v>
      </c>
      <c r="M1843" s="331"/>
      <c r="N1843" s="161">
        <f t="shared" si="761"/>
        <v>0</v>
      </c>
      <c r="O1843" s="161">
        <f t="shared" si="762"/>
        <v>0</v>
      </c>
      <c r="P1843" s="187">
        <f t="shared" si="763"/>
        <v>0</v>
      </c>
      <c r="Q1843" s="161">
        <f t="shared" si="764"/>
        <v>0</v>
      </c>
      <c r="R1843" s="85"/>
      <c r="S1843" s="86"/>
      <c r="T1843" s="87"/>
    </row>
    <row r="1844" spans="2:21" ht="20.100000000000001" hidden="1" customHeight="1">
      <c r="B1844" s="77">
        <v>14</v>
      </c>
      <c r="C1844" s="78" t="s">
        <v>3315</v>
      </c>
      <c r="D1844" s="79" t="s">
        <v>3633</v>
      </c>
      <c r="E1844" s="80" t="s">
        <v>3634</v>
      </c>
      <c r="F1844" s="81">
        <v>6.0250000000000004</v>
      </c>
      <c r="G1844" s="222"/>
      <c r="H1844" s="186"/>
      <c r="I1844" s="186"/>
      <c r="J1844" s="308"/>
      <c r="K1844" s="227"/>
      <c r="L1844" s="82">
        <f t="shared" si="732"/>
        <v>0</v>
      </c>
      <c r="M1844" s="331"/>
      <c r="N1844" s="161">
        <f t="shared" si="761"/>
        <v>0</v>
      </c>
      <c r="O1844" s="161">
        <f t="shared" si="762"/>
        <v>0</v>
      </c>
      <c r="P1844" s="187">
        <f t="shared" si="763"/>
        <v>0</v>
      </c>
      <c r="Q1844" s="161">
        <f t="shared" si="764"/>
        <v>0</v>
      </c>
      <c r="R1844" s="85"/>
      <c r="S1844" s="86"/>
      <c r="T1844" s="87"/>
    </row>
    <row r="1845" spans="2:21" ht="20.100000000000001" hidden="1" customHeight="1">
      <c r="B1845" s="77">
        <v>14</v>
      </c>
      <c r="C1845" s="78" t="s">
        <v>3315</v>
      </c>
      <c r="D1845" s="79" t="s">
        <v>3755</v>
      </c>
      <c r="E1845" s="80" t="s">
        <v>3756</v>
      </c>
      <c r="F1845" s="81">
        <v>6.0250000000000004</v>
      </c>
      <c r="G1845" s="222">
        <v>6</v>
      </c>
      <c r="H1845" s="186"/>
      <c r="I1845" s="186"/>
      <c r="J1845" s="308"/>
      <c r="K1845" s="227">
        <v>6</v>
      </c>
      <c r="L1845" s="82">
        <f t="shared" si="732"/>
        <v>0</v>
      </c>
      <c r="M1845" s="331"/>
      <c r="N1845" s="161">
        <f t="shared" si="761"/>
        <v>0</v>
      </c>
      <c r="O1845" s="161">
        <f t="shared" si="762"/>
        <v>0</v>
      </c>
      <c r="P1845" s="187">
        <f t="shared" si="763"/>
        <v>0</v>
      </c>
      <c r="Q1845" s="161">
        <f t="shared" si="764"/>
        <v>0</v>
      </c>
      <c r="R1845" s="85"/>
      <c r="S1845" s="86"/>
      <c r="T1845" s="87"/>
    </row>
    <row r="1846" spans="2:21" ht="20.100000000000001" hidden="1" customHeight="1">
      <c r="B1846" s="77">
        <v>14</v>
      </c>
      <c r="C1846" s="78" t="s">
        <v>3315</v>
      </c>
      <c r="D1846" s="79" t="s">
        <v>3368</v>
      </c>
      <c r="E1846" s="80" t="s">
        <v>3369</v>
      </c>
      <c r="F1846" s="81">
        <v>10.7</v>
      </c>
      <c r="G1846" s="222">
        <v>1</v>
      </c>
      <c r="H1846" s="186"/>
      <c r="I1846" s="186"/>
      <c r="J1846" s="308"/>
      <c r="K1846" s="227"/>
      <c r="L1846" s="82">
        <f t="shared" si="732"/>
        <v>1</v>
      </c>
      <c r="M1846" s="331">
        <v>1</v>
      </c>
      <c r="N1846" s="161">
        <f t="shared" si="727"/>
        <v>10.7</v>
      </c>
      <c r="O1846" s="161">
        <f t="shared" si="728"/>
        <v>10.7</v>
      </c>
      <c r="P1846" s="187">
        <f t="shared" si="729"/>
        <v>0</v>
      </c>
      <c r="Q1846" s="161">
        <f t="shared" si="730"/>
        <v>0</v>
      </c>
      <c r="R1846" s="85"/>
      <c r="S1846" s="86">
        <f t="shared" si="731"/>
        <v>1</v>
      </c>
      <c r="T1846" s="87">
        <f t="shared" si="726"/>
        <v>0</v>
      </c>
      <c r="U1846">
        <v>1</v>
      </c>
    </row>
    <row r="1847" spans="2:21" ht="20.100000000000001" hidden="1" customHeight="1">
      <c r="B1847" s="77">
        <v>14</v>
      </c>
      <c r="C1847" s="78" t="s">
        <v>3315</v>
      </c>
      <c r="D1847" s="79" t="s">
        <v>3370</v>
      </c>
      <c r="E1847" s="80" t="s">
        <v>3371</v>
      </c>
      <c r="F1847" s="81">
        <v>8.84</v>
      </c>
      <c r="G1847" s="222"/>
      <c r="H1847" s="186"/>
      <c r="I1847" s="186"/>
      <c r="J1847" s="308"/>
      <c r="K1847" s="227"/>
      <c r="L1847" s="82">
        <f t="shared" si="732"/>
        <v>0</v>
      </c>
      <c r="M1847" s="331"/>
      <c r="N1847" s="161">
        <f t="shared" si="727"/>
        <v>0</v>
      </c>
      <c r="O1847" s="161">
        <f t="shared" si="728"/>
        <v>0</v>
      </c>
      <c r="P1847" s="187">
        <f t="shared" si="729"/>
        <v>0</v>
      </c>
      <c r="Q1847" s="161">
        <f t="shared" si="730"/>
        <v>0</v>
      </c>
      <c r="R1847" s="85"/>
      <c r="S1847" s="86">
        <f t="shared" si="731"/>
        <v>0</v>
      </c>
      <c r="T1847" s="87">
        <f t="shared" si="726"/>
        <v>0</v>
      </c>
    </row>
    <row r="1848" spans="2:21" ht="20.100000000000001" hidden="1" customHeight="1">
      <c r="B1848" s="77">
        <v>14</v>
      </c>
      <c r="C1848" s="78" t="s">
        <v>3315</v>
      </c>
      <c r="D1848" s="79" t="s">
        <v>3372</v>
      </c>
      <c r="E1848" s="80" t="s">
        <v>3373</v>
      </c>
      <c r="F1848" s="81">
        <v>9.17</v>
      </c>
      <c r="G1848" s="222"/>
      <c r="H1848" s="186"/>
      <c r="I1848" s="186"/>
      <c r="J1848" s="308"/>
      <c r="K1848" s="227"/>
      <c r="L1848" s="82">
        <f t="shared" si="732"/>
        <v>0</v>
      </c>
      <c r="M1848" s="331"/>
      <c r="N1848" s="161">
        <f t="shared" si="727"/>
        <v>0</v>
      </c>
      <c r="O1848" s="161">
        <f t="shared" si="728"/>
        <v>0</v>
      </c>
      <c r="P1848" s="187">
        <f t="shared" si="729"/>
        <v>0</v>
      </c>
      <c r="Q1848" s="161">
        <f t="shared" si="730"/>
        <v>0</v>
      </c>
      <c r="R1848" s="85"/>
      <c r="S1848" s="86">
        <f t="shared" si="731"/>
        <v>0</v>
      </c>
      <c r="T1848" s="87">
        <f t="shared" si="726"/>
        <v>0</v>
      </c>
    </row>
    <row r="1849" spans="2:21" ht="20.100000000000001" hidden="1" customHeight="1">
      <c r="B1849" s="77">
        <v>14</v>
      </c>
      <c r="C1849" s="78" t="s">
        <v>3315</v>
      </c>
      <c r="D1849" s="79" t="s">
        <v>3374</v>
      </c>
      <c r="E1849" s="80" t="s">
        <v>3375</v>
      </c>
      <c r="F1849" s="81">
        <v>11.12</v>
      </c>
      <c r="G1849" s="222">
        <v>8</v>
      </c>
      <c r="H1849" s="186"/>
      <c r="I1849" s="186"/>
      <c r="J1849" s="308"/>
      <c r="K1849" s="227"/>
      <c r="L1849" s="82">
        <f t="shared" si="732"/>
        <v>8</v>
      </c>
      <c r="M1849" s="331">
        <v>8</v>
      </c>
      <c r="N1849" s="161">
        <f t="shared" si="727"/>
        <v>88.96</v>
      </c>
      <c r="O1849" s="161">
        <f t="shared" si="728"/>
        <v>88.96</v>
      </c>
      <c r="P1849" s="187">
        <f t="shared" si="729"/>
        <v>0</v>
      </c>
      <c r="Q1849" s="161">
        <f t="shared" si="730"/>
        <v>0</v>
      </c>
      <c r="R1849" s="85"/>
      <c r="S1849" s="86">
        <f t="shared" si="731"/>
        <v>8</v>
      </c>
      <c r="T1849" s="87">
        <f t="shared" si="726"/>
        <v>0</v>
      </c>
      <c r="U1849">
        <v>8</v>
      </c>
    </row>
    <row r="1850" spans="2:21" ht="20.100000000000001" hidden="1" customHeight="1">
      <c r="B1850" s="77">
        <v>14</v>
      </c>
      <c r="C1850" s="78" t="s">
        <v>3315</v>
      </c>
      <c r="D1850" s="79" t="s">
        <v>3376</v>
      </c>
      <c r="E1850" s="80" t="s">
        <v>3377</v>
      </c>
      <c r="F1850" s="81">
        <v>25</v>
      </c>
      <c r="G1850" s="222">
        <v>201</v>
      </c>
      <c r="H1850" s="186"/>
      <c r="I1850" s="186"/>
      <c r="J1850" s="308"/>
      <c r="K1850" s="227"/>
      <c r="L1850" s="82">
        <f t="shared" si="732"/>
        <v>201</v>
      </c>
      <c r="M1850" s="331">
        <v>201</v>
      </c>
      <c r="N1850" s="161">
        <f t="shared" si="727"/>
        <v>5025</v>
      </c>
      <c r="O1850" s="161">
        <f t="shared" si="728"/>
        <v>5025</v>
      </c>
      <c r="P1850" s="187">
        <f t="shared" si="729"/>
        <v>0</v>
      </c>
      <c r="Q1850" s="161">
        <f t="shared" si="730"/>
        <v>0</v>
      </c>
      <c r="R1850" s="85"/>
      <c r="S1850" s="86">
        <f t="shared" si="731"/>
        <v>201</v>
      </c>
      <c r="T1850" s="87">
        <f t="shared" si="726"/>
        <v>0</v>
      </c>
      <c r="U1850">
        <v>201</v>
      </c>
    </row>
    <row r="1851" spans="2:21" ht="20.100000000000001" hidden="1" customHeight="1">
      <c r="B1851" s="77">
        <v>14</v>
      </c>
      <c r="C1851" s="78" t="s">
        <v>3315</v>
      </c>
      <c r="D1851" s="79" t="s">
        <v>3378</v>
      </c>
      <c r="E1851" s="80" t="s">
        <v>3379</v>
      </c>
      <c r="F1851" s="81">
        <v>144</v>
      </c>
      <c r="G1851" s="222">
        <v>2</v>
      </c>
      <c r="H1851" s="186"/>
      <c r="I1851" s="186"/>
      <c r="J1851" s="308"/>
      <c r="K1851" s="227"/>
      <c r="L1851" s="82">
        <f t="shared" si="732"/>
        <v>2</v>
      </c>
      <c r="M1851" s="331">
        <v>2</v>
      </c>
      <c r="N1851" s="161">
        <f t="shared" si="727"/>
        <v>288</v>
      </c>
      <c r="O1851" s="161">
        <f t="shared" si="728"/>
        <v>288</v>
      </c>
      <c r="P1851" s="187">
        <f t="shared" si="729"/>
        <v>0</v>
      </c>
      <c r="Q1851" s="161">
        <f t="shared" si="730"/>
        <v>0</v>
      </c>
      <c r="R1851" s="85"/>
      <c r="S1851" s="86">
        <f t="shared" si="731"/>
        <v>2</v>
      </c>
      <c r="T1851" s="87">
        <f t="shared" si="726"/>
        <v>0</v>
      </c>
      <c r="U1851">
        <v>2</v>
      </c>
    </row>
    <row r="1852" spans="2:21" ht="20.100000000000001" hidden="1" customHeight="1">
      <c r="B1852" s="77">
        <v>15</v>
      </c>
      <c r="C1852" s="78" t="s">
        <v>3380</v>
      </c>
      <c r="D1852" s="79" t="s">
        <v>3381</v>
      </c>
      <c r="E1852" s="80" t="s">
        <v>3382</v>
      </c>
      <c r="F1852" s="81">
        <v>44.54</v>
      </c>
      <c r="G1852" s="222"/>
      <c r="H1852" s="186"/>
      <c r="I1852" s="186"/>
      <c r="J1852" s="308"/>
      <c r="K1852" s="227"/>
      <c r="L1852" s="82">
        <f t="shared" si="732"/>
        <v>0</v>
      </c>
      <c r="M1852" s="331"/>
      <c r="N1852" s="161">
        <f t="shared" si="727"/>
        <v>0</v>
      </c>
      <c r="O1852" s="161">
        <f t="shared" si="728"/>
        <v>0</v>
      </c>
      <c r="P1852" s="187">
        <f t="shared" si="729"/>
        <v>0</v>
      </c>
      <c r="Q1852" s="161">
        <f t="shared" si="730"/>
        <v>0</v>
      </c>
      <c r="R1852" s="85"/>
      <c r="S1852" s="86">
        <f t="shared" si="731"/>
        <v>0</v>
      </c>
      <c r="T1852" s="87">
        <f t="shared" si="726"/>
        <v>0</v>
      </c>
    </row>
    <row r="1853" spans="2:21" ht="20.100000000000001" hidden="1" customHeight="1">
      <c r="B1853" s="77">
        <v>15</v>
      </c>
      <c r="C1853" s="78" t="s">
        <v>3380</v>
      </c>
      <c r="D1853" s="79" t="s">
        <v>3383</v>
      </c>
      <c r="E1853" s="80" t="s">
        <v>3384</v>
      </c>
      <c r="F1853" s="81">
        <v>45.71</v>
      </c>
      <c r="G1853" s="222"/>
      <c r="H1853" s="186"/>
      <c r="I1853" s="186"/>
      <c r="J1853" s="308"/>
      <c r="K1853" s="227"/>
      <c r="L1853" s="82">
        <f t="shared" si="732"/>
        <v>0</v>
      </c>
      <c r="M1853" s="331"/>
      <c r="N1853" s="161">
        <f t="shared" si="727"/>
        <v>0</v>
      </c>
      <c r="O1853" s="161">
        <f t="shared" si="728"/>
        <v>0</v>
      </c>
      <c r="P1853" s="187">
        <f t="shared" si="729"/>
        <v>0</v>
      </c>
      <c r="Q1853" s="161">
        <f t="shared" si="730"/>
        <v>0</v>
      </c>
      <c r="R1853" s="85"/>
      <c r="S1853" s="86">
        <f t="shared" si="731"/>
        <v>0</v>
      </c>
      <c r="T1853" s="87">
        <f t="shared" si="726"/>
        <v>0</v>
      </c>
    </row>
    <row r="1854" spans="2:21" ht="20.100000000000001" hidden="1" customHeight="1">
      <c r="B1854" s="77">
        <v>15</v>
      </c>
      <c r="C1854" s="78" t="s">
        <v>3380</v>
      </c>
      <c r="D1854" s="79" t="s">
        <v>3385</v>
      </c>
      <c r="E1854" s="80" t="s">
        <v>3386</v>
      </c>
      <c r="F1854" s="81">
        <v>89.75</v>
      </c>
      <c r="G1854" s="222"/>
      <c r="H1854" s="186"/>
      <c r="I1854" s="186"/>
      <c r="J1854" s="308"/>
      <c r="K1854" s="227"/>
      <c r="L1854" s="82">
        <f t="shared" si="732"/>
        <v>0</v>
      </c>
      <c r="M1854" s="331"/>
      <c r="N1854" s="161">
        <f t="shared" si="727"/>
        <v>0</v>
      </c>
      <c r="O1854" s="161">
        <f t="shared" si="728"/>
        <v>0</v>
      </c>
      <c r="P1854" s="187">
        <f t="shared" si="729"/>
        <v>0</v>
      </c>
      <c r="Q1854" s="161">
        <f t="shared" si="730"/>
        <v>0</v>
      </c>
      <c r="R1854" s="85"/>
      <c r="S1854" s="86">
        <f t="shared" si="731"/>
        <v>1</v>
      </c>
      <c r="T1854" s="87">
        <f t="shared" si="726"/>
        <v>-1</v>
      </c>
      <c r="U1854">
        <v>1</v>
      </c>
    </row>
    <row r="1855" spans="2:21" ht="20.100000000000001" hidden="1" customHeight="1">
      <c r="B1855" s="77">
        <v>15</v>
      </c>
      <c r="C1855" s="78" t="s">
        <v>3380</v>
      </c>
      <c r="D1855" s="79" t="s">
        <v>3387</v>
      </c>
      <c r="E1855" s="80" t="s">
        <v>3388</v>
      </c>
      <c r="F1855" s="81">
        <v>130.75</v>
      </c>
      <c r="G1855" s="222">
        <v>6</v>
      </c>
      <c r="H1855" s="186"/>
      <c r="I1855" s="186"/>
      <c r="J1855" s="308"/>
      <c r="K1855" s="227"/>
      <c r="L1855" s="82">
        <f t="shared" si="732"/>
        <v>6</v>
      </c>
      <c r="M1855" s="331">
        <v>6</v>
      </c>
      <c r="N1855" s="161">
        <f t="shared" si="727"/>
        <v>784.5</v>
      </c>
      <c r="O1855" s="161">
        <f t="shared" si="728"/>
        <v>784.5</v>
      </c>
      <c r="P1855" s="187">
        <f t="shared" si="729"/>
        <v>0</v>
      </c>
      <c r="Q1855" s="161">
        <f t="shared" si="730"/>
        <v>0</v>
      </c>
      <c r="R1855" s="85"/>
      <c r="S1855" s="86">
        <f t="shared" si="731"/>
        <v>6</v>
      </c>
      <c r="T1855" s="87">
        <f t="shared" si="726"/>
        <v>0</v>
      </c>
      <c r="U1855">
        <v>6</v>
      </c>
    </row>
    <row r="1856" spans="2:21" ht="20.100000000000001" hidden="1" customHeight="1">
      <c r="B1856" s="77">
        <v>15</v>
      </c>
      <c r="C1856" s="78" t="s">
        <v>3380</v>
      </c>
      <c r="D1856" s="79" t="s">
        <v>3389</v>
      </c>
      <c r="E1856" s="80" t="s">
        <v>3390</v>
      </c>
      <c r="F1856" s="81">
        <v>38.33</v>
      </c>
      <c r="G1856" s="222"/>
      <c r="H1856" s="186"/>
      <c r="I1856" s="186"/>
      <c r="J1856" s="308"/>
      <c r="K1856" s="227"/>
      <c r="L1856" s="82">
        <f t="shared" ref="L1856:L1966" si="774">G1856+I1856-J1856-K1856+H1856</f>
        <v>0</v>
      </c>
      <c r="M1856" s="331"/>
      <c r="N1856" s="161">
        <f t="shared" ref="N1856:N1965" si="775">F1856*L1856</f>
        <v>0</v>
      </c>
      <c r="O1856" s="161">
        <f t="shared" ref="O1856:O1965" si="776">M1856*F1856</f>
        <v>0</v>
      </c>
      <c r="P1856" s="187">
        <f t="shared" ref="P1856:P1965" si="777">L1856-M1856</f>
        <v>0</v>
      </c>
      <c r="Q1856" s="161">
        <f t="shared" ref="Q1856:Q1965" si="778">N1856-O1856</f>
        <v>0</v>
      </c>
      <c r="R1856" s="85"/>
      <c r="S1856" s="86">
        <f t="shared" si="731"/>
        <v>0</v>
      </c>
      <c r="T1856" s="87">
        <f t="shared" ref="T1856:T1965" si="779">M1856-S1856</f>
        <v>0</v>
      </c>
    </row>
    <row r="1857" spans="2:25" ht="20.100000000000001" hidden="1" customHeight="1">
      <c r="B1857" s="77">
        <v>15</v>
      </c>
      <c r="C1857" s="78" t="s">
        <v>3380</v>
      </c>
      <c r="D1857" s="79" t="s">
        <v>3391</v>
      </c>
      <c r="E1857" s="80" t="s">
        <v>3392</v>
      </c>
      <c r="F1857" s="81">
        <v>16.95</v>
      </c>
      <c r="G1857" s="222">
        <v>7</v>
      </c>
      <c r="H1857" s="186"/>
      <c r="I1857" s="186"/>
      <c r="J1857" s="308"/>
      <c r="K1857" s="227"/>
      <c r="L1857" s="82">
        <f t="shared" si="774"/>
        <v>7</v>
      </c>
      <c r="M1857" s="331">
        <v>7</v>
      </c>
      <c r="N1857" s="161">
        <f t="shared" si="775"/>
        <v>118.64999999999999</v>
      </c>
      <c r="O1857" s="161">
        <f t="shared" si="776"/>
        <v>118.64999999999999</v>
      </c>
      <c r="P1857" s="187">
        <f t="shared" si="777"/>
        <v>0</v>
      </c>
      <c r="Q1857" s="161">
        <f t="shared" si="778"/>
        <v>0</v>
      </c>
      <c r="R1857" s="85"/>
      <c r="S1857" s="86">
        <f t="shared" ref="S1857:S1966" si="780">U1857+Y1857+W1857+AA1857</f>
        <v>7</v>
      </c>
      <c r="T1857" s="87">
        <f t="shared" si="779"/>
        <v>0</v>
      </c>
      <c r="U1857">
        <v>7</v>
      </c>
    </row>
    <row r="1858" spans="2:25" ht="20.100000000000001" hidden="1" customHeight="1">
      <c r="B1858" s="77">
        <v>15</v>
      </c>
      <c r="C1858" s="78" t="s">
        <v>3380</v>
      </c>
      <c r="D1858" s="79" t="s">
        <v>3393</v>
      </c>
      <c r="E1858" s="80" t="s">
        <v>3394</v>
      </c>
      <c r="F1858" s="81">
        <v>16.95</v>
      </c>
      <c r="G1858" s="222">
        <v>28</v>
      </c>
      <c r="H1858" s="186"/>
      <c r="I1858" s="186"/>
      <c r="J1858" s="308"/>
      <c r="K1858" s="227"/>
      <c r="L1858" s="82">
        <f t="shared" si="774"/>
        <v>28</v>
      </c>
      <c r="M1858" s="331">
        <v>28</v>
      </c>
      <c r="N1858" s="161">
        <f t="shared" si="775"/>
        <v>474.59999999999997</v>
      </c>
      <c r="O1858" s="161">
        <f t="shared" si="776"/>
        <v>474.59999999999997</v>
      </c>
      <c r="P1858" s="187">
        <f t="shared" si="777"/>
        <v>0</v>
      </c>
      <c r="Q1858" s="161">
        <f t="shared" si="778"/>
        <v>0</v>
      </c>
      <c r="R1858" s="85"/>
      <c r="S1858" s="86">
        <f t="shared" si="780"/>
        <v>28</v>
      </c>
      <c r="T1858" s="87">
        <f t="shared" si="779"/>
        <v>0</v>
      </c>
      <c r="U1858">
        <v>28</v>
      </c>
    </row>
    <row r="1859" spans="2:25" ht="20.100000000000001" hidden="1" customHeight="1">
      <c r="B1859" s="77">
        <v>15</v>
      </c>
      <c r="C1859" s="78" t="s">
        <v>3380</v>
      </c>
      <c r="D1859" s="79" t="s">
        <v>3395</v>
      </c>
      <c r="E1859" s="80" t="s">
        <v>3396</v>
      </c>
      <c r="F1859" s="81">
        <v>16.95</v>
      </c>
      <c r="G1859" s="222">
        <v>18</v>
      </c>
      <c r="H1859" s="186"/>
      <c r="I1859" s="186"/>
      <c r="J1859" s="308"/>
      <c r="K1859" s="227"/>
      <c r="L1859" s="82">
        <f t="shared" si="774"/>
        <v>18</v>
      </c>
      <c r="M1859" s="331">
        <v>18</v>
      </c>
      <c r="N1859" s="161">
        <f t="shared" si="775"/>
        <v>305.09999999999997</v>
      </c>
      <c r="O1859" s="161">
        <f t="shared" si="776"/>
        <v>305.09999999999997</v>
      </c>
      <c r="P1859" s="187">
        <f t="shared" si="777"/>
        <v>0</v>
      </c>
      <c r="Q1859" s="161">
        <f t="shared" si="778"/>
        <v>0</v>
      </c>
      <c r="R1859" s="85"/>
      <c r="S1859" s="86">
        <f t="shared" si="780"/>
        <v>18</v>
      </c>
      <c r="T1859" s="87">
        <f t="shared" si="779"/>
        <v>0</v>
      </c>
      <c r="U1859">
        <v>18</v>
      </c>
    </row>
    <row r="1860" spans="2:25" ht="20.100000000000001" hidden="1" customHeight="1">
      <c r="B1860" s="77">
        <v>15</v>
      </c>
      <c r="C1860" s="78" t="s">
        <v>3380</v>
      </c>
      <c r="D1860" s="79" t="s">
        <v>3397</v>
      </c>
      <c r="E1860" s="80" t="s">
        <v>3398</v>
      </c>
      <c r="F1860" s="81">
        <v>53.64</v>
      </c>
      <c r="G1860" s="222">
        <v>34</v>
      </c>
      <c r="H1860" s="186"/>
      <c r="I1860" s="186"/>
      <c r="J1860" s="308"/>
      <c r="K1860" s="227">
        <v>20</v>
      </c>
      <c r="L1860" s="82">
        <f t="shared" si="774"/>
        <v>14</v>
      </c>
      <c r="M1860" s="331">
        <v>14</v>
      </c>
      <c r="N1860" s="161">
        <f t="shared" si="775"/>
        <v>750.96</v>
      </c>
      <c r="O1860" s="161">
        <f t="shared" si="776"/>
        <v>750.96</v>
      </c>
      <c r="P1860" s="187">
        <f t="shared" si="777"/>
        <v>0</v>
      </c>
      <c r="Q1860" s="161">
        <f t="shared" si="778"/>
        <v>0</v>
      </c>
      <c r="R1860" s="85"/>
      <c r="S1860" s="86">
        <f t="shared" si="780"/>
        <v>45</v>
      </c>
      <c r="T1860" s="87">
        <f t="shared" si="779"/>
        <v>-31</v>
      </c>
      <c r="U1860">
        <v>45</v>
      </c>
    </row>
    <row r="1861" spans="2:25" ht="20.100000000000001" hidden="1" customHeight="1">
      <c r="B1861" s="77">
        <v>15</v>
      </c>
      <c r="C1861" s="78" t="s">
        <v>3380</v>
      </c>
      <c r="D1861" s="79" t="s">
        <v>3399</v>
      </c>
      <c r="E1861" s="80" t="s">
        <v>3400</v>
      </c>
      <c r="F1861" s="81">
        <v>80.900000000000006</v>
      </c>
      <c r="G1861" s="222"/>
      <c r="H1861" s="186"/>
      <c r="I1861" s="186"/>
      <c r="J1861" s="308"/>
      <c r="K1861" s="227"/>
      <c r="L1861" s="82">
        <f t="shared" si="774"/>
        <v>0</v>
      </c>
      <c r="M1861" s="331"/>
      <c r="N1861" s="161">
        <f t="shared" si="775"/>
        <v>0</v>
      </c>
      <c r="O1861" s="161">
        <f t="shared" si="776"/>
        <v>0</v>
      </c>
      <c r="P1861" s="187">
        <f t="shared" si="777"/>
        <v>0</v>
      </c>
      <c r="Q1861" s="161">
        <f t="shared" si="778"/>
        <v>0</v>
      </c>
      <c r="R1861" s="85"/>
      <c r="S1861" s="86">
        <f t="shared" si="780"/>
        <v>0</v>
      </c>
      <c r="T1861" s="87">
        <f t="shared" si="779"/>
        <v>0</v>
      </c>
    </row>
    <row r="1862" spans="2:25" ht="20.100000000000001" hidden="1" customHeight="1">
      <c r="B1862" s="77">
        <v>15</v>
      </c>
      <c r="C1862" s="78" t="s">
        <v>3380</v>
      </c>
      <c r="D1862" s="79" t="s">
        <v>3401</v>
      </c>
      <c r="E1862" s="80" t="s">
        <v>3402</v>
      </c>
      <c r="F1862" s="81">
        <v>100</v>
      </c>
      <c r="G1862" s="222"/>
      <c r="H1862" s="186"/>
      <c r="I1862" s="186"/>
      <c r="J1862" s="308"/>
      <c r="K1862" s="227"/>
      <c r="L1862" s="82">
        <f t="shared" si="774"/>
        <v>0</v>
      </c>
      <c r="M1862" s="331"/>
      <c r="N1862" s="161">
        <f t="shared" si="775"/>
        <v>0</v>
      </c>
      <c r="O1862" s="161">
        <f t="shared" si="776"/>
        <v>0</v>
      </c>
      <c r="P1862" s="187">
        <f t="shared" si="777"/>
        <v>0</v>
      </c>
      <c r="Q1862" s="161">
        <f t="shared" si="778"/>
        <v>0</v>
      </c>
      <c r="R1862" s="85"/>
      <c r="S1862" s="86">
        <f t="shared" si="780"/>
        <v>0</v>
      </c>
      <c r="T1862" s="87">
        <f t="shared" si="779"/>
        <v>0</v>
      </c>
    </row>
    <row r="1863" spans="2:25" ht="20.100000000000001" hidden="1" customHeight="1">
      <c r="B1863" s="77">
        <v>15</v>
      </c>
      <c r="C1863" s="78" t="s">
        <v>3380</v>
      </c>
      <c r="D1863" s="79" t="s">
        <v>3403</v>
      </c>
      <c r="E1863" s="80" t="s">
        <v>3404</v>
      </c>
      <c r="F1863" s="81">
        <v>19.350000000000001</v>
      </c>
      <c r="G1863" s="222">
        <v>104</v>
      </c>
      <c r="H1863" s="186"/>
      <c r="I1863" s="186"/>
      <c r="J1863" s="308"/>
      <c r="K1863" s="227">
        <v>1</v>
      </c>
      <c r="L1863" s="82">
        <f t="shared" si="774"/>
        <v>103</v>
      </c>
      <c r="M1863" s="331">
        <v>103</v>
      </c>
      <c r="N1863" s="161">
        <f t="shared" si="775"/>
        <v>1993.0500000000002</v>
      </c>
      <c r="O1863" s="161">
        <f t="shared" si="776"/>
        <v>1993.0500000000002</v>
      </c>
      <c r="P1863" s="187">
        <f t="shared" si="777"/>
        <v>0</v>
      </c>
      <c r="Q1863" s="161">
        <f t="shared" si="778"/>
        <v>0</v>
      </c>
      <c r="R1863" s="85"/>
      <c r="S1863" s="86">
        <f t="shared" si="780"/>
        <v>104</v>
      </c>
      <c r="T1863" s="87">
        <f t="shared" si="779"/>
        <v>-1</v>
      </c>
      <c r="U1863">
        <f>9+9+10</f>
        <v>28</v>
      </c>
      <c r="Y1863">
        <v>76</v>
      </c>
    </row>
    <row r="1864" spans="2:25" ht="20.100000000000001" hidden="1" customHeight="1">
      <c r="B1864" s="77">
        <v>15</v>
      </c>
      <c r="C1864" s="78" t="s">
        <v>3380</v>
      </c>
      <c r="D1864" s="79" t="s">
        <v>3405</v>
      </c>
      <c r="E1864" s="80" t="s">
        <v>3406</v>
      </c>
      <c r="F1864" s="81">
        <v>85</v>
      </c>
      <c r="G1864" s="222">
        <v>14</v>
      </c>
      <c r="H1864" s="186"/>
      <c r="I1864" s="186"/>
      <c r="J1864" s="308"/>
      <c r="K1864" s="227"/>
      <c r="L1864" s="82">
        <f t="shared" si="774"/>
        <v>14</v>
      </c>
      <c r="M1864" s="331">
        <v>14</v>
      </c>
      <c r="N1864" s="161">
        <f t="shared" si="775"/>
        <v>1190</v>
      </c>
      <c r="O1864" s="161">
        <f t="shared" si="776"/>
        <v>1190</v>
      </c>
      <c r="P1864" s="187">
        <f t="shared" si="777"/>
        <v>0</v>
      </c>
      <c r="Q1864" s="161">
        <f t="shared" si="778"/>
        <v>0</v>
      </c>
      <c r="R1864" s="85"/>
      <c r="S1864" s="86">
        <f t="shared" si="780"/>
        <v>14</v>
      </c>
      <c r="T1864" s="87">
        <f t="shared" si="779"/>
        <v>0</v>
      </c>
      <c r="U1864">
        <v>14</v>
      </c>
    </row>
    <row r="1865" spans="2:25" ht="20.100000000000001" hidden="1" customHeight="1">
      <c r="B1865" s="77">
        <v>15</v>
      </c>
      <c r="C1865" s="78" t="s">
        <v>3380</v>
      </c>
      <c r="D1865" s="79" t="s">
        <v>3407</v>
      </c>
      <c r="E1865" s="80" t="s">
        <v>3408</v>
      </c>
      <c r="F1865" s="81">
        <v>5</v>
      </c>
      <c r="G1865" s="222"/>
      <c r="H1865" s="186"/>
      <c r="I1865" s="186"/>
      <c r="J1865" s="308"/>
      <c r="K1865" s="227"/>
      <c r="L1865" s="82">
        <f t="shared" si="774"/>
        <v>0</v>
      </c>
      <c r="M1865" s="331"/>
      <c r="N1865" s="161">
        <f t="shared" si="775"/>
        <v>0</v>
      </c>
      <c r="O1865" s="161">
        <f t="shared" si="776"/>
        <v>0</v>
      </c>
      <c r="P1865" s="187">
        <f t="shared" si="777"/>
        <v>0</v>
      </c>
      <c r="Q1865" s="161">
        <f t="shared" si="778"/>
        <v>0</v>
      </c>
      <c r="R1865" s="85"/>
      <c r="S1865" s="86">
        <f t="shared" si="780"/>
        <v>0</v>
      </c>
      <c r="T1865" s="87">
        <f t="shared" si="779"/>
        <v>0</v>
      </c>
    </row>
    <row r="1866" spans="2:25" ht="20.100000000000001" hidden="1" customHeight="1">
      <c r="B1866" s="77">
        <v>15</v>
      </c>
      <c r="C1866" s="78" t="s">
        <v>3380</v>
      </c>
      <c r="D1866" s="79" t="s">
        <v>3409</v>
      </c>
      <c r="E1866" s="80" t="s">
        <v>3410</v>
      </c>
      <c r="F1866" s="81">
        <v>7</v>
      </c>
      <c r="G1866" s="222"/>
      <c r="H1866" s="186"/>
      <c r="I1866" s="186"/>
      <c r="J1866" s="308"/>
      <c r="K1866" s="227"/>
      <c r="L1866" s="82">
        <f t="shared" si="774"/>
        <v>0</v>
      </c>
      <c r="M1866" s="331"/>
      <c r="N1866" s="161">
        <f t="shared" si="775"/>
        <v>0</v>
      </c>
      <c r="O1866" s="161">
        <f t="shared" si="776"/>
        <v>0</v>
      </c>
      <c r="P1866" s="187">
        <f t="shared" si="777"/>
        <v>0</v>
      </c>
      <c r="Q1866" s="161">
        <f t="shared" si="778"/>
        <v>0</v>
      </c>
      <c r="R1866" s="85"/>
      <c r="S1866" s="86">
        <f t="shared" si="780"/>
        <v>0</v>
      </c>
      <c r="T1866" s="87">
        <f t="shared" si="779"/>
        <v>0</v>
      </c>
    </row>
    <row r="1867" spans="2:25" ht="20.100000000000001" hidden="1" customHeight="1">
      <c r="B1867" s="77">
        <v>15</v>
      </c>
      <c r="C1867" s="78" t="s">
        <v>3380</v>
      </c>
      <c r="D1867" s="79" t="s">
        <v>3411</v>
      </c>
      <c r="E1867" s="80" t="s">
        <v>3412</v>
      </c>
      <c r="F1867" s="81">
        <v>6</v>
      </c>
      <c r="G1867" s="222">
        <v>14</v>
      </c>
      <c r="H1867" s="186"/>
      <c r="I1867" s="186"/>
      <c r="J1867" s="308"/>
      <c r="K1867" s="227">
        <v>1</v>
      </c>
      <c r="L1867" s="82">
        <f t="shared" si="774"/>
        <v>13</v>
      </c>
      <c r="M1867" s="331">
        <v>13</v>
      </c>
      <c r="N1867" s="161">
        <f t="shared" si="775"/>
        <v>78</v>
      </c>
      <c r="O1867" s="161">
        <f t="shared" si="776"/>
        <v>78</v>
      </c>
      <c r="P1867" s="187">
        <f t="shared" si="777"/>
        <v>0</v>
      </c>
      <c r="Q1867" s="161">
        <f t="shared" si="778"/>
        <v>0</v>
      </c>
      <c r="R1867" s="85"/>
      <c r="S1867" s="86">
        <f t="shared" si="780"/>
        <v>0</v>
      </c>
      <c r="T1867" s="87">
        <f t="shared" si="779"/>
        <v>13</v>
      </c>
    </row>
    <row r="1868" spans="2:25" ht="20.100000000000001" hidden="1" customHeight="1">
      <c r="B1868" s="77">
        <v>15</v>
      </c>
      <c r="C1868" s="78" t="s">
        <v>3380</v>
      </c>
      <c r="D1868" s="79" t="s">
        <v>3413</v>
      </c>
      <c r="E1868" s="80" t="s">
        <v>3414</v>
      </c>
      <c r="F1868" s="81">
        <v>6</v>
      </c>
      <c r="G1868" s="222">
        <v>1</v>
      </c>
      <c r="H1868" s="186"/>
      <c r="I1868" s="186"/>
      <c r="J1868" s="308"/>
      <c r="K1868" s="227"/>
      <c r="L1868" s="82">
        <f t="shared" si="774"/>
        <v>1</v>
      </c>
      <c r="M1868" s="331">
        <v>1</v>
      </c>
      <c r="N1868" s="161">
        <f t="shared" si="775"/>
        <v>6</v>
      </c>
      <c r="O1868" s="161">
        <f t="shared" si="776"/>
        <v>6</v>
      </c>
      <c r="P1868" s="187">
        <f t="shared" si="777"/>
        <v>0</v>
      </c>
      <c r="Q1868" s="161">
        <f t="shared" si="778"/>
        <v>0</v>
      </c>
      <c r="R1868" s="85"/>
      <c r="S1868" s="86">
        <f t="shared" si="780"/>
        <v>0</v>
      </c>
      <c r="T1868" s="87">
        <f t="shared" si="779"/>
        <v>1</v>
      </c>
    </row>
    <row r="1869" spans="2:25" ht="20.100000000000001" hidden="1" customHeight="1">
      <c r="B1869" s="77">
        <v>15</v>
      </c>
      <c r="C1869" s="78" t="s">
        <v>3380</v>
      </c>
      <c r="D1869" s="79" t="s">
        <v>3415</v>
      </c>
      <c r="E1869" s="80" t="s">
        <v>3416</v>
      </c>
      <c r="F1869" s="81">
        <v>8</v>
      </c>
      <c r="G1869" s="222"/>
      <c r="H1869" s="186"/>
      <c r="I1869" s="186"/>
      <c r="J1869" s="308"/>
      <c r="K1869" s="227"/>
      <c r="L1869" s="82">
        <f t="shared" si="774"/>
        <v>0</v>
      </c>
      <c r="M1869" s="331"/>
      <c r="N1869" s="161">
        <f t="shared" si="775"/>
        <v>0</v>
      </c>
      <c r="O1869" s="161">
        <f t="shared" si="776"/>
        <v>0</v>
      </c>
      <c r="P1869" s="187">
        <f t="shared" si="777"/>
        <v>0</v>
      </c>
      <c r="Q1869" s="161">
        <f t="shared" si="778"/>
        <v>0</v>
      </c>
      <c r="R1869" s="85"/>
      <c r="S1869" s="86">
        <f t="shared" si="780"/>
        <v>0</v>
      </c>
      <c r="T1869" s="87">
        <f t="shared" si="779"/>
        <v>0</v>
      </c>
    </row>
    <row r="1870" spans="2:25" ht="20.100000000000001" hidden="1" customHeight="1">
      <c r="B1870" s="77">
        <v>15</v>
      </c>
      <c r="C1870" s="78" t="s">
        <v>3380</v>
      </c>
      <c r="D1870" s="79" t="s">
        <v>3417</v>
      </c>
      <c r="E1870" s="80" t="s">
        <v>3418</v>
      </c>
      <c r="F1870" s="81">
        <v>1900</v>
      </c>
      <c r="G1870" s="222"/>
      <c r="H1870" s="186"/>
      <c r="I1870" s="186"/>
      <c r="J1870" s="308"/>
      <c r="K1870" s="227"/>
      <c r="L1870" s="82">
        <f t="shared" si="774"/>
        <v>0</v>
      </c>
      <c r="M1870" s="331"/>
      <c r="N1870" s="161">
        <f t="shared" si="775"/>
        <v>0</v>
      </c>
      <c r="O1870" s="161">
        <f t="shared" si="776"/>
        <v>0</v>
      </c>
      <c r="P1870" s="187">
        <f t="shared" si="777"/>
        <v>0</v>
      </c>
      <c r="Q1870" s="161">
        <f t="shared" si="778"/>
        <v>0</v>
      </c>
      <c r="R1870" s="85"/>
      <c r="S1870" s="86">
        <f t="shared" si="780"/>
        <v>0</v>
      </c>
      <c r="T1870" s="87">
        <f t="shared" si="779"/>
        <v>0</v>
      </c>
    </row>
    <row r="1871" spans="2:25" ht="20.100000000000001" hidden="1" customHeight="1">
      <c r="B1871" s="77">
        <v>15</v>
      </c>
      <c r="C1871" s="78" t="s">
        <v>3380</v>
      </c>
      <c r="D1871" s="79" t="s">
        <v>3419</v>
      </c>
      <c r="E1871" s="80" t="s">
        <v>3420</v>
      </c>
      <c r="F1871" s="81">
        <v>1098</v>
      </c>
      <c r="G1871" s="222">
        <v>9</v>
      </c>
      <c r="H1871" s="186"/>
      <c r="I1871" s="186"/>
      <c r="J1871" s="308"/>
      <c r="K1871" s="227"/>
      <c r="L1871" s="82">
        <f t="shared" si="774"/>
        <v>9</v>
      </c>
      <c r="M1871" s="331">
        <v>9</v>
      </c>
      <c r="N1871" s="161">
        <f t="shared" si="775"/>
        <v>9882</v>
      </c>
      <c r="O1871" s="161">
        <f t="shared" si="776"/>
        <v>9882</v>
      </c>
      <c r="P1871" s="187">
        <f t="shared" si="777"/>
        <v>0</v>
      </c>
      <c r="Q1871" s="161">
        <f t="shared" si="778"/>
        <v>0</v>
      </c>
      <c r="R1871" s="85"/>
      <c r="S1871" s="86">
        <f t="shared" si="780"/>
        <v>0</v>
      </c>
      <c r="T1871" s="87">
        <f t="shared" si="779"/>
        <v>9</v>
      </c>
    </row>
    <row r="1872" spans="2:25" ht="20.100000000000001" hidden="1" customHeight="1">
      <c r="B1872" s="77">
        <v>15</v>
      </c>
      <c r="C1872" s="78" t="s">
        <v>3380</v>
      </c>
      <c r="D1872" s="79" t="s">
        <v>3421</v>
      </c>
      <c r="E1872" s="80" t="s">
        <v>3422</v>
      </c>
      <c r="F1872" s="81">
        <v>35</v>
      </c>
      <c r="G1872" s="222"/>
      <c r="H1872" s="186"/>
      <c r="I1872" s="186"/>
      <c r="J1872" s="308"/>
      <c r="K1872" s="227"/>
      <c r="L1872" s="82">
        <f t="shared" si="774"/>
        <v>0</v>
      </c>
      <c r="M1872" s="331"/>
      <c r="N1872" s="161">
        <f t="shared" si="775"/>
        <v>0</v>
      </c>
      <c r="O1872" s="161">
        <f t="shared" si="776"/>
        <v>0</v>
      </c>
      <c r="P1872" s="187">
        <f t="shared" si="777"/>
        <v>0</v>
      </c>
      <c r="Q1872" s="161">
        <f t="shared" si="778"/>
        <v>0</v>
      </c>
      <c r="R1872" s="85"/>
      <c r="S1872" s="86">
        <f t="shared" si="780"/>
        <v>0</v>
      </c>
      <c r="T1872" s="87">
        <f t="shared" si="779"/>
        <v>0</v>
      </c>
    </row>
    <row r="1873" spans="2:21" ht="20.100000000000001" hidden="1" customHeight="1">
      <c r="B1873" s="77">
        <v>15</v>
      </c>
      <c r="C1873" s="78" t="s">
        <v>3380</v>
      </c>
      <c r="D1873" s="79" t="s">
        <v>3423</v>
      </c>
      <c r="E1873" s="80" t="s">
        <v>3424</v>
      </c>
      <c r="F1873" s="81">
        <v>8</v>
      </c>
      <c r="G1873" s="222"/>
      <c r="H1873" s="186"/>
      <c r="I1873" s="186"/>
      <c r="J1873" s="308"/>
      <c r="K1873" s="227"/>
      <c r="L1873" s="82">
        <f t="shared" si="774"/>
        <v>0</v>
      </c>
      <c r="M1873" s="331"/>
      <c r="N1873" s="161">
        <f t="shared" si="775"/>
        <v>0</v>
      </c>
      <c r="O1873" s="161">
        <f t="shared" si="776"/>
        <v>0</v>
      </c>
      <c r="P1873" s="187">
        <f t="shared" si="777"/>
        <v>0</v>
      </c>
      <c r="Q1873" s="161">
        <f t="shared" si="778"/>
        <v>0</v>
      </c>
      <c r="R1873" s="85"/>
      <c r="S1873" s="86">
        <f t="shared" si="780"/>
        <v>0</v>
      </c>
      <c r="T1873" s="87">
        <f t="shared" si="779"/>
        <v>0</v>
      </c>
    </row>
    <row r="1874" spans="2:21" ht="20.100000000000001" hidden="1" customHeight="1">
      <c r="B1874" s="77">
        <v>15</v>
      </c>
      <c r="C1874" s="78" t="s">
        <v>3380</v>
      </c>
      <c r="D1874" s="79" t="s">
        <v>3425</v>
      </c>
      <c r="E1874" s="80" t="s">
        <v>3426</v>
      </c>
      <c r="F1874" s="81">
        <v>11</v>
      </c>
      <c r="G1874" s="222"/>
      <c r="H1874" s="186"/>
      <c r="I1874" s="186"/>
      <c r="J1874" s="308"/>
      <c r="K1874" s="227"/>
      <c r="L1874" s="82">
        <f t="shared" si="774"/>
        <v>0</v>
      </c>
      <c r="M1874" s="331"/>
      <c r="N1874" s="161">
        <f t="shared" si="775"/>
        <v>0</v>
      </c>
      <c r="O1874" s="161">
        <f t="shared" si="776"/>
        <v>0</v>
      </c>
      <c r="P1874" s="187">
        <f t="shared" si="777"/>
        <v>0</v>
      </c>
      <c r="Q1874" s="161">
        <f t="shared" si="778"/>
        <v>0</v>
      </c>
      <c r="R1874" s="85"/>
      <c r="S1874" s="86">
        <f t="shared" si="780"/>
        <v>0</v>
      </c>
      <c r="T1874" s="87">
        <f t="shared" si="779"/>
        <v>0</v>
      </c>
    </row>
    <row r="1875" spans="2:21" ht="20.100000000000001" hidden="1" customHeight="1">
      <c r="B1875" s="77">
        <v>15</v>
      </c>
      <c r="C1875" s="78" t="s">
        <v>3380</v>
      </c>
      <c r="D1875" s="79" t="s">
        <v>3427</v>
      </c>
      <c r="E1875" s="80" t="s">
        <v>3428</v>
      </c>
      <c r="F1875" s="81">
        <v>30</v>
      </c>
      <c r="G1875" s="222">
        <v>1</v>
      </c>
      <c r="H1875" s="186"/>
      <c r="I1875" s="186"/>
      <c r="J1875" s="308"/>
      <c r="K1875" s="227"/>
      <c r="L1875" s="82">
        <f t="shared" si="774"/>
        <v>1</v>
      </c>
      <c r="M1875" s="331">
        <v>1</v>
      </c>
      <c r="N1875" s="161">
        <f t="shared" si="775"/>
        <v>30</v>
      </c>
      <c r="O1875" s="161">
        <f t="shared" si="776"/>
        <v>30</v>
      </c>
      <c r="P1875" s="187">
        <f t="shared" si="777"/>
        <v>0</v>
      </c>
      <c r="Q1875" s="161">
        <f t="shared" si="778"/>
        <v>0</v>
      </c>
      <c r="R1875" s="85"/>
      <c r="S1875" s="86">
        <f t="shared" si="780"/>
        <v>0</v>
      </c>
      <c r="T1875" s="87">
        <f t="shared" si="779"/>
        <v>1</v>
      </c>
    </row>
    <row r="1876" spans="2:21" ht="20.100000000000001" hidden="1" customHeight="1">
      <c r="B1876" s="77">
        <v>15</v>
      </c>
      <c r="C1876" s="78" t="s">
        <v>3380</v>
      </c>
      <c r="D1876" s="79" t="s">
        <v>3429</v>
      </c>
      <c r="E1876" s="80" t="s">
        <v>3430</v>
      </c>
      <c r="F1876" s="81">
        <v>130</v>
      </c>
      <c r="G1876" s="222"/>
      <c r="H1876" s="186"/>
      <c r="I1876" s="186"/>
      <c r="J1876" s="308"/>
      <c r="K1876" s="227"/>
      <c r="L1876" s="82">
        <f t="shared" si="774"/>
        <v>0</v>
      </c>
      <c r="M1876" s="331"/>
      <c r="N1876" s="161">
        <f t="shared" si="775"/>
        <v>0</v>
      </c>
      <c r="O1876" s="161">
        <f t="shared" si="776"/>
        <v>0</v>
      </c>
      <c r="P1876" s="187">
        <f t="shared" si="777"/>
        <v>0</v>
      </c>
      <c r="Q1876" s="161">
        <f t="shared" si="778"/>
        <v>0</v>
      </c>
      <c r="R1876" s="85"/>
      <c r="S1876" s="86">
        <f t="shared" si="780"/>
        <v>0</v>
      </c>
      <c r="T1876" s="87">
        <f t="shared" si="779"/>
        <v>0</v>
      </c>
    </row>
    <row r="1877" spans="2:21" ht="20.100000000000001" hidden="1" customHeight="1">
      <c r="B1877" s="77">
        <v>15</v>
      </c>
      <c r="C1877" s="78" t="s">
        <v>3380</v>
      </c>
      <c r="D1877" s="79" t="s">
        <v>3431</v>
      </c>
      <c r="E1877" s="80" t="s">
        <v>3432</v>
      </c>
      <c r="F1877" s="81">
        <v>320</v>
      </c>
      <c r="G1877" s="222"/>
      <c r="H1877" s="186"/>
      <c r="I1877" s="186"/>
      <c r="J1877" s="308"/>
      <c r="K1877" s="227"/>
      <c r="L1877" s="82">
        <f t="shared" si="774"/>
        <v>0</v>
      </c>
      <c r="M1877" s="331"/>
      <c r="N1877" s="161">
        <f t="shared" si="775"/>
        <v>0</v>
      </c>
      <c r="O1877" s="161">
        <f t="shared" si="776"/>
        <v>0</v>
      </c>
      <c r="P1877" s="187">
        <f t="shared" si="777"/>
        <v>0</v>
      </c>
      <c r="Q1877" s="161">
        <f t="shared" si="778"/>
        <v>0</v>
      </c>
      <c r="R1877" s="85"/>
      <c r="S1877" s="86">
        <f t="shared" si="780"/>
        <v>0</v>
      </c>
      <c r="T1877" s="87">
        <f t="shared" si="779"/>
        <v>0</v>
      </c>
    </row>
    <row r="1878" spans="2:21" ht="20.100000000000001" hidden="1" customHeight="1">
      <c r="B1878" s="77">
        <v>15</v>
      </c>
      <c r="C1878" s="78" t="s">
        <v>3380</v>
      </c>
      <c r="D1878" s="79" t="s">
        <v>3433</v>
      </c>
      <c r="E1878" s="80" t="s">
        <v>3434</v>
      </c>
      <c r="F1878" s="81">
        <v>140</v>
      </c>
      <c r="G1878" s="222">
        <v>8</v>
      </c>
      <c r="H1878" s="186"/>
      <c r="I1878" s="186"/>
      <c r="J1878" s="308"/>
      <c r="K1878" s="227"/>
      <c r="L1878" s="82">
        <f t="shared" si="774"/>
        <v>8</v>
      </c>
      <c r="M1878" s="331">
        <v>8</v>
      </c>
      <c r="N1878" s="161">
        <f t="shared" si="775"/>
        <v>1120</v>
      </c>
      <c r="O1878" s="161">
        <f t="shared" si="776"/>
        <v>1120</v>
      </c>
      <c r="P1878" s="187">
        <f t="shared" si="777"/>
        <v>0</v>
      </c>
      <c r="Q1878" s="161">
        <f t="shared" si="778"/>
        <v>0</v>
      </c>
      <c r="R1878" s="85" t="s">
        <v>3435</v>
      </c>
      <c r="S1878" s="86">
        <f t="shared" si="780"/>
        <v>0</v>
      </c>
      <c r="T1878" s="87">
        <f t="shared" si="779"/>
        <v>8</v>
      </c>
    </row>
    <row r="1879" spans="2:21" ht="20.100000000000001" hidden="1" customHeight="1">
      <c r="B1879" s="77">
        <v>15</v>
      </c>
      <c r="C1879" s="78" t="s">
        <v>3380</v>
      </c>
      <c r="D1879" s="79" t="s">
        <v>3436</v>
      </c>
      <c r="E1879" s="80" t="s">
        <v>3437</v>
      </c>
      <c r="F1879" s="81">
        <v>300</v>
      </c>
      <c r="G1879" s="222">
        <v>1</v>
      </c>
      <c r="H1879" s="186"/>
      <c r="I1879" s="186"/>
      <c r="J1879" s="308"/>
      <c r="K1879" s="227"/>
      <c r="L1879" s="82">
        <f t="shared" si="774"/>
        <v>1</v>
      </c>
      <c r="M1879" s="331">
        <v>1</v>
      </c>
      <c r="N1879" s="161">
        <f t="shared" si="775"/>
        <v>300</v>
      </c>
      <c r="O1879" s="161">
        <f t="shared" si="776"/>
        <v>300</v>
      </c>
      <c r="P1879" s="187">
        <f t="shared" si="777"/>
        <v>0</v>
      </c>
      <c r="Q1879" s="161">
        <f t="shared" si="778"/>
        <v>0</v>
      </c>
      <c r="R1879" s="85"/>
      <c r="S1879" s="86">
        <f t="shared" si="780"/>
        <v>0</v>
      </c>
      <c r="T1879" s="87">
        <f t="shared" si="779"/>
        <v>1</v>
      </c>
    </row>
    <row r="1880" spans="2:21" ht="20.100000000000001" hidden="1" customHeight="1">
      <c r="B1880" s="77">
        <v>15</v>
      </c>
      <c r="C1880" s="78" t="s">
        <v>3380</v>
      </c>
      <c r="D1880" s="79" t="s">
        <v>3438</v>
      </c>
      <c r="E1880" s="80" t="s">
        <v>3439</v>
      </c>
      <c r="F1880" s="81">
        <v>140</v>
      </c>
      <c r="G1880" s="222">
        <v>2</v>
      </c>
      <c r="H1880" s="186"/>
      <c r="I1880" s="186"/>
      <c r="J1880" s="308"/>
      <c r="K1880" s="227"/>
      <c r="L1880" s="82">
        <f t="shared" si="774"/>
        <v>2</v>
      </c>
      <c r="M1880" s="331">
        <v>2</v>
      </c>
      <c r="N1880" s="161">
        <f t="shared" si="775"/>
        <v>280</v>
      </c>
      <c r="O1880" s="161">
        <f t="shared" si="776"/>
        <v>280</v>
      </c>
      <c r="P1880" s="187">
        <f t="shared" si="777"/>
        <v>0</v>
      </c>
      <c r="Q1880" s="161">
        <f t="shared" si="778"/>
        <v>0</v>
      </c>
      <c r="R1880" s="85" t="s">
        <v>3440</v>
      </c>
      <c r="S1880" s="86">
        <f t="shared" si="780"/>
        <v>0</v>
      </c>
      <c r="T1880" s="87">
        <f t="shared" si="779"/>
        <v>2</v>
      </c>
    </row>
    <row r="1881" spans="2:21" ht="20.100000000000001" hidden="1" customHeight="1">
      <c r="B1881" s="77">
        <v>15</v>
      </c>
      <c r="C1881" s="78" t="s">
        <v>3380</v>
      </c>
      <c r="D1881" s="79" t="s">
        <v>3441</v>
      </c>
      <c r="E1881" s="80" t="s">
        <v>3442</v>
      </c>
      <c r="F1881" s="81">
        <v>85</v>
      </c>
      <c r="G1881" s="222">
        <v>13</v>
      </c>
      <c r="H1881" s="186"/>
      <c r="I1881" s="186"/>
      <c r="J1881" s="308"/>
      <c r="K1881" s="227"/>
      <c r="L1881" s="82">
        <f t="shared" si="774"/>
        <v>13</v>
      </c>
      <c r="M1881" s="331">
        <v>13</v>
      </c>
      <c r="N1881" s="161">
        <f t="shared" si="775"/>
        <v>1105</v>
      </c>
      <c r="O1881" s="161">
        <f t="shared" si="776"/>
        <v>1105</v>
      </c>
      <c r="P1881" s="187">
        <f t="shared" si="777"/>
        <v>0</v>
      </c>
      <c r="Q1881" s="161">
        <f t="shared" si="778"/>
        <v>0</v>
      </c>
      <c r="R1881" s="85"/>
      <c r="S1881" s="86">
        <f t="shared" si="780"/>
        <v>13</v>
      </c>
      <c r="T1881" s="87">
        <f t="shared" si="779"/>
        <v>0</v>
      </c>
      <c r="U1881">
        <v>13</v>
      </c>
    </row>
    <row r="1882" spans="2:21" ht="20.100000000000001" hidden="1" customHeight="1">
      <c r="B1882" s="77">
        <v>15</v>
      </c>
      <c r="C1882" s="78" t="s">
        <v>3380</v>
      </c>
      <c r="D1882" s="79" t="s">
        <v>3443</v>
      </c>
      <c r="E1882" s="80" t="s">
        <v>3444</v>
      </c>
      <c r="F1882" s="81">
        <v>332.33</v>
      </c>
      <c r="G1882" s="222"/>
      <c r="H1882" s="186"/>
      <c r="I1882" s="186"/>
      <c r="J1882" s="308"/>
      <c r="K1882" s="227"/>
      <c r="L1882" s="82">
        <f t="shared" si="774"/>
        <v>0</v>
      </c>
      <c r="M1882" s="331"/>
      <c r="N1882" s="161">
        <f t="shared" si="775"/>
        <v>0</v>
      </c>
      <c r="O1882" s="161">
        <f t="shared" si="776"/>
        <v>0</v>
      </c>
      <c r="P1882" s="187">
        <f t="shared" si="777"/>
        <v>0</v>
      </c>
      <c r="Q1882" s="161">
        <f t="shared" si="778"/>
        <v>0</v>
      </c>
      <c r="R1882" s="85"/>
      <c r="S1882" s="86">
        <f t="shared" si="780"/>
        <v>0</v>
      </c>
      <c r="T1882" s="87">
        <f t="shared" si="779"/>
        <v>0</v>
      </c>
    </row>
    <row r="1883" spans="2:21" ht="20.100000000000001" hidden="1" customHeight="1">
      <c r="B1883" s="77">
        <v>15</v>
      </c>
      <c r="C1883" s="78" t="s">
        <v>3380</v>
      </c>
      <c r="D1883" s="79" t="s">
        <v>3445</v>
      </c>
      <c r="E1883" s="80" t="s">
        <v>3446</v>
      </c>
      <c r="F1883" s="81">
        <v>33</v>
      </c>
      <c r="G1883" s="222"/>
      <c r="H1883" s="186"/>
      <c r="I1883" s="186"/>
      <c r="J1883" s="308"/>
      <c r="K1883" s="227"/>
      <c r="L1883" s="82">
        <f t="shared" si="774"/>
        <v>0</v>
      </c>
      <c r="M1883" s="331"/>
      <c r="N1883" s="161">
        <f t="shared" si="775"/>
        <v>0</v>
      </c>
      <c r="O1883" s="161">
        <f t="shared" si="776"/>
        <v>0</v>
      </c>
      <c r="P1883" s="187">
        <f t="shared" si="777"/>
        <v>0</v>
      </c>
      <c r="Q1883" s="161">
        <f t="shared" si="778"/>
        <v>0</v>
      </c>
      <c r="R1883" s="85"/>
      <c r="S1883" s="86">
        <f t="shared" si="780"/>
        <v>0</v>
      </c>
      <c r="T1883" s="87">
        <f t="shared" si="779"/>
        <v>0</v>
      </c>
    </row>
    <row r="1884" spans="2:21" ht="20.100000000000001" hidden="1" customHeight="1">
      <c r="B1884" s="77">
        <v>15</v>
      </c>
      <c r="C1884" s="78" t="s">
        <v>3380</v>
      </c>
      <c r="D1884" s="79" t="s">
        <v>3447</v>
      </c>
      <c r="E1884" s="80" t="s">
        <v>3448</v>
      </c>
      <c r="F1884" s="81">
        <v>15</v>
      </c>
      <c r="G1884" s="222"/>
      <c r="H1884" s="186"/>
      <c r="I1884" s="186"/>
      <c r="J1884" s="308"/>
      <c r="K1884" s="227"/>
      <c r="L1884" s="82">
        <f t="shared" si="774"/>
        <v>0</v>
      </c>
      <c r="M1884" s="331"/>
      <c r="N1884" s="161">
        <f t="shared" si="775"/>
        <v>0</v>
      </c>
      <c r="O1884" s="161">
        <f t="shared" si="776"/>
        <v>0</v>
      </c>
      <c r="P1884" s="187">
        <f t="shared" si="777"/>
        <v>0</v>
      </c>
      <c r="Q1884" s="161">
        <f t="shared" si="778"/>
        <v>0</v>
      </c>
      <c r="R1884" s="85"/>
      <c r="S1884" s="86">
        <f t="shared" si="780"/>
        <v>0</v>
      </c>
      <c r="T1884" s="87">
        <f t="shared" si="779"/>
        <v>0</v>
      </c>
    </row>
    <row r="1885" spans="2:21" ht="20.100000000000001" hidden="1" customHeight="1">
      <c r="B1885" s="77">
        <v>15</v>
      </c>
      <c r="C1885" s="78" t="s">
        <v>3380</v>
      </c>
      <c r="D1885" s="79" t="s">
        <v>3449</v>
      </c>
      <c r="E1885" s="80" t="s">
        <v>3450</v>
      </c>
      <c r="F1885" s="81">
        <v>21</v>
      </c>
      <c r="G1885" s="222"/>
      <c r="H1885" s="186"/>
      <c r="I1885" s="186"/>
      <c r="J1885" s="308"/>
      <c r="K1885" s="227"/>
      <c r="L1885" s="82">
        <f t="shared" si="774"/>
        <v>0</v>
      </c>
      <c r="M1885" s="331"/>
      <c r="N1885" s="161">
        <f t="shared" si="775"/>
        <v>0</v>
      </c>
      <c r="O1885" s="161">
        <f t="shared" si="776"/>
        <v>0</v>
      </c>
      <c r="P1885" s="187">
        <f t="shared" si="777"/>
        <v>0</v>
      </c>
      <c r="Q1885" s="161">
        <f t="shared" si="778"/>
        <v>0</v>
      </c>
      <c r="R1885" s="85"/>
      <c r="S1885" s="86">
        <f t="shared" si="780"/>
        <v>0</v>
      </c>
      <c r="T1885" s="87">
        <f t="shared" si="779"/>
        <v>0</v>
      </c>
    </row>
    <row r="1886" spans="2:21" ht="20.100000000000001" hidden="1" customHeight="1">
      <c r="B1886" s="77">
        <v>15</v>
      </c>
      <c r="C1886" s="78" t="s">
        <v>3380</v>
      </c>
      <c r="D1886" s="79" t="s">
        <v>3451</v>
      </c>
      <c r="E1886" s="80" t="s">
        <v>3452</v>
      </c>
      <c r="F1886" s="81">
        <v>32</v>
      </c>
      <c r="G1886" s="222"/>
      <c r="H1886" s="186"/>
      <c r="I1886" s="186"/>
      <c r="J1886" s="308"/>
      <c r="K1886" s="227"/>
      <c r="L1886" s="82">
        <f t="shared" si="774"/>
        <v>0</v>
      </c>
      <c r="M1886" s="331"/>
      <c r="N1886" s="161">
        <f t="shared" si="775"/>
        <v>0</v>
      </c>
      <c r="O1886" s="161">
        <f t="shared" si="776"/>
        <v>0</v>
      </c>
      <c r="P1886" s="187">
        <f t="shared" si="777"/>
        <v>0</v>
      </c>
      <c r="Q1886" s="161">
        <f t="shared" si="778"/>
        <v>0</v>
      </c>
      <c r="R1886" s="85"/>
      <c r="S1886" s="86">
        <f t="shared" si="780"/>
        <v>0</v>
      </c>
      <c r="T1886" s="87">
        <f t="shared" si="779"/>
        <v>0</v>
      </c>
    </row>
    <row r="1887" spans="2:21" ht="20.100000000000001" hidden="1" customHeight="1">
      <c r="B1887" s="77">
        <v>15</v>
      </c>
      <c r="C1887" s="78" t="s">
        <v>3380</v>
      </c>
      <c r="D1887" s="79" t="s">
        <v>3453</v>
      </c>
      <c r="E1887" s="80" t="s">
        <v>3454</v>
      </c>
      <c r="F1887" s="81">
        <v>18.75</v>
      </c>
      <c r="G1887" s="222"/>
      <c r="H1887" s="186"/>
      <c r="I1887" s="186"/>
      <c r="J1887" s="308"/>
      <c r="K1887" s="227"/>
      <c r="L1887" s="82">
        <f t="shared" si="774"/>
        <v>0</v>
      </c>
      <c r="M1887" s="331"/>
      <c r="N1887" s="161">
        <f t="shared" si="775"/>
        <v>0</v>
      </c>
      <c r="O1887" s="161">
        <f t="shared" si="776"/>
        <v>0</v>
      </c>
      <c r="P1887" s="187">
        <f t="shared" si="777"/>
        <v>0</v>
      </c>
      <c r="Q1887" s="161">
        <f t="shared" si="778"/>
        <v>0</v>
      </c>
      <c r="R1887" s="85"/>
      <c r="S1887" s="86">
        <f t="shared" si="780"/>
        <v>0</v>
      </c>
      <c r="T1887" s="87">
        <f t="shared" si="779"/>
        <v>0</v>
      </c>
    </row>
    <row r="1888" spans="2:21" ht="20.100000000000001" hidden="1" customHeight="1">
      <c r="B1888" s="77">
        <v>15</v>
      </c>
      <c r="C1888" s="78" t="s">
        <v>3380</v>
      </c>
      <c r="D1888" s="79" t="s">
        <v>3455</v>
      </c>
      <c r="E1888" s="80" t="s">
        <v>3456</v>
      </c>
      <c r="F1888" s="81">
        <v>125</v>
      </c>
      <c r="G1888" s="222">
        <v>19</v>
      </c>
      <c r="H1888" s="186"/>
      <c r="I1888" s="186"/>
      <c r="J1888" s="308"/>
      <c r="K1888" s="227"/>
      <c r="L1888" s="82">
        <f t="shared" si="774"/>
        <v>19</v>
      </c>
      <c r="M1888" s="331">
        <v>19</v>
      </c>
      <c r="N1888" s="161">
        <f t="shared" si="775"/>
        <v>2375</v>
      </c>
      <c r="O1888" s="161">
        <f t="shared" si="776"/>
        <v>2375</v>
      </c>
      <c r="P1888" s="187">
        <f t="shared" si="777"/>
        <v>0</v>
      </c>
      <c r="Q1888" s="161">
        <f t="shared" si="778"/>
        <v>0</v>
      </c>
      <c r="R1888" s="85"/>
      <c r="S1888" s="86">
        <f t="shared" si="780"/>
        <v>0</v>
      </c>
      <c r="T1888" s="87">
        <f t="shared" si="779"/>
        <v>19</v>
      </c>
    </row>
    <row r="1889" spans="2:20" ht="20.100000000000001" hidden="1" customHeight="1">
      <c r="B1889" s="77">
        <v>15</v>
      </c>
      <c r="C1889" s="78" t="s">
        <v>3380</v>
      </c>
      <c r="D1889" s="79" t="s">
        <v>3457</v>
      </c>
      <c r="E1889" s="80" t="s">
        <v>3458</v>
      </c>
      <c r="F1889" s="81">
        <v>290</v>
      </c>
      <c r="G1889" s="222"/>
      <c r="H1889" s="186"/>
      <c r="I1889" s="186"/>
      <c r="J1889" s="308"/>
      <c r="K1889" s="227"/>
      <c r="L1889" s="82">
        <f t="shared" si="774"/>
        <v>0</v>
      </c>
      <c r="M1889" s="331"/>
      <c r="N1889" s="161">
        <f t="shared" si="775"/>
        <v>0</v>
      </c>
      <c r="O1889" s="161">
        <f t="shared" si="776"/>
        <v>0</v>
      </c>
      <c r="P1889" s="187">
        <f t="shared" si="777"/>
        <v>0</v>
      </c>
      <c r="Q1889" s="161">
        <f t="shared" si="778"/>
        <v>0</v>
      </c>
      <c r="R1889" s="85"/>
      <c r="S1889" s="86">
        <f t="shared" si="780"/>
        <v>0</v>
      </c>
      <c r="T1889" s="87">
        <f t="shared" si="779"/>
        <v>0</v>
      </c>
    </row>
    <row r="1890" spans="2:20" ht="20.100000000000001" hidden="1" customHeight="1">
      <c r="B1890" s="77">
        <v>15</v>
      </c>
      <c r="C1890" s="78" t="s">
        <v>3380</v>
      </c>
      <c r="D1890" s="79" t="s">
        <v>3459</v>
      </c>
      <c r="E1890" s="80" t="s">
        <v>3460</v>
      </c>
      <c r="F1890" s="81">
        <v>38.33</v>
      </c>
      <c r="G1890" s="222"/>
      <c r="H1890" s="186"/>
      <c r="I1890" s="186"/>
      <c r="J1890" s="308"/>
      <c r="K1890" s="227"/>
      <c r="L1890" s="82">
        <f t="shared" si="774"/>
        <v>0</v>
      </c>
      <c r="M1890" s="331"/>
      <c r="N1890" s="161">
        <f t="shared" si="775"/>
        <v>0</v>
      </c>
      <c r="O1890" s="161">
        <f t="shared" si="776"/>
        <v>0</v>
      </c>
      <c r="P1890" s="187">
        <f t="shared" si="777"/>
        <v>0</v>
      </c>
      <c r="Q1890" s="161">
        <f t="shared" si="778"/>
        <v>0</v>
      </c>
      <c r="R1890" s="85"/>
      <c r="S1890" s="86">
        <f t="shared" si="780"/>
        <v>0</v>
      </c>
      <c r="T1890" s="87">
        <f t="shared" si="779"/>
        <v>0</v>
      </c>
    </row>
    <row r="1891" spans="2:20" ht="20.100000000000001" hidden="1" customHeight="1">
      <c r="B1891" s="77">
        <v>15</v>
      </c>
      <c r="C1891" s="78" t="s">
        <v>3380</v>
      </c>
      <c r="D1891" s="79" t="s">
        <v>3461</v>
      </c>
      <c r="E1891" s="80" t="s">
        <v>3462</v>
      </c>
      <c r="F1891" s="81">
        <v>22</v>
      </c>
      <c r="G1891" s="222"/>
      <c r="H1891" s="186"/>
      <c r="I1891" s="186"/>
      <c r="J1891" s="308"/>
      <c r="K1891" s="227"/>
      <c r="L1891" s="82">
        <f t="shared" si="774"/>
        <v>0</v>
      </c>
      <c r="M1891" s="331"/>
      <c r="N1891" s="161">
        <f t="shared" si="775"/>
        <v>0</v>
      </c>
      <c r="O1891" s="161">
        <f t="shared" si="776"/>
        <v>0</v>
      </c>
      <c r="P1891" s="187">
        <f t="shared" si="777"/>
        <v>0</v>
      </c>
      <c r="Q1891" s="161">
        <f t="shared" si="778"/>
        <v>0</v>
      </c>
      <c r="R1891" s="85"/>
      <c r="S1891" s="86">
        <f t="shared" si="780"/>
        <v>0</v>
      </c>
      <c r="T1891" s="87">
        <f t="shared" si="779"/>
        <v>0</v>
      </c>
    </row>
    <row r="1892" spans="2:20" ht="20.100000000000001" hidden="1" customHeight="1">
      <c r="B1892" s="77">
        <v>15</v>
      </c>
      <c r="C1892" s="78" t="s">
        <v>3380</v>
      </c>
      <c r="D1892" s="79" t="s">
        <v>3463</v>
      </c>
      <c r="E1892" s="80" t="s">
        <v>3464</v>
      </c>
      <c r="F1892" s="81">
        <v>41.67</v>
      </c>
      <c r="G1892" s="222"/>
      <c r="H1892" s="186"/>
      <c r="I1892" s="186"/>
      <c r="J1892" s="308"/>
      <c r="K1892" s="227"/>
      <c r="L1892" s="82">
        <f t="shared" si="774"/>
        <v>0</v>
      </c>
      <c r="M1892" s="331"/>
      <c r="N1892" s="161">
        <f t="shared" si="775"/>
        <v>0</v>
      </c>
      <c r="O1892" s="161">
        <f t="shared" si="776"/>
        <v>0</v>
      </c>
      <c r="P1892" s="187">
        <f t="shared" si="777"/>
        <v>0</v>
      </c>
      <c r="Q1892" s="161">
        <f t="shared" si="778"/>
        <v>0</v>
      </c>
      <c r="R1892" s="85"/>
      <c r="S1892" s="86">
        <f t="shared" si="780"/>
        <v>0</v>
      </c>
      <c r="T1892" s="87">
        <f t="shared" si="779"/>
        <v>0</v>
      </c>
    </row>
    <row r="1893" spans="2:20" ht="20.100000000000001" hidden="1" customHeight="1">
      <c r="B1893" s="77">
        <v>15</v>
      </c>
      <c r="C1893" s="78" t="s">
        <v>3380</v>
      </c>
      <c r="D1893" s="79" t="s">
        <v>3465</v>
      </c>
      <c r="E1893" s="80" t="s">
        <v>3466</v>
      </c>
      <c r="F1893" s="81">
        <v>45</v>
      </c>
      <c r="G1893" s="222"/>
      <c r="H1893" s="186"/>
      <c r="I1893" s="186"/>
      <c r="J1893" s="308"/>
      <c r="K1893" s="227"/>
      <c r="L1893" s="82">
        <f t="shared" si="774"/>
        <v>0</v>
      </c>
      <c r="M1893" s="331"/>
      <c r="N1893" s="161">
        <f t="shared" si="775"/>
        <v>0</v>
      </c>
      <c r="O1893" s="161">
        <f t="shared" si="776"/>
        <v>0</v>
      </c>
      <c r="P1893" s="187">
        <f t="shared" si="777"/>
        <v>0</v>
      </c>
      <c r="Q1893" s="161">
        <f t="shared" si="778"/>
        <v>0</v>
      </c>
      <c r="R1893" s="85"/>
      <c r="S1893" s="86">
        <f t="shared" si="780"/>
        <v>0</v>
      </c>
      <c r="T1893" s="87">
        <f t="shared" si="779"/>
        <v>0</v>
      </c>
    </row>
    <row r="1894" spans="2:20" ht="20.100000000000001" hidden="1" customHeight="1">
      <c r="B1894" s="77">
        <v>15</v>
      </c>
      <c r="C1894" s="78" t="s">
        <v>3380</v>
      </c>
      <c r="D1894" s="79" t="s">
        <v>3467</v>
      </c>
      <c r="E1894" s="80" t="s">
        <v>3468</v>
      </c>
      <c r="F1894" s="81">
        <v>390</v>
      </c>
      <c r="G1894" s="222"/>
      <c r="H1894" s="186"/>
      <c r="I1894" s="186"/>
      <c r="J1894" s="308"/>
      <c r="K1894" s="227"/>
      <c r="L1894" s="82">
        <f t="shared" si="774"/>
        <v>0</v>
      </c>
      <c r="M1894" s="331"/>
      <c r="N1894" s="161">
        <f t="shared" si="775"/>
        <v>0</v>
      </c>
      <c r="O1894" s="161">
        <f t="shared" si="776"/>
        <v>0</v>
      </c>
      <c r="P1894" s="187">
        <f t="shared" si="777"/>
        <v>0</v>
      </c>
      <c r="Q1894" s="161">
        <f t="shared" si="778"/>
        <v>0</v>
      </c>
      <c r="R1894" s="85"/>
      <c r="S1894" s="86">
        <f t="shared" si="780"/>
        <v>0</v>
      </c>
      <c r="T1894" s="87">
        <f t="shared" si="779"/>
        <v>0</v>
      </c>
    </row>
    <row r="1895" spans="2:20" ht="20.100000000000001" hidden="1" customHeight="1">
      <c r="B1895" s="77">
        <v>15</v>
      </c>
      <c r="C1895" s="78" t="s">
        <v>3380</v>
      </c>
      <c r="D1895" s="219" t="s">
        <v>3910</v>
      </c>
      <c r="E1895" s="276" t="s">
        <v>4612</v>
      </c>
      <c r="F1895" s="277">
        <v>22000</v>
      </c>
      <c r="G1895" s="222"/>
      <c r="H1895" s="186"/>
      <c r="I1895" s="186">
        <v>1</v>
      </c>
      <c r="J1895" s="308"/>
      <c r="K1895" s="227">
        <v>1</v>
      </c>
      <c r="L1895" s="82">
        <f t="shared" si="774"/>
        <v>0</v>
      </c>
      <c r="M1895" s="331"/>
      <c r="N1895" s="161">
        <f t="shared" ref="N1895:N1896" si="781">F1895*L1895</f>
        <v>0</v>
      </c>
      <c r="O1895" s="161">
        <f t="shared" ref="O1895:O1896" si="782">M1895*F1895</f>
        <v>0</v>
      </c>
      <c r="P1895" s="187">
        <f t="shared" ref="P1895:P1896" si="783">L1895-M1895</f>
        <v>0</v>
      </c>
      <c r="Q1895" s="161">
        <f t="shared" ref="Q1895:Q1896" si="784">N1895-O1895</f>
        <v>0</v>
      </c>
      <c r="R1895" s="85"/>
      <c r="S1895" s="86">
        <f t="shared" ref="S1895" si="785">U1895+Y1895+W1895+AA1895</f>
        <v>0</v>
      </c>
      <c r="T1895" s="87">
        <f t="shared" ref="T1895" si="786">M1895-S1895</f>
        <v>0</v>
      </c>
    </row>
    <row r="1896" spans="2:20" ht="20.100000000000001" hidden="1" customHeight="1">
      <c r="B1896" s="77">
        <v>15</v>
      </c>
      <c r="C1896" s="78" t="s">
        <v>3380</v>
      </c>
      <c r="D1896" s="219">
        <v>888123456782048</v>
      </c>
      <c r="E1896" s="276" t="s">
        <v>4726</v>
      </c>
      <c r="F1896" s="273">
        <v>5.27</v>
      </c>
      <c r="G1896" s="222"/>
      <c r="H1896" s="186"/>
      <c r="I1896" s="295">
        <v>300</v>
      </c>
      <c r="J1896" s="308"/>
      <c r="K1896" s="227"/>
      <c r="L1896" s="82">
        <f t="shared" ref="L1896" si="787">G1896+I1896-J1896-K1896+H1896</f>
        <v>300</v>
      </c>
      <c r="M1896" s="331">
        <v>300</v>
      </c>
      <c r="N1896" s="161">
        <f t="shared" si="781"/>
        <v>1580.9999999999998</v>
      </c>
      <c r="O1896" s="161">
        <f t="shared" si="782"/>
        <v>1580.9999999999998</v>
      </c>
      <c r="P1896" s="187">
        <f t="shared" si="783"/>
        <v>0</v>
      </c>
      <c r="Q1896" s="161">
        <f t="shared" si="784"/>
        <v>0</v>
      </c>
      <c r="R1896" s="85"/>
      <c r="S1896" s="86"/>
      <c r="T1896" s="87"/>
    </row>
    <row r="1897" spans="2:20" ht="20.100000000000001" hidden="1" customHeight="1">
      <c r="B1897" s="77">
        <v>15</v>
      </c>
      <c r="C1897" s="78" t="s">
        <v>3380</v>
      </c>
      <c r="D1897" s="219" t="s">
        <v>4781</v>
      </c>
      <c r="E1897" s="276" t="s">
        <v>4727</v>
      </c>
      <c r="F1897" s="273">
        <v>5.7165999999999997</v>
      </c>
      <c r="G1897" s="222"/>
      <c r="H1897" s="186"/>
      <c r="I1897" s="295">
        <v>300</v>
      </c>
      <c r="J1897" s="308"/>
      <c r="K1897" s="227"/>
      <c r="L1897" s="82">
        <f t="shared" si="774"/>
        <v>300</v>
      </c>
      <c r="M1897" s="331">
        <v>300</v>
      </c>
      <c r="N1897" s="161">
        <f t="shared" ref="N1897:N1949" si="788">F1897*L1897</f>
        <v>1714.98</v>
      </c>
      <c r="O1897" s="161">
        <f t="shared" ref="O1897:O1949" si="789">M1897*F1897</f>
        <v>1714.98</v>
      </c>
      <c r="P1897" s="187">
        <f t="shared" ref="P1897:P1949" si="790">L1897-M1897</f>
        <v>0</v>
      </c>
      <c r="Q1897" s="161">
        <f t="shared" ref="Q1897:Q1949" si="791">N1897-O1897</f>
        <v>0</v>
      </c>
      <c r="R1897" s="85"/>
      <c r="S1897" s="86"/>
      <c r="T1897" s="87"/>
    </row>
    <row r="1898" spans="2:20" ht="20.100000000000001" hidden="1" customHeight="1">
      <c r="B1898" s="77">
        <v>15</v>
      </c>
      <c r="C1898" s="78" t="s">
        <v>3380</v>
      </c>
      <c r="D1898" s="219" t="s">
        <v>4782</v>
      </c>
      <c r="E1898" s="276" t="s">
        <v>4728</v>
      </c>
      <c r="F1898" s="273">
        <v>2.1800000000000002</v>
      </c>
      <c r="G1898" s="222"/>
      <c r="H1898" s="186"/>
      <c r="I1898" s="295">
        <v>500</v>
      </c>
      <c r="J1898" s="308"/>
      <c r="K1898" s="227"/>
      <c r="L1898" s="82">
        <f t="shared" si="774"/>
        <v>500</v>
      </c>
      <c r="M1898" s="331">
        <v>500</v>
      </c>
      <c r="N1898" s="161">
        <f t="shared" si="788"/>
        <v>1090</v>
      </c>
      <c r="O1898" s="161">
        <f t="shared" si="789"/>
        <v>1090</v>
      </c>
      <c r="P1898" s="187">
        <f t="shared" si="790"/>
        <v>0</v>
      </c>
      <c r="Q1898" s="161">
        <f t="shared" si="791"/>
        <v>0</v>
      </c>
      <c r="R1898" s="85"/>
      <c r="S1898" s="86"/>
      <c r="T1898" s="87"/>
    </row>
    <row r="1899" spans="2:20" ht="20.100000000000001" hidden="1" customHeight="1">
      <c r="B1899" s="77">
        <v>15</v>
      </c>
      <c r="C1899" s="78" t="s">
        <v>3380</v>
      </c>
      <c r="D1899" s="219" t="s">
        <v>3896</v>
      </c>
      <c r="E1899" s="276" t="s">
        <v>4438</v>
      </c>
      <c r="F1899" s="273">
        <v>2.76</v>
      </c>
      <c r="G1899" s="222"/>
      <c r="H1899" s="186"/>
      <c r="I1899" s="295">
        <v>500</v>
      </c>
      <c r="J1899" s="308"/>
      <c r="K1899" s="227">
        <v>100</v>
      </c>
      <c r="L1899" s="82">
        <f t="shared" si="774"/>
        <v>400</v>
      </c>
      <c r="M1899" s="331">
        <v>400</v>
      </c>
      <c r="N1899" s="161">
        <f t="shared" si="788"/>
        <v>1104</v>
      </c>
      <c r="O1899" s="161">
        <f t="shared" si="789"/>
        <v>1104</v>
      </c>
      <c r="P1899" s="187">
        <f t="shared" si="790"/>
        <v>0</v>
      </c>
      <c r="Q1899" s="161">
        <f t="shared" si="791"/>
        <v>0</v>
      </c>
      <c r="R1899" s="85"/>
      <c r="S1899" s="86"/>
      <c r="T1899" s="87"/>
    </row>
    <row r="1900" spans="2:20" ht="20.100000000000001" hidden="1" customHeight="1">
      <c r="B1900" s="77">
        <v>15</v>
      </c>
      <c r="C1900" s="78" t="s">
        <v>3380</v>
      </c>
      <c r="D1900" s="219" t="s">
        <v>3912</v>
      </c>
      <c r="E1900" s="276" t="s">
        <v>4632</v>
      </c>
      <c r="F1900" s="273">
        <v>381.67</v>
      </c>
      <c r="G1900" s="222"/>
      <c r="H1900" s="186"/>
      <c r="I1900" s="295">
        <v>6</v>
      </c>
      <c r="J1900" s="308"/>
      <c r="K1900" s="227">
        <v>1</v>
      </c>
      <c r="L1900" s="82">
        <f t="shared" si="774"/>
        <v>5</v>
      </c>
      <c r="M1900" s="331">
        <v>5</v>
      </c>
      <c r="N1900" s="161">
        <f t="shared" si="788"/>
        <v>1908.3500000000001</v>
      </c>
      <c r="O1900" s="161">
        <f t="shared" si="789"/>
        <v>1908.3500000000001</v>
      </c>
      <c r="P1900" s="187">
        <f t="shared" si="790"/>
        <v>0</v>
      </c>
      <c r="Q1900" s="161">
        <f t="shared" si="791"/>
        <v>0</v>
      </c>
      <c r="R1900" s="85"/>
      <c r="S1900" s="86"/>
      <c r="T1900" s="87"/>
    </row>
    <row r="1901" spans="2:20" ht="20.100000000000001" hidden="1" customHeight="1">
      <c r="B1901" s="77">
        <v>15</v>
      </c>
      <c r="C1901" s="78" t="s">
        <v>3380</v>
      </c>
      <c r="D1901" s="219" t="s">
        <v>3884</v>
      </c>
      <c r="E1901" s="276" t="s">
        <v>4337</v>
      </c>
      <c r="F1901" s="277">
        <v>310</v>
      </c>
      <c r="G1901" s="222"/>
      <c r="H1901" s="186"/>
      <c r="I1901" s="295">
        <v>6</v>
      </c>
      <c r="J1901" s="308"/>
      <c r="K1901" s="227">
        <v>2</v>
      </c>
      <c r="L1901" s="82">
        <f t="shared" si="774"/>
        <v>4</v>
      </c>
      <c r="M1901" s="331">
        <v>4</v>
      </c>
      <c r="N1901" s="161">
        <f t="shared" si="788"/>
        <v>1240</v>
      </c>
      <c r="O1901" s="161">
        <f t="shared" si="789"/>
        <v>1240</v>
      </c>
      <c r="P1901" s="187">
        <f t="shared" si="790"/>
        <v>0</v>
      </c>
      <c r="Q1901" s="161">
        <f t="shared" si="791"/>
        <v>0</v>
      </c>
      <c r="R1901" s="85"/>
      <c r="S1901" s="86"/>
      <c r="T1901" s="87"/>
    </row>
    <row r="1902" spans="2:20" ht="20.100000000000001" hidden="1" customHeight="1">
      <c r="B1902" s="77">
        <v>15</v>
      </c>
      <c r="C1902" s="78" t="s">
        <v>3380</v>
      </c>
      <c r="D1902" s="219" t="s">
        <v>3888</v>
      </c>
      <c r="E1902" s="276" t="s">
        <v>4363</v>
      </c>
      <c r="F1902" s="277">
        <v>22</v>
      </c>
      <c r="G1902" s="222"/>
      <c r="H1902" s="186"/>
      <c r="I1902" s="295">
        <v>5</v>
      </c>
      <c r="J1902" s="308"/>
      <c r="K1902" s="227">
        <v>5</v>
      </c>
      <c r="L1902" s="82">
        <f t="shared" si="774"/>
        <v>0</v>
      </c>
      <c r="M1902" s="331"/>
      <c r="N1902" s="161">
        <f t="shared" si="788"/>
        <v>0</v>
      </c>
      <c r="O1902" s="161">
        <f t="shared" si="789"/>
        <v>0</v>
      </c>
      <c r="P1902" s="187">
        <f t="shared" si="790"/>
        <v>0</v>
      </c>
      <c r="Q1902" s="161">
        <f t="shared" si="791"/>
        <v>0</v>
      </c>
      <c r="R1902" s="85"/>
      <c r="S1902" s="86"/>
      <c r="T1902" s="87"/>
    </row>
    <row r="1903" spans="2:20" ht="20.100000000000001" hidden="1" customHeight="1">
      <c r="B1903" s="77">
        <v>15</v>
      </c>
      <c r="C1903" s="78" t="s">
        <v>3380</v>
      </c>
      <c r="D1903" s="219" t="s">
        <v>3904</v>
      </c>
      <c r="E1903" s="276" t="s">
        <v>4508</v>
      </c>
      <c r="F1903" s="277">
        <v>1.29</v>
      </c>
      <c r="G1903" s="222"/>
      <c r="H1903" s="186"/>
      <c r="I1903" s="295">
        <v>1000</v>
      </c>
      <c r="J1903" s="308"/>
      <c r="K1903" s="227">
        <v>100</v>
      </c>
      <c r="L1903" s="82">
        <f t="shared" si="774"/>
        <v>900</v>
      </c>
      <c r="M1903" s="331">
        <v>900</v>
      </c>
      <c r="N1903" s="161">
        <f t="shared" si="788"/>
        <v>1161</v>
      </c>
      <c r="O1903" s="161">
        <f t="shared" si="789"/>
        <v>1161</v>
      </c>
      <c r="P1903" s="187">
        <f t="shared" si="790"/>
        <v>0</v>
      </c>
      <c r="Q1903" s="161">
        <f t="shared" si="791"/>
        <v>0</v>
      </c>
      <c r="R1903" s="85"/>
      <c r="S1903" s="86"/>
      <c r="T1903" s="87"/>
    </row>
    <row r="1904" spans="2:20" ht="20.100000000000001" hidden="1" customHeight="1">
      <c r="B1904" s="77">
        <v>15</v>
      </c>
      <c r="C1904" s="78" t="s">
        <v>3380</v>
      </c>
      <c r="D1904" s="219" t="s">
        <v>3885</v>
      </c>
      <c r="E1904" s="276" t="s">
        <v>4338</v>
      </c>
      <c r="F1904" s="277">
        <v>74.38</v>
      </c>
      <c r="G1904" s="222"/>
      <c r="H1904" s="186"/>
      <c r="I1904" s="295">
        <v>8</v>
      </c>
      <c r="J1904" s="308"/>
      <c r="K1904" s="227">
        <v>3</v>
      </c>
      <c r="L1904" s="82">
        <f t="shared" si="774"/>
        <v>5</v>
      </c>
      <c r="M1904" s="331">
        <v>5</v>
      </c>
      <c r="N1904" s="161">
        <f t="shared" si="788"/>
        <v>371.9</v>
      </c>
      <c r="O1904" s="161">
        <f t="shared" si="789"/>
        <v>371.9</v>
      </c>
      <c r="P1904" s="187">
        <f t="shared" si="790"/>
        <v>0</v>
      </c>
      <c r="Q1904" s="161">
        <f t="shared" si="791"/>
        <v>0</v>
      </c>
      <c r="R1904" s="85"/>
      <c r="S1904" s="86"/>
      <c r="T1904" s="87"/>
    </row>
    <row r="1905" spans="2:20" ht="20.100000000000001" hidden="1" customHeight="1">
      <c r="B1905" s="77">
        <v>15</v>
      </c>
      <c r="C1905" s="78" t="s">
        <v>3380</v>
      </c>
      <c r="D1905" s="219" t="s">
        <v>3903</v>
      </c>
      <c r="E1905" s="276" t="s">
        <v>4507</v>
      </c>
      <c r="F1905" s="277">
        <v>7.73</v>
      </c>
      <c r="G1905" s="222"/>
      <c r="H1905" s="186"/>
      <c r="I1905" s="295">
        <v>150</v>
      </c>
      <c r="J1905" s="308"/>
      <c r="K1905" s="227">
        <v>50</v>
      </c>
      <c r="L1905" s="82">
        <f t="shared" si="774"/>
        <v>100</v>
      </c>
      <c r="M1905" s="331">
        <v>100</v>
      </c>
      <c r="N1905" s="161">
        <f t="shared" si="788"/>
        <v>773</v>
      </c>
      <c r="O1905" s="161">
        <f t="shared" si="789"/>
        <v>773</v>
      </c>
      <c r="P1905" s="187">
        <f t="shared" si="790"/>
        <v>0</v>
      </c>
      <c r="Q1905" s="161">
        <f t="shared" si="791"/>
        <v>0</v>
      </c>
      <c r="R1905" s="85"/>
      <c r="S1905" s="86"/>
      <c r="T1905" s="87"/>
    </row>
    <row r="1906" spans="2:20" ht="20.100000000000001" hidden="1" customHeight="1">
      <c r="B1906" s="77">
        <v>15</v>
      </c>
      <c r="C1906" s="78" t="s">
        <v>3380</v>
      </c>
      <c r="D1906" s="219" t="s">
        <v>4783</v>
      </c>
      <c r="E1906" s="276" t="s">
        <v>4729</v>
      </c>
      <c r="F1906" s="277">
        <v>7.51</v>
      </c>
      <c r="G1906" s="222"/>
      <c r="H1906" s="186"/>
      <c r="I1906" s="295">
        <v>150</v>
      </c>
      <c r="J1906" s="308"/>
      <c r="K1906" s="227"/>
      <c r="L1906" s="82">
        <f t="shared" si="774"/>
        <v>150</v>
      </c>
      <c r="M1906" s="331">
        <v>150</v>
      </c>
      <c r="N1906" s="161">
        <f t="shared" si="788"/>
        <v>1126.5</v>
      </c>
      <c r="O1906" s="161">
        <f t="shared" si="789"/>
        <v>1126.5</v>
      </c>
      <c r="P1906" s="187">
        <f t="shared" si="790"/>
        <v>0</v>
      </c>
      <c r="Q1906" s="161">
        <f t="shared" si="791"/>
        <v>0</v>
      </c>
      <c r="R1906" s="85"/>
      <c r="S1906" s="86"/>
      <c r="T1906" s="87"/>
    </row>
    <row r="1907" spans="2:20" ht="20.100000000000001" hidden="1" customHeight="1">
      <c r="B1907" s="77">
        <v>15</v>
      </c>
      <c r="C1907" s="78" t="s">
        <v>3380</v>
      </c>
      <c r="D1907" s="219" t="s">
        <v>3892</v>
      </c>
      <c r="E1907" s="276" t="s">
        <v>4384</v>
      </c>
      <c r="F1907" s="277">
        <v>3.81</v>
      </c>
      <c r="G1907" s="222"/>
      <c r="H1907" s="186"/>
      <c r="I1907" s="295">
        <v>300</v>
      </c>
      <c r="J1907" s="308"/>
      <c r="K1907" s="227">
        <v>100</v>
      </c>
      <c r="L1907" s="82">
        <f t="shared" si="774"/>
        <v>200</v>
      </c>
      <c r="M1907" s="331">
        <v>200</v>
      </c>
      <c r="N1907" s="161">
        <f t="shared" si="788"/>
        <v>762</v>
      </c>
      <c r="O1907" s="161">
        <f t="shared" si="789"/>
        <v>762</v>
      </c>
      <c r="P1907" s="187">
        <f t="shared" si="790"/>
        <v>0</v>
      </c>
      <c r="Q1907" s="161">
        <f t="shared" si="791"/>
        <v>0</v>
      </c>
      <c r="R1907" s="85"/>
      <c r="S1907" s="86"/>
      <c r="T1907" s="87"/>
    </row>
    <row r="1908" spans="2:20" ht="20.100000000000001" hidden="1" customHeight="1">
      <c r="B1908" s="77">
        <v>15</v>
      </c>
      <c r="C1908" s="78" t="s">
        <v>3380</v>
      </c>
      <c r="D1908" s="219" t="s">
        <v>4784</v>
      </c>
      <c r="E1908" s="276" t="s">
        <v>4730</v>
      </c>
      <c r="F1908" s="277">
        <v>4</v>
      </c>
      <c r="G1908" s="222"/>
      <c r="H1908" s="186"/>
      <c r="I1908" s="295">
        <v>300</v>
      </c>
      <c r="J1908" s="308"/>
      <c r="K1908" s="227"/>
      <c r="L1908" s="82">
        <f t="shared" si="774"/>
        <v>300</v>
      </c>
      <c r="M1908" s="331">
        <v>300</v>
      </c>
      <c r="N1908" s="161">
        <f t="shared" si="788"/>
        <v>1200</v>
      </c>
      <c r="O1908" s="161">
        <f t="shared" si="789"/>
        <v>1200</v>
      </c>
      <c r="P1908" s="187">
        <f t="shared" si="790"/>
        <v>0</v>
      </c>
      <c r="Q1908" s="161">
        <f t="shared" si="791"/>
        <v>0</v>
      </c>
      <c r="R1908" s="85"/>
      <c r="S1908" s="86"/>
      <c r="T1908" s="87"/>
    </row>
    <row r="1909" spans="2:20" ht="20.100000000000001" hidden="1" customHeight="1">
      <c r="B1909" s="77">
        <v>15</v>
      </c>
      <c r="C1909" s="78" t="s">
        <v>3380</v>
      </c>
      <c r="D1909" s="348" t="s">
        <v>3870</v>
      </c>
      <c r="E1909" s="349" t="s">
        <v>4147</v>
      </c>
      <c r="F1909" s="123">
        <v>20000</v>
      </c>
      <c r="G1909" s="222"/>
      <c r="H1909" s="186"/>
      <c r="I1909" s="295"/>
      <c r="J1909" s="308"/>
      <c r="K1909" s="238"/>
      <c r="L1909" s="82">
        <f t="shared" ref="L1909" si="792">G1909+I1909-J1909-K1909+H1909</f>
        <v>0</v>
      </c>
      <c r="M1909" s="331"/>
      <c r="N1909" s="161">
        <f t="shared" si="788"/>
        <v>0</v>
      </c>
      <c r="O1909" s="161">
        <f t="shared" si="789"/>
        <v>0</v>
      </c>
      <c r="P1909" s="187">
        <f t="shared" si="790"/>
        <v>0</v>
      </c>
      <c r="Q1909" s="161">
        <f t="shared" si="791"/>
        <v>0</v>
      </c>
      <c r="R1909" s="85"/>
      <c r="S1909" s="86"/>
      <c r="T1909" s="87"/>
    </row>
    <row r="1910" spans="2:20" ht="20.100000000000001" hidden="1" customHeight="1">
      <c r="B1910" s="77">
        <v>15</v>
      </c>
      <c r="C1910" s="78" t="s">
        <v>3380</v>
      </c>
      <c r="D1910" s="219" t="s">
        <v>4754</v>
      </c>
      <c r="E1910" s="266" t="s">
        <v>4697</v>
      </c>
      <c r="F1910" s="267">
        <v>600</v>
      </c>
      <c r="G1910" s="222"/>
      <c r="H1910" s="186"/>
      <c r="I1910" s="295">
        <v>1</v>
      </c>
      <c r="J1910" s="308"/>
      <c r="K1910" s="227"/>
      <c r="L1910" s="82">
        <f t="shared" si="774"/>
        <v>1</v>
      </c>
      <c r="M1910" s="331">
        <v>1</v>
      </c>
      <c r="N1910" s="161">
        <f t="shared" ref="N1910:N1941" si="793">F1910*L1910</f>
        <v>600</v>
      </c>
      <c r="O1910" s="161">
        <f t="shared" ref="O1910:O1941" si="794">M1910*F1910</f>
        <v>600</v>
      </c>
      <c r="P1910" s="187">
        <f t="shared" ref="P1910:P1941" si="795">L1910-M1910</f>
        <v>0</v>
      </c>
      <c r="Q1910" s="161">
        <f t="shared" ref="Q1910:Q1941" si="796">N1910-O1910</f>
        <v>0</v>
      </c>
      <c r="R1910" s="85"/>
      <c r="S1910" s="86"/>
      <c r="T1910" s="87"/>
    </row>
    <row r="1911" spans="2:20" ht="20.100000000000001" hidden="1" customHeight="1">
      <c r="B1911" s="77">
        <v>15</v>
      </c>
      <c r="C1911" s="78" t="s">
        <v>3380</v>
      </c>
      <c r="D1911" s="219" t="s">
        <v>4755</v>
      </c>
      <c r="E1911" s="266" t="s">
        <v>4698</v>
      </c>
      <c r="F1911" s="267">
        <v>400</v>
      </c>
      <c r="G1911" s="222"/>
      <c r="H1911" s="186"/>
      <c r="I1911" s="295">
        <v>1</v>
      </c>
      <c r="J1911" s="308"/>
      <c r="K1911" s="227"/>
      <c r="L1911" s="82">
        <f t="shared" si="774"/>
        <v>1</v>
      </c>
      <c r="M1911" s="331">
        <v>1</v>
      </c>
      <c r="N1911" s="161">
        <f t="shared" si="793"/>
        <v>400</v>
      </c>
      <c r="O1911" s="161">
        <f t="shared" si="794"/>
        <v>400</v>
      </c>
      <c r="P1911" s="187">
        <f t="shared" si="795"/>
        <v>0</v>
      </c>
      <c r="Q1911" s="161">
        <f t="shared" si="796"/>
        <v>0</v>
      </c>
      <c r="R1911" s="85"/>
      <c r="S1911" s="86"/>
      <c r="T1911" s="87"/>
    </row>
    <row r="1912" spans="2:20" ht="20.100000000000001" hidden="1" customHeight="1">
      <c r="B1912" s="77">
        <v>15</v>
      </c>
      <c r="C1912" s="78" t="s">
        <v>3380</v>
      </c>
      <c r="D1912" s="219" t="s">
        <v>4756</v>
      </c>
      <c r="E1912" s="266" t="s">
        <v>4699</v>
      </c>
      <c r="F1912" s="267">
        <v>700</v>
      </c>
      <c r="G1912" s="222"/>
      <c r="H1912" s="186"/>
      <c r="I1912" s="295">
        <v>1</v>
      </c>
      <c r="J1912" s="308"/>
      <c r="K1912" s="227"/>
      <c r="L1912" s="82">
        <f t="shared" si="774"/>
        <v>1</v>
      </c>
      <c r="M1912" s="331">
        <v>1</v>
      </c>
      <c r="N1912" s="161">
        <f t="shared" si="793"/>
        <v>700</v>
      </c>
      <c r="O1912" s="161">
        <f t="shared" si="794"/>
        <v>700</v>
      </c>
      <c r="P1912" s="187">
        <f t="shared" si="795"/>
        <v>0</v>
      </c>
      <c r="Q1912" s="161">
        <f t="shared" si="796"/>
        <v>0</v>
      </c>
      <c r="R1912" s="85"/>
      <c r="S1912" s="86"/>
      <c r="T1912" s="87"/>
    </row>
    <row r="1913" spans="2:20" ht="20.100000000000001" hidden="1" customHeight="1">
      <c r="B1913" s="77">
        <v>15</v>
      </c>
      <c r="C1913" s="78" t="s">
        <v>3380</v>
      </c>
      <c r="D1913" s="219" t="s">
        <v>4757</v>
      </c>
      <c r="E1913" s="266" t="s">
        <v>4700</v>
      </c>
      <c r="F1913" s="267">
        <v>90</v>
      </c>
      <c r="G1913" s="222"/>
      <c r="H1913" s="186"/>
      <c r="I1913" s="295">
        <v>5</v>
      </c>
      <c r="J1913" s="308"/>
      <c r="K1913" s="227"/>
      <c r="L1913" s="82">
        <f t="shared" si="774"/>
        <v>5</v>
      </c>
      <c r="M1913" s="331">
        <v>5</v>
      </c>
      <c r="N1913" s="161">
        <f t="shared" si="793"/>
        <v>450</v>
      </c>
      <c r="O1913" s="161">
        <f t="shared" si="794"/>
        <v>450</v>
      </c>
      <c r="P1913" s="187">
        <f t="shared" si="795"/>
        <v>0</v>
      </c>
      <c r="Q1913" s="161">
        <f t="shared" si="796"/>
        <v>0</v>
      </c>
      <c r="R1913" s="85"/>
      <c r="S1913" s="86"/>
      <c r="T1913" s="87"/>
    </row>
    <row r="1914" spans="2:20" ht="20.100000000000001" hidden="1" customHeight="1">
      <c r="B1914" s="77">
        <v>15</v>
      </c>
      <c r="C1914" s="78" t="s">
        <v>3380</v>
      </c>
      <c r="D1914" s="219" t="s">
        <v>4758</v>
      </c>
      <c r="E1914" s="266" t="s">
        <v>4701</v>
      </c>
      <c r="F1914" s="267">
        <v>150</v>
      </c>
      <c r="G1914" s="222"/>
      <c r="H1914" s="186"/>
      <c r="I1914" s="295">
        <v>5</v>
      </c>
      <c r="J1914" s="308"/>
      <c r="K1914" s="227"/>
      <c r="L1914" s="82">
        <f t="shared" si="774"/>
        <v>5</v>
      </c>
      <c r="M1914" s="331">
        <v>5</v>
      </c>
      <c r="N1914" s="161">
        <f t="shared" si="793"/>
        <v>750</v>
      </c>
      <c r="O1914" s="161">
        <f t="shared" si="794"/>
        <v>750</v>
      </c>
      <c r="P1914" s="187">
        <f t="shared" si="795"/>
        <v>0</v>
      </c>
      <c r="Q1914" s="161">
        <f t="shared" si="796"/>
        <v>0</v>
      </c>
      <c r="R1914" s="85"/>
      <c r="S1914" s="86"/>
      <c r="T1914" s="87"/>
    </row>
    <row r="1915" spans="2:20" ht="20.100000000000001" hidden="1" customHeight="1">
      <c r="B1915" s="77">
        <v>15</v>
      </c>
      <c r="C1915" s="78" t="s">
        <v>3380</v>
      </c>
      <c r="D1915" s="219" t="s">
        <v>4759</v>
      </c>
      <c r="E1915" s="322" t="s">
        <v>4838</v>
      </c>
      <c r="F1915" s="267">
        <v>60</v>
      </c>
      <c r="G1915" s="222"/>
      <c r="H1915" s="186"/>
      <c r="I1915" s="295">
        <v>3</v>
      </c>
      <c r="J1915" s="308"/>
      <c r="K1915" s="227"/>
      <c r="L1915" s="82">
        <f t="shared" si="774"/>
        <v>3</v>
      </c>
      <c r="M1915" s="331">
        <v>3</v>
      </c>
      <c r="N1915" s="161">
        <f t="shared" si="793"/>
        <v>180</v>
      </c>
      <c r="O1915" s="161">
        <f t="shared" si="794"/>
        <v>180</v>
      </c>
      <c r="P1915" s="187">
        <f t="shared" si="795"/>
        <v>0</v>
      </c>
      <c r="Q1915" s="161">
        <f t="shared" si="796"/>
        <v>0</v>
      </c>
      <c r="R1915" s="85"/>
      <c r="S1915" s="86"/>
      <c r="T1915" s="87"/>
    </row>
    <row r="1916" spans="2:20" ht="20.100000000000001" hidden="1" customHeight="1">
      <c r="B1916" s="77">
        <v>15</v>
      </c>
      <c r="C1916" s="78" t="s">
        <v>3380</v>
      </c>
      <c r="D1916" s="219" t="s">
        <v>3914</v>
      </c>
      <c r="E1916" s="322" t="s">
        <v>4685</v>
      </c>
      <c r="F1916" s="267">
        <v>80</v>
      </c>
      <c r="G1916" s="222"/>
      <c r="H1916" s="186"/>
      <c r="I1916" s="295">
        <v>3</v>
      </c>
      <c r="J1916" s="308"/>
      <c r="K1916" s="227">
        <v>1</v>
      </c>
      <c r="L1916" s="82">
        <f t="shared" si="774"/>
        <v>2</v>
      </c>
      <c r="M1916" s="331">
        <v>2</v>
      </c>
      <c r="N1916" s="161">
        <f t="shared" si="793"/>
        <v>160</v>
      </c>
      <c r="O1916" s="161">
        <f t="shared" si="794"/>
        <v>160</v>
      </c>
      <c r="P1916" s="187">
        <f t="shared" si="795"/>
        <v>0</v>
      </c>
      <c r="Q1916" s="161">
        <f t="shared" si="796"/>
        <v>0</v>
      </c>
      <c r="R1916" s="85"/>
      <c r="S1916" s="86"/>
      <c r="T1916" s="87"/>
    </row>
    <row r="1917" spans="2:20" ht="20.100000000000001" hidden="1" customHeight="1">
      <c r="B1917" s="77">
        <v>15</v>
      </c>
      <c r="C1917" s="78" t="s">
        <v>3380</v>
      </c>
      <c r="D1917" s="219" t="s">
        <v>3902</v>
      </c>
      <c r="E1917" s="322" t="s">
        <v>4497</v>
      </c>
      <c r="F1917" s="267">
        <v>35</v>
      </c>
      <c r="G1917" s="222"/>
      <c r="H1917" s="186"/>
      <c r="I1917" s="295">
        <v>6</v>
      </c>
      <c r="J1917" s="308"/>
      <c r="K1917" s="227">
        <v>2</v>
      </c>
      <c r="L1917" s="82">
        <f t="shared" si="774"/>
        <v>4</v>
      </c>
      <c r="M1917" s="331">
        <v>4</v>
      </c>
      <c r="N1917" s="161">
        <f t="shared" si="793"/>
        <v>140</v>
      </c>
      <c r="O1917" s="161">
        <f t="shared" si="794"/>
        <v>140</v>
      </c>
      <c r="P1917" s="187">
        <f t="shared" si="795"/>
        <v>0</v>
      </c>
      <c r="Q1917" s="161">
        <f t="shared" si="796"/>
        <v>0</v>
      </c>
      <c r="R1917" s="85"/>
      <c r="S1917" s="86"/>
      <c r="T1917" s="87"/>
    </row>
    <row r="1918" spans="2:20" ht="20.100000000000001" hidden="1" customHeight="1">
      <c r="B1918" s="77">
        <v>15</v>
      </c>
      <c r="C1918" s="78" t="s">
        <v>3380</v>
      </c>
      <c r="D1918" s="219" t="s">
        <v>3862</v>
      </c>
      <c r="E1918" s="322" t="s">
        <v>4836</v>
      </c>
      <c r="F1918" s="267">
        <v>40</v>
      </c>
      <c r="G1918" s="222"/>
      <c r="H1918" s="186"/>
      <c r="I1918" s="295">
        <v>6</v>
      </c>
      <c r="J1918" s="308"/>
      <c r="K1918" s="227">
        <v>2</v>
      </c>
      <c r="L1918" s="82">
        <f t="shared" si="774"/>
        <v>4</v>
      </c>
      <c r="M1918" s="331">
        <v>4</v>
      </c>
      <c r="N1918" s="161">
        <f t="shared" si="793"/>
        <v>160</v>
      </c>
      <c r="O1918" s="161">
        <f t="shared" si="794"/>
        <v>160</v>
      </c>
      <c r="P1918" s="187">
        <f t="shared" si="795"/>
        <v>0</v>
      </c>
      <c r="Q1918" s="161">
        <f t="shared" si="796"/>
        <v>0</v>
      </c>
      <c r="R1918" s="85"/>
      <c r="S1918" s="86"/>
      <c r="T1918" s="87"/>
    </row>
    <row r="1919" spans="2:20" ht="20.100000000000001" hidden="1" customHeight="1">
      <c r="B1919" s="77">
        <v>15</v>
      </c>
      <c r="C1919" s="78" t="s">
        <v>3380</v>
      </c>
      <c r="D1919" s="219" t="s">
        <v>4760</v>
      </c>
      <c r="E1919" s="322" t="s">
        <v>4837</v>
      </c>
      <c r="F1919" s="267">
        <v>55</v>
      </c>
      <c r="G1919" s="222"/>
      <c r="H1919" s="186"/>
      <c r="I1919" s="295">
        <v>6</v>
      </c>
      <c r="J1919" s="308"/>
      <c r="K1919" s="227"/>
      <c r="L1919" s="82">
        <f t="shared" si="774"/>
        <v>6</v>
      </c>
      <c r="M1919" s="331">
        <v>6</v>
      </c>
      <c r="N1919" s="161">
        <f t="shared" si="793"/>
        <v>330</v>
      </c>
      <c r="O1919" s="161">
        <f t="shared" si="794"/>
        <v>330</v>
      </c>
      <c r="P1919" s="187">
        <f t="shared" si="795"/>
        <v>0</v>
      </c>
      <c r="Q1919" s="161">
        <f t="shared" si="796"/>
        <v>0</v>
      </c>
      <c r="R1919" s="85"/>
      <c r="S1919" s="86"/>
      <c r="T1919" s="87"/>
    </row>
    <row r="1920" spans="2:20" ht="20.100000000000001" hidden="1" customHeight="1">
      <c r="B1920" s="77">
        <v>15</v>
      </c>
      <c r="C1920" s="78" t="s">
        <v>3380</v>
      </c>
      <c r="D1920" s="219" t="s">
        <v>4761</v>
      </c>
      <c r="E1920" s="266" t="s">
        <v>4706</v>
      </c>
      <c r="F1920" s="267">
        <v>550</v>
      </c>
      <c r="G1920" s="222"/>
      <c r="H1920" s="186"/>
      <c r="I1920" s="295">
        <v>1</v>
      </c>
      <c r="J1920" s="308"/>
      <c r="K1920" s="227"/>
      <c r="L1920" s="82">
        <f t="shared" si="774"/>
        <v>1</v>
      </c>
      <c r="M1920" s="331">
        <v>1</v>
      </c>
      <c r="N1920" s="161">
        <f t="shared" si="793"/>
        <v>550</v>
      </c>
      <c r="O1920" s="161">
        <f t="shared" si="794"/>
        <v>550</v>
      </c>
      <c r="P1920" s="187">
        <f t="shared" si="795"/>
        <v>0</v>
      </c>
      <c r="Q1920" s="161">
        <f t="shared" si="796"/>
        <v>0</v>
      </c>
      <c r="R1920" s="85"/>
      <c r="S1920" s="86"/>
      <c r="T1920" s="87"/>
    </row>
    <row r="1921" spans="2:20" ht="20.100000000000001" hidden="1" customHeight="1">
      <c r="B1921" s="77">
        <v>15</v>
      </c>
      <c r="C1921" s="78" t="s">
        <v>3380</v>
      </c>
      <c r="D1921" s="219" t="s">
        <v>3915</v>
      </c>
      <c r="E1921" s="266" t="s">
        <v>4686</v>
      </c>
      <c r="F1921" s="267">
        <v>250</v>
      </c>
      <c r="G1921" s="222"/>
      <c r="H1921" s="186"/>
      <c r="I1921" s="295">
        <v>1</v>
      </c>
      <c r="J1921" s="308"/>
      <c r="K1921" s="227">
        <v>1</v>
      </c>
      <c r="L1921" s="82">
        <f t="shared" si="774"/>
        <v>0</v>
      </c>
      <c r="M1921" s="331"/>
      <c r="N1921" s="161">
        <f t="shared" si="793"/>
        <v>0</v>
      </c>
      <c r="O1921" s="161">
        <f t="shared" si="794"/>
        <v>0</v>
      </c>
      <c r="P1921" s="187">
        <f t="shared" si="795"/>
        <v>0</v>
      </c>
      <c r="Q1921" s="161">
        <f t="shared" si="796"/>
        <v>0</v>
      </c>
      <c r="R1921" s="85"/>
      <c r="S1921" s="86"/>
      <c r="T1921" s="87"/>
    </row>
    <row r="1922" spans="2:20" ht="20.100000000000001" hidden="1" customHeight="1">
      <c r="B1922" s="77">
        <v>15</v>
      </c>
      <c r="C1922" s="78" t="s">
        <v>3380</v>
      </c>
      <c r="D1922" s="219" t="s">
        <v>4762</v>
      </c>
      <c r="E1922" s="266" t="s">
        <v>4707</v>
      </c>
      <c r="F1922" s="267">
        <v>190</v>
      </c>
      <c r="G1922" s="222"/>
      <c r="H1922" s="186"/>
      <c r="I1922" s="295">
        <v>1</v>
      </c>
      <c r="J1922" s="308"/>
      <c r="K1922" s="227"/>
      <c r="L1922" s="82">
        <f t="shared" si="774"/>
        <v>1</v>
      </c>
      <c r="M1922" s="331">
        <v>1</v>
      </c>
      <c r="N1922" s="161">
        <f t="shared" si="793"/>
        <v>190</v>
      </c>
      <c r="O1922" s="161">
        <f t="shared" si="794"/>
        <v>190</v>
      </c>
      <c r="P1922" s="187">
        <f t="shared" si="795"/>
        <v>0</v>
      </c>
      <c r="Q1922" s="161">
        <f t="shared" si="796"/>
        <v>0</v>
      </c>
      <c r="R1922" s="85"/>
      <c r="S1922" s="86"/>
      <c r="T1922" s="87"/>
    </row>
    <row r="1923" spans="2:20" ht="20.100000000000001" hidden="1" customHeight="1">
      <c r="B1923" s="77">
        <v>15</v>
      </c>
      <c r="C1923" s="78" t="s">
        <v>3380</v>
      </c>
      <c r="D1923" s="219" t="s">
        <v>4763</v>
      </c>
      <c r="E1923" s="266" t="s">
        <v>4708</v>
      </c>
      <c r="F1923" s="267">
        <v>400</v>
      </c>
      <c r="G1923" s="222"/>
      <c r="H1923" s="186"/>
      <c r="I1923" s="295">
        <v>1</v>
      </c>
      <c r="J1923" s="308"/>
      <c r="K1923" s="227"/>
      <c r="L1923" s="82">
        <f t="shared" si="774"/>
        <v>1</v>
      </c>
      <c r="M1923" s="331">
        <v>1</v>
      </c>
      <c r="N1923" s="161">
        <f t="shared" si="793"/>
        <v>400</v>
      </c>
      <c r="O1923" s="161">
        <f t="shared" si="794"/>
        <v>400</v>
      </c>
      <c r="P1923" s="187">
        <f t="shared" si="795"/>
        <v>0</v>
      </c>
      <c r="Q1923" s="161">
        <f t="shared" si="796"/>
        <v>0</v>
      </c>
      <c r="R1923" s="85"/>
      <c r="S1923" s="86"/>
      <c r="T1923" s="87"/>
    </row>
    <row r="1924" spans="2:20" ht="20.100000000000001" hidden="1" customHeight="1">
      <c r="B1924" s="77">
        <v>15</v>
      </c>
      <c r="C1924" s="78" t="s">
        <v>3380</v>
      </c>
      <c r="D1924" s="219" t="s">
        <v>4764</v>
      </c>
      <c r="E1924" s="266" t="s">
        <v>4709</v>
      </c>
      <c r="F1924" s="267">
        <v>300</v>
      </c>
      <c r="G1924" s="222"/>
      <c r="H1924" s="186"/>
      <c r="I1924" s="295">
        <v>2</v>
      </c>
      <c r="J1924" s="308"/>
      <c r="K1924" s="227"/>
      <c r="L1924" s="82">
        <f t="shared" si="774"/>
        <v>2</v>
      </c>
      <c r="M1924" s="331">
        <v>2</v>
      </c>
      <c r="N1924" s="161">
        <f t="shared" si="793"/>
        <v>600</v>
      </c>
      <c r="O1924" s="161">
        <f t="shared" si="794"/>
        <v>600</v>
      </c>
      <c r="P1924" s="187">
        <f t="shared" si="795"/>
        <v>0</v>
      </c>
      <c r="Q1924" s="161">
        <f t="shared" si="796"/>
        <v>0</v>
      </c>
      <c r="R1924" s="85"/>
      <c r="S1924" s="86"/>
      <c r="T1924" s="87"/>
    </row>
    <row r="1925" spans="2:20" ht="20.100000000000001" hidden="1" customHeight="1">
      <c r="B1925" s="77">
        <v>15</v>
      </c>
      <c r="C1925" s="78" t="s">
        <v>3380</v>
      </c>
      <c r="D1925" s="219" t="s">
        <v>4765</v>
      </c>
      <c r="E1925" s="266" t="s">
        <v>4710</v>
      </c>
      <c r="F1925" s="267">
        <v>50</v>
      </c>
      <c r="G1925" s="222"/>
      <c r="H1925" s="186"/>
      <c r="I1925" s="295">
        <v>24</v>
      </c>
      <c r="J1925" s="308"/>
      <c r="K1925" s="227"/>
      <c r="L1925" s="82">
        <f t="shared" si="774"/>
        <v>24</v>
      </c>
      <c r="M1925" s="331">
        <v>24</v>
      </c>
      <c r="N1925" s="161">
        <f t="shared" si="793"/>
        <v>1200</v>
      </c>
      <c r="O1925" s="161">
        <f t="shared" si="794"/>
        <v>1200</v>
      </c>
      <c r="P1925" s="187">
        <f t="shared" si="795"/>
        <v>0</v>
      </c>
      <c r="Q1925" s="161">
        <f t="shared" si="796"/>
        <v>0</v>
      </c>
      <c r="R1925" s="85"/>
      <c r="S1925" s="86"/>
      <c r="T1925" s="87"/>
    </row>
    <row r="1926" spans="2:20" ht="20.100000000000001" hidden="1" customHeight="1">
      <c r="B1926" s="77">
        <v>15</v>
      </c>
      <c r="C1926" s="78" t="s">
        <v>3380</v>
      </c>
      <c r="D1926" s="219" t="s">
        <v>4766</v>
      </c>
      <c r="E1926" s="266" t="s">
        <v>4711</v>
      </c>
      <c r="F1926" s="267">
        <v>65</v>
      </c>
      <c r="G1926" s="222"/>
      <c r="H1926" s="186"/>
      <c r="I1926" s="295">
        <v>5</v>
      </c>
      <c r="J1926" s="308"/>
      <c r="K1926" s="227"/>
      <c r="L1926" s="82">
        <f t="shared" si="774"/>
        <v>5</v>
      </c>
      <c r="M1926" s="331">
        <v>5</v>
      </c>
      <c r="N1926" s="161">
        <f t="shared" si="793"/>
        <v>325</v>
      </c>
      <c r="O1926" s="161">
        <f t="shared" si="794"/>
        <v>325</v>
      </c>
      <c r="P1926" s="187">
        <f t="shared" si="795"/>
        <v>0</v>
      </c>
      <c r="Q1926" s="161">
        <f t="shared" si="796"/>
        <v>0</v>
      </c>
      <c r="R1926" s="85"/>
      <c r="S1926" s="86"/>
      <c r="T1926" s="87"/>
    </row>
    <row r="1927" spans="2:20" ht="20.100000000000001" hidden="1" customHeight="1">
      <c r="B1927" s="77">
        <v>15</v>
      </c>
      <c r="C1927" s="78" t="s">
        <v>3380</v>
      </c>
      <c r="D1927" s="219" t="s">
        <v>4767</v>
      </c>
      <c r="E1927" s="266" t="s">
        <v>4712</v>
      </c>
      <c r="F1927" s="267">
        <v>300</v>
      </c>
      <c r="G1927" s="222"/>
      <c r="H1927" s="186"/>
      <c r="I1927" s="295">
        <v>2</v>
      </c>
      <c r="J1927" s="308"/>
      <c r="K1927" s="227"/>
      <c r="L1927" s="82">
        <f t="shared" si="774"/>
        <v>2</v>
      </c>
      <c r="M1927" s="331">
        <v>2</v>
      </c>
      <c r="N1927" s="161">
        <f t="shared" si="793"/>
        <v>600</v>
      </c>
      <c r="O1927" s="161">
        <f t="shared" si="794"/>
        <v>600</v>
      </c>
      <c r="P1927" s="187">
        <f t="shared" si="795"/>
        <v>0</v>
      </c>
      <c r="Q1927" s="161">
        <f t="shared" si="796"/>
        <v>0</v>
      </c>
      <c r="R1927" s="85"/>
      <c r="S1927" s="86"/>
      <c r="T1927" s="87"/>
    </row>
    <row r="1928" spans="2:20" ht="20.100000000000001" hidden="1" customHeight="1">
      <c r="B1928" s="77">
        <v>15</v>
      </c>
      <c r="C1928" s="78" t="s">
        <v>3380</v>
      </c>
      <c r="D1928" s="219" t="s">
        <v>3863</v>
      </c>
      <c r="E1928" s="266" t="s">
        <v>4113</v>
      </c>
      <c r="F1928" s="267">
        <v>50</v>
      </c>
      <c r="G1928" s="222"/>
      <c r="H1928" s="186"/>
      <c r="I1928" s="295">
        <v>25</v>
      </c>
      <c r="J1928" s="308"/>
      <c r="K1928" s="227">
        <v>20</v>
      </c>
      <c r="L1928" s="82">
        <f t="shared" si="774"/>
        <v>5</v>
      </c>
      <c r="M1928" s="331">
        <v>5</v>
      </c>
      <c r="N1928" s="161">
        <f t="shared" si="793"/>
        <v>250</v>
      </c>
      <c r="O1928" s="161">
        <f t="shared" si="794"/>
        <v>250</v>
      </c>
      <c r="P1928" s="187">
        <f t="shared" si="795"/>
        <v>0</v>
      </c>
      <c r="Q1928" s="161">
        <f t="shared" si="796"/>
        <v>0</v>
      </c>
      <c r="R1928" s="85"/>
      <c r="S1928" s="86"/>
      <c r="T1928" s="87"/>
    </row>
    <row r="1929" spans="2:20" ht="20.100000000000001" hidden="1" customHeight="1">
      <c r="B1929" s="77">
        <v>15</v>
      </c>
      <c r="C1929" s="78" t="s">
        <v>3380</v>
      </c>
      <c r="D1929" s="219" t="s">
        <v>3864</v>
      </c>
      <c r="E1929" s="266" t="s">
        <v>4114</v>
      </c>
      <c r="F1929" s="267">
        <v>60</v>
      </c>
      <c r="G1929" s="222"/>
      <c r="H1929" s="186"/>
      <c r="I1929" s="295">
        <v>25</v>
      </c>
      <c r="J1929" s="308"/>
      <c r="K1929" s="227">
        <v>25</v>
      </c>
      <c r="L1929" s="82">
        <f t="shared" si="774"/>
        <v>0</v>
      </c>
      <c r="M1929" s="331"/>
      <c r="N1929" s="161">
        <f t="shared" si="793"/>
        <v>0</v>
      </c>
      <c r="O1929" s="161">
        <f t="shared" si="794"/>
        <v>0</v>
      </c>
      <c r="P1929" s="187">
        <f t="shared" si="795"/>
        <v>0</v>
      </c>
      <c r="Q1929" s="161">
        <f t="shared" si="796"/>
        <v>0</v>
      </c>
      <c r="R1929" s="85"/>
      <c r="S1929" s="86"/>
      <c r="T1929" s="87"/>
    </row>
    <row r="1930" spans="2:20" ht="20.100000000000001" hidden="1" customHeight="1">
      <c r="B1930" s="77">
        <v>15</v>
      </c>
      <c r="C1930" s="78" t="s">
        <v>3380</v>
      </c>
      <c r="D1930" s="219" t="s">
        <v>3865</v>
      </c>
      <c r="E1930" s="266" t="s">
        <v>4115</v>
      </c>
      <c r="F1930" s="267">
        <v>40</v>
      </c>
      <c r="G1930" s="222"/>
      <c r="H1930" s="186"/>
      <c r="I1930" s="295">
        <v>25</v>
      </c>
      <c r="J1930" s="308"/>
      <c r="K1930" s="227">
        <v>25</v>
      </c>
      <c r="L1930" s="82">
        <f t="shared" si="774"/>
        <v>0</v>
      </c>
      <c r="M1930" s="331"/>
      <c r="N1930" s="161">
        <f t="shared" si="793"/>
        <v>0</v>
      </c>
      <c r="O1930" s="161">
        <f t="shared" si="794"/>
        <v>0</v>
      </c>
      <c r="P1930" s="187">
        <f t="shared" si="795"/>
        <v>0</v>
      </c>
      <c r="Q1930" s="161">
        <f t="shared" si="796"/>
        <v>0</v>
      </c>
      <c r="R1930" s="85"/>
      <c r="S1930" s="86"/>
      <c r="T1930" s="87"/>
    </row>
    <row r="1931" spans="2:20" ht="20.100000000000001" hidden="1" customHeight="1">
      <c r="B1931" s="77">
        <v>15</v>
      </c>
      <c r="C1931" s="78" t="s">
        <v>3380</v>
      </c>
      <c r="D1931" s="219" t="s">
        <v>3866</v>
      </c>
      <c r="E1931" s="266" t="s">
        <v>4116</v>
      </c>
      <c r="F1931" s="267">
        <v>47</v>
      </c>
      <c r="G1931" s="222"/>
      <c r="H1931" s="186"/>
      <c r="I1931" s="295">
        <v>25</v>
      </c>
      <c r="J1931" s="308"/>
      <c r="K1931" s="227">
        <v>23</v>
      </c>
      <c r="L1931" s="82">
        <f t="shared" si="774"/>
        <v>2</v>
      </c>
      <c r="M1931" s="331">
        <v>2</v>
      </c>
      <c r="N1931" s="161">
        <f t="shared" si="793"/>
        <v>94</v>
      </c>
      <c r="O1931" s="161">
        <f t="shared" si="794"/>
        <v>94</v>
      </c>
      <c r="P1931" s="187">
        <f t="shared" si="795"/>
        <v>0</v>
      </c>
      <c r="Q1931" s="161">
        <f t="shared" si="796"/>
        <v>0</v>
      </c>
      <c r="R1931" s="85"/>
      <c r="S1931" s="86"/>
      <c r="T1931" s="87"/>
    </row>
    <row r="1932" spans="2:20" ht="20.100000000000001" hidden="1" customHeight="1">
      <c r="B1932" s="77">
        <v>15</v>
      </c>
      <c r="C1932" s="78" t="s">
        <v>3380</v>
      </c>
      <c r="D1932" s="219" t="s">
        <v>3867</v>
      </c>
      <c r="E1932" s="266" t="s">
        <v>4117</v>
      </c>
      <c r="F1932" s="267">
        <v>90</v>
      </c>
      <c r="G1932" s="222"/>
      <c r="H1932" s="186"/>
      <c r="I1932" s="295">
        <v>8</v>
      </c>
      <c r="J1932" s="308"/>
      <c r="K1932" s="227">
        <v>1</v>
      </c>
      <c r="L1932" s="82">
        <f t="shared" si="774"/>
        <v>7</v>
      </c>
      <c r="M1932" s="331">
        <v>7</v>
      </c>
      <c r="N1932" s="161">
        <f t="shared" si="793"/>
        <v>630</v>
      </c>
      <c r="O1932" s="161">
        <f t="shared" si="794"/>
        <v>630</v>
      </c>
      <c r="P1932" s="187">
        <f t="shared" si="795"/>
        <v>0</v>
      </c>
      <c r="Q1932" s="161">
        <f t="shared" si="796"/>
        <v>0</v>
      </c>
      <c r="R1932" s="85"/>
      <c r="S1932" s="86"/>
      <c r="T1932" s="87"/>
    </row>
    <row r="1933" spans="2:20" ht="20.100000000000001" hidden="1" customHeight="1">
      <c r="B1933" s="77">
        <v>15</v>
      </c>
      <c r="C1933" s="78" t="s">
        <v>3380</v>
      </c>
      <c r="D1933" s="219" t="s">
        <v>3868</v>
      </c>
      <c r="E1933" s="266" t="s">
        <v>4118</v>
      </c>
      <c r="F1933" s="267">
        <v>190</v>
      </c>
      <c r="G1933" s="222"/>
      <c r="H1933" s="186"/>
      <c r="I1933" s="295">
        <v>5</v>
      </c>
      <c r="J1933" s="308"/>
      <c r="K1933" s="227">
        <v>3</v>
      </c>
      <c r="L1933" s="82">
        <f t="shared" si="774"/>
        <v>2</v>
      </c>
      <c r="M1933" s="331">
        <v>2</v>
      </c>
      <c r="N1933" s="161">
        <f t="shared" si="793"/>
        <v>380</v>
      </c>
      <c r="O1933" s="161">
        <f t="shared" si="794"/>
        <v>380</v>
      </c>
      <c r="P1933" s="187">
        <f t="shared" si="795"/>
        <v>0</v>
      </c>
      <c r="Q1933" s="161">
        <f t="shared" si="796"/>
        <v>0</v>
      </c>
      <c r="R1933" s="85"/>
      <c r="S1933" s="86"/>
      <c r="T1933" s="87"/>
    </row>
    <row r="1934" spans="2:20" ht="20.100000000000001" hidden="1" customHeight="1">
      <c r="B1934" s="77">
        <v>15</v>
      </c>
      <c r="C1934" s="78" t="s">
        <v>3380</v>
      </c>
      <c r="D1934" s="219" t="s">
        <v>3859</v>
      </c>
      <c r="E1934" s="266" t="s">
        <v>4108</v>
      </c>
      <c r="F1934" s="267">
        <v>195</v>
      </c>
      <c r="G1934" s="222"/>
      <c r="H1934" s="186"/>
      <c r="I1934" s="295">
        <v>5</v>
      </c>
      <c r="J1934" s="308"/>
      <c r="K1934" s="227">
        <v>4</v>
      </c>
      <c r="L1934" s="82">
        <f t="shared" si="774"/>
        <v>1</v>
      </c>
      <c r="M1934" s="331">
        <v>1</v>
      </c>
      <c r="N1934" s="161">
        <f t="shared" si="793"/>
        <v>195</v>
      </c>
      <c r="O1934" s="161">
        <f t="shared" si="794"/>
        <v>195</v>
      </c>
      <c r="P1934" s="187">
        <f t="shared" si="795"/>
        <v>0</v>
      </c>
      <c r="Q1934" s="161">
        <f t="shared" si="796"/>
        <v>0</v>
      </c>
      <c r="R1934" s="85"/>
      <c r="S1934" s="86"/>
      <c r="T1934" s="87"/>
    </row>
    <row r="1935" spans="2:20" ht="20.100000000000001" hidden="1" customHeight="1">
      <c r="B1935" s="77">
        <v>15</v>
      </c>
      <c r="C1935" s="78" t="s">
        <v>3380</v>
      </c>
      <c r="D1935" s="219" t="s">
        <v>3879</v>
      </c>
      <c r="E1935" s="266" t="s">
        <v>4254</v>
      </c>
      <c r="F1935" s="267">
        <v>280</v>
      </c>
      <c r="G1935" s="222"/>
      <c r="H1935" s="186"/>
      <c r="I1935" s="295">
        <v>4</v>
      </c>
      <c r="J1935" s="308"/>
      <c r="K1935" s="227">
        <v>1</v>
      </c>
      <c r="L1935" s="82">
        <f t="shared" si="774"/>
        <v>3</v>
      </c>
      <c r="M1935" s="331">
        <v>3</v>
      </c>
      <c r="N1935" s="161">
        <f t="shared" si="793"/>
        <v>840</v>
      </c>
      <c r="O1935" s="161">
        <f t="shared" si="794"/>
        <v>840</v>
      </c>
      <c r="P1935" s="187">
        <f t="shared" si="795"/>
        <v>0</v>
      </c>
      <c r="Q1935" s="161">
        <f t="shared" si="796"/>
        <v>0</v>
      </c>
      <c r="R1935" s="85"/>
      <c r="S1935" s="86"/>
      <c r="T1935" s="87"/>
    </row>
    <row r="1936" spans="2:20" ht="20.100000000000001" hidden="1" customHeight="1">
      <c r="B1936" s="77">
        <v>15</v>
      </c>
      <c r="C1936" s="78" t="s">
        <v>3380</v>
      </c>
      <c r="D1936" s="219" t="s">
        <v>3901</v>
      </c>
      <c r="E1936" s="266" t="s">
        <v>4496</v>
      </c>
      <c r="F1936" s="267">
        <v>225</v>
      </c>
      <c r="G1936" s="222"/>
      <c r="H1936" s="186"/>
      <c r="I1936" s="295">
        <v>2</v>
      </c>
      <c r="J1936" s="308"/>
      <c r="K1936" s="227">
        <v>1</v>
      </c>
      <c r="L1936" s="82">
        <f t="shared" si="774"/>
        <v>1</v>
      </c>
      <c r="M1936" s="331">
        <v>1</v>
      </c>
      <c r="N1936" s="161">
        <f t="shared" si="793"/>
        <v>225</v>
      </c>
      <c r="O1936" s="161">
        <f t="shared" si="794"/>
        <v>225</v>
      </c>
      <c r="P1936" s="187">
        <f t="shared" si="795"/>
        <v>0</v>
      </c>
      <c r="Q1936" s="161">
        <f t="shared" si="796"/>
        <v>0</v>
      </c>
      <c r="R1936" s="85"/>
      <c r="S1936" s="86"/>
      <c r="T1936" s="87"/>
    </row>
    <row r="1937" spans="2:21" ht="20.100000000000001" hidden="1" customHeight="1">
      <c r="B1937" s="77">
        <v>15</v>
      </c>
      <c r="C1937" s="78" t="s">
        <v>3380</v>
      </c>
      <c r="D1937" s="219" t="s">
        <v>4768</v>
      </c>
      <c r="E1937" s="266" t="s">
        <v>4713</v>
      </c>
      <c r="F1937" s="267">
        <v>225</v>
      </c>
      <c r="G1937" s="222"/>
      <c r="H1937" s="186"/>
      <c r="I1937" s="295">
        <v>2</v>
      </c>
      <c r="J1937" s="308"/>
      <c r="K1937" s="227"/>
      <c r="L1937" s="82">
        <f t="shared" si="774"/>
        <v>2</v>
      </c>
      <c r="M1937" s="331">
        <v>2</v>
      </c>
      <c r="N1937" s="161">
        <f t="shared" si="793"/>
        <v>450</v>
      </c>
      <c r="O1937" s="161">
        <f t="shared" si="794"/>
        <v>450</v>
      </c>
      <c r="P1937" s="187">
        <f t="shared" si="795"/>
        <v>0</v>
      </c>
      <c r="Q1937" s="161">
        <f t="shared" si="796"/>
        <v>0</v>
      </c>
      <c r="R1937" s="85"/>
      <c r="S1937" s="86"/>
      <c r="T1937" s="87"/>
    </row>
    <row r="1938" spans="2:21" ht="20.100000000000001" hidden="1" customHeight="1">
      <c r="B1938" s="77">
        <v>15</v>
      </c>
      <c r="C1938" s="78" t="s">
        <v>3380</v>
      </c>
      <c r="D1938" s="219" t="s">
        <v>4769</v>
      </c>
      <c r="E1938" s="266" t="s">
        <v>4714</v>
      </c>
      <c r="F1938" s="267">
        <v>350</v>
      </c>
      <c r="G1938" s="222"/>
      <c r="H1938" s="186"/>
      <c r="I1938" s="295">
        <v>2</v>
      </c>
      <c r="J1938" s="308"/>
      <c r="K1938" s="227"/>
      <c r="L1938" s="82">
        <f t="shared" si="774"/>
        <v>2</v>
      </c>
      <c r="M1938" s="331">
        <v>2</v>
      </c>
      <c r="N1938" s="161">
        <f t="shared" si="793"/>
        <v>700</v>
      </c>
      <c r="O1938" s="161">
        <f t="shared" si="794"/>
        <v>700</v>
      </c>
      <c r="P1938" s="187">
        <f t="shared" si="795"/>
        <v>0</v>
      </c>
      <c r="Q1938" s="161">
        <f t="shared" si="796"/>
        <v>0</v>
      </c>
      <c r="R1938" s="85"/>
      <c r="S1938" s="86"/>
      <c r="T1938" s="87"/>
    </row>
    <row r="1939" spans="2:21" ht="20.100000000000001" hidden="1" customHeight="1">
      <c r="B1939" s="77">
        <v>15</v>
      </c>
      <c r="C1939" s="78" t="s">
        <v>3380</v>
      </c>
      <c r="D1939" s="219" t="s">
        <v>3861</v>
      </c>
      <c r="E1939" s="266" t="s">
        <v>4110</v>
      </c>
      <c r="F1939" s="267">
        <v>23</v>
      </c>
      <c r="G1939" s="222"/>
      <c r="H1939" s="186"/>
      <c r="I1939" s="295">
        <v>13</v>
      </c>
      <c r="J1939" s="308"/>
      <c r="K1939" s="227">
        <v>12</v>
      </c>
      <c r="L1939" s="82">
        <f t="shared" si="774"/>
        <v>1</v>
      </c>
      <c r="M1939" s="331">
        <v>1</v>
      </c>
      <c r="N1939" s="161">
        <f t="shared" si="793"/>
        <v>23</v>
      </c>
      <c r="O1939" s="161">
        <f t="shared" si="794"/>
        <v>23</v>
      </c>
      <c r="P1939" s="187">
        <f t="shared" si="795"/>
        <v>0</v>
      </c>
      <c r="Q1939" s="161">
        <f t="shared" si="796"/>
        <v>0</v>
      </c>
      <c r="R1939" s="85"/>
      <c r="S1939" s="86"/>
      <c r="T1939" s="87"/>
    </row>
    <row r="1940" spans="2:21" ht="20.100000000000001" hidden="1" customHeight="1">
      <c r="B1940" s="77">
        <v>15</v>
      </c>
      <c r="C1940" s="78" t="s">
        <v>3380</v>
      </c>
      <c r="D1940" s="219" t="s">
        <v>4770</v>
      </c>
      <c r="E1940" s="266" t="s">
        <v>4715</v>
      </c>
      <c r="F1940" s="267">
        <v>21</v>
      </c>
      <c r="G1940" s="222"/>
      <c r="H1940" s="186"/>
      <c r="I1940" s="295">
        <v>1</v>
      </c>
      <c r="J1940" s="308"/>
      <c r="K1940" s="227"/>
      <c r="L1940" s="82">
        <f t="shared" si="774"/>
        <v>1</v>
      </c>
      <c r="M1940" s="331">
        <v>1</v>
      </c>
      <c r="N1940" s="161">
        <f t="shared" si="793"/>
        <v>21</v>
      </c>
      <c r="O1940" s="161">
        <f t="shared" si="794"/>
        <v>21</v>
      </c>
      <c r="P1940" s="187">
        <f t="shared" si="795"/>
        <v>0</v>
      </c>
      <c r="Q1940" s="161">
        <f t="shared" si="796"/>
        <v>0</v>
      </c>
      <c r="R1940" s="85"/>
      <c r="S1940" s="86"/>
      <c r="T1940" s="87"/>
    </row>
    <row r="1941" spans="2:21" ht="20.100000000000001" hidden="1" customHeight="1">
      <c r="B1941" s="77">
        <v>15</v>
      </c>
      <c r="C1941" s="78" t="s">
        <v>3380</v>
      </c>
      <c r="D1941" s="219" t="s">
        <v>3860</v>
      </c>
      <c r="E1941" s="266" t="s">
        <v>4109</v>
      </c>
      <c r="F1941" s="267">
        <v>34</v>
      </c>
      <c r="G1941" s="222"/>
      <c r="H1941" s="186"/>
      <c r="I1941" s="295">
        <v>6</v>
      </c>
      <c r="J1941" s="308"/>
      <c r="K1941" s="227">
        <v>6</v>
      </c>
      <c r="L1941" s="82">
        <f t="shared" si="774"/>
        <v>0</v>
      </c>
      <c r="M1941" s="331"/>
      <c r="N1941" s="161">
        <f t="shared" si="793"/>
        <v>0</v>
      </c>
      <c r="O1941" s="161">
        <f t="shared" si="794"/>
        <v>0</v>
      </c>
      <c r="P1941" s="187">
        <f t="shared" si="795"/>
        <v>0</v>
      </c>
      <c r="Q1941" s="161">
        <f t="shared" si="796"/>
        <v>0</v>
      </c>
      <c r="R1941" s="85"/>
      <c r="S1941" s="86"/>
      <c r="T1941" s="87"/>
    </row>
    <row r="1942" spans="2:21" ht="20.100000000000001" hidden="1" customHeight="1">
      <c r="B1942" s="77">
        <v>18</v>
      </c>
      <c r="C1942" s="78" t="s">
        <v>3469</v>
      </c>
      <c r="D1942" s="79" t="s">
        <v>3470</v>
      </c>
      <c r="E1942" s="80" t="s">
        <v>3471</v>
      </c>
      <c r="F1942" s="81">
        <v>84</v>
      </c>
      <c r="G1942" s="222">
        <v>2</v>
      </c>
      <c r="H1942" s="186"/>
      <c r="I1942" s="186"/>
      <c r="J1942" s="308"/>
      <c r="K1942" s="227"/>
      <c r="L1942" s="82">
        <f t="shared" si="774"/>
        <v>2</v>
      </c>
      <c r="M1942" s="331">
        <v>2</v>
      </c>
      <c r="N1942" s="161">
        <f t="shared" si="788"/>
        <v>168</v>
      </c>
      <c r="O1942" s="161">
        <f t="shared" si="789"/>
        <v>168</v>
      </c>
      <c r="P1942" s="187">
        <f t="shared" si="790"/>
        <v>0</v>
      </c>
      <c r="Q1942" s="161">
        <f t="shared" si="791"/>
        <v>0</v>
      </c>
      <c r="R1942" s="85"/>
      <c r="S1942" s="86">
        <f t="shared" si="780"/>
        <v>3</v>
      </c>
      <c r="T1942" s="87">
        <f t="shared" si="779"/>
        <v>-1</v>
      </c>
      <c r="U1942">
        <v>3</v>
      </c>
    </row>
    <row r="1943" spans="2:21" ht="20.100000000000001" hidden="1" customHeight="1">
      <c r="B1943" s="77">
        <v>18</v>
      </c>
      <c r="C1943" s="78" t="s">
        <v>3469</v>
      </c>
      <c r="D1943" s="79" t="s">
        <v>3472</v>
      </c>
      <c r="E1943" s="80" t="s">
        <v>3473</v>
      </c>
      <c r="F1943" s="81">
        <v>83</v>
      </c>
      <c r="G1943" s="222">
        <v>1</v>
      </c>
      <c r="H1943" s="186"/>
      <c r="I1943" s="186"/>
      <c r="J1943" s="308"/>
      <c r="K1943" s="227"/>
      <c r="L1943" s="82">
        <f t="shared" si="774"/>
        <v>1</v>
      </c>
      <c r="M1943" s="331">
        <v>1</v>
      </c>
      <c r="N1943" s="161">
        <f t="shared" si="788"/>
        <v>83</v>
      </c>
      <c r="O1943" s="161">
        <f t="shared" si="789"/>
        <v>83</v>
      </c>
      <c r="P1943" s="187">
        <f t="shared" si="790"/>
        <v>0</v>
      </c>
      <c r="Q1943" s="161">
        <f t="shared" si="791"/>
        <v>0</v>
      </c>
      <c r="R1943" s="85"/>
      <c r="S1943" s="86">
        <f t="shared" si="780"/>
        <v>1</v>
      </c>
      <c r="T1943" s="87">
        <f t="shared" si="779"/>
        <v>0</v>
      </c>
      <c r="U1943">
        <v>1</v>
      </c>
    </row>
    <row r="1944" spans="2:21" ht="20.100000000000001" hidden="1" customHeight="1">
      <c r="B1944" s="77">
        <v>18</v>
      </c>
      <c r="C1944" s="78" t="s">
        <v>3469</v>
      </c>
      <c r="D1944" s="79" t="s">
        <v>3472</v>
      </c>
      <c r="E1944" s="80" t="s">
        <v>3473</v>
      </c>
      <c r="F1944" s="81">
        <v>105</v>
      </c>
      <c r="G1944" s="222">
        <v>32</v>
      </c>
      <c r="H1944" s="186"/>
      <c r="I1944" s="186"/>
      <c r="J1944" s="308"/>
      <c r="K1944" s="227"/>
      <c r="L1944" s="82">
        <f t="shared" si="774"/>
        <v>32</v>
      </c>
      <c r="M1944" s="331">
        <v>32</v>
      </c>
      <c r="N1944" s="161">
        <f t="shared" si="788"/>
        <v>3360</v>
      </c>
      <c r="O1944" s="161">
        <f t="shared" si="789"/>
        <v>3360</v>
      </c>
      <c r="P1944" s="187">
        <f t="shared" si="790"/>
        <v>0</v>
      </c>
      <c r="Q1944" s="161">
        <f t="shared" si="791"/>
        <v>0</v>
      </c>
      <c r="R1944" s="85"/>
      <c r="S1944" s="86">
        <f t="shared" si="780"/>
        <v>32</v>
      </c>
      <c r="T1944" s="87">
        <f t="shared" si="779"/>
        <v>0</v>
      </c>
      <c r="U1944">
        <v>32</v>
      </c>
    </row>
    <row r="1945" spans="2:21" ht="20.100000000000001" hidden="1" customHeight="1">
      <c r="B1945" s="77">
        <v>18</v>
      </c>
      <c r="C1945" s="78" t="s">
        <v>3469</v>
      </c>
      <c r="D1945" s="79" t="s">
        <v>3474</v>
      </c>
      <c r="E1945" s="80" t="s">
        <v>3475</v>
      </c>
      <c r="F1945" s="81">
        <v>89.4</v>
      </c>
      <c r="G1945" s="222">
        <v>15</v>
      </c>
      <c r="H1945" s="186"/>
      <c r="I1945" s="186"/>
      <c r="J1945" s="308"/>
      <c r="K1945" s="227"/>
      <c r="L1945" s="82">
        <f t="shared" si="774"/>
        <v>15</v>
      </c>
      <c r="M1945" s="331">
        <v>15</v>
      </c>
      <c r="N1945" s="161">
        <f t="shared" si="788"/>
        <v>1341</v>
      </c>
      <c r="O1945" s="161">
        <f t="shared" si="789"/>
        <v>1341</v>
      </c>
      <c r="P1945" s="187">
        <f t="shared" si="790"/>
        <v>0</v>
      </c>
      <c r="Q1945" s="161">
        <f t="shared" si="791"/>
        <v>0</v>
      </c>
      <c r="R1945" s="85"/>
      <c r="S1945" s="86">
        <f t="shared" si="780"/>
        <v>15</v>
      </c>
      <c r="T1945" s="87">
        <f t="shared" si="779"/>
        <v>0</v>
      </c>
      <c r="U1945">
        <v>15</v>
      </c>
    </row>
    <row r="1946" spans="2:21" ht="20.100000000000001" hidden="1" customHeight="1">
      <c r="B1946" s="77">
        <v>18</v>
      </c>
      <c r="C1946" s="78" t="s">
        <v>3469</v>
      </c>
      <c r="D1946" s="79" t="s">
        <v>3476</v>
      </c>
      <c r="E1946" s="80" t="s">
        <v>3477</v>
      </c>
      <c r="F1946" s="81">
        <v>168</v>
      </c>
      <c r="G1946" s="222">
        <v>5</v>
      </c>
      <c r="H1946" s="186"/>
      <c r="I1946" s="186"/>
      <c r="J1946" s="308"/>
      <c r="K1946" s="227"/>
      <c r="L1946" s="82">
        <f t="shared" si="774"/>
        <v>5</v>
      </c>
      <c r="M1946" s="331">
        <v>5</v>
      </c>
      <c r="N1946" s="161">
        <f t="shared" si="788"/>
        <v>840</v>
      </c>
      <c r="O1946" s="161">
        <f t="shared" si="789"/>
        <v>840</v>
      </c>
      <c r="P1946" s="187">
        <f t="shared" si="790"/>
        <v>0</v>
      </c>
      <c r="Q1946" s="161">
        <f t="shared" si="791"/>
        <v>0</v>
      </c>
      <c r="R1946" s="85"/>
      <c r="S1946" s="86">
        <f t="shared" si="780"/>
        <v>5</v>
      </c>
      <c r="T1946" s="87">
        <f t="shared" si="779"/>
        <v>0</v>
      </c>
      <c r="U1946">
        <v>5</v>
      </c>
    </row>
    <row r="1947" spans="2:21" ht="20.100000000000001" hidden="1" customHeight="1">
      <c r="B1947" s="77">
        <v>18</v>
      </c>
      <c r="C1947" s="78" t="s">
        <v>3469</v>
      </c>
      <c r="D1947" s="79" t="s">
        <v>3478</v>
      </c>
      <c r="E1947" s="80" t="s">
        <v>3479</v>
      </c>
      <c r="F1947" s="81">
        <v>89.4</v>
      </c>
      <c r="G1947" s="222">
        <v>15</v>
      </c>
      <c r="H1947" s="186"/>
      <c r="I1947" s="186"/>
      <c r="J1947" s="308"/>
      <c r="K1947" s="227"/>
      <c r="L1947" s="82">
        <f t="shared" si="774"/>
        <v>15</v>
      </c>
      <c r="M1947" s="331">
        <v>15</v>
      </c>
      <c r="N1947" s="161">
        <f t="shared" si="788"/>
        <v>1341</v>
      </c>
      <c r="O1947" s="161">
        <f t="shared" si="789"/>
        <v>1341</v>
      </c>
      <c r="P1947" s="187">
        <f t="shared" si="790"/>
        <v>0</v>
      </c>
      <c r="Q1947" s="161">
        <f t="shared" si="791"/>
        <v>0</v>
      </c>
      <c r="R1947" s="85"/>
      <c r="S1947" s="86">
        <f t="shared" si="780"/>
        <v>15</v>
      </c>
      <c r="T1947" s="87">
        <f t="shared" si="779"/>
        <v>0</v>
      </c>
      <c r="U1947">
        <v>15</v>
      </c>
    </row>
    <row r="1948" spans="2:21" ht="20.100000000000001" hidden="1" customHeight="1">
      <c r="B1948" s="77">
        <v>18</v>
      </c>
      <c r="C1948" s="78" t="s">
        <v>3469</v>
      </c>
      <c r="D1948" s="79" t="s">
        <v>3480</v>
      </c>
      <c r="E1948" s="80" t="s">
        <v>3481</v>
      </c>
      <c r="F1948" s="81">
        <v>168</v>
      </c>
      <c r="G1948" s="222"/>
      <c r="H1948" s="186"/>
      <c r="I1948" s="186"/>
      <c r="J1948" s="308"/>
      <c r="K1948" s="227"/>
      <c r="L1948" s="82">
        <f t="shared" si="774"/>
        <v>0</v>
      </c>
      <c r="M1948" s="331"/>
      <c r="N1948" s="161">
        <f t="shared" si="788"/>
        <v>0</v>
      </c>
      <c r="O1948" s="161">
        <f t="shared" si="789"/>
        <v>0</v>
      </c>
      <c r="P1948" s="187">
        <f t="shared" si="790"/>
        <v>0</v>
      </c>
      <c r="Q1948" s="161">
        <f t="shared" si="791"/>
        <v>0</v>
      </c>
      <c r="R1948" s="85"/>
      <c r="S1948" s="86">
        <f t="shared" si="780"/>
        <v>0</v>
      </c>
      <c r="T1948" s="87">
        <f t="shared" si="779"/>
        <v>0</v>
      </c>
    </row>
    <row r="1949" spans="2:21" ht="20.100000000000001" hidden="1" customHeight="1">
      <c r="B1949" s="77">
        <v>18</v>
      </c>
      <c r="C1949" s="78" t="s">
        <v>3469</v>
      </c>
      <c r="D1949" s="79" t="s">
        <v>3480</v>
      </c>
      <c r="E1949" s="80" t="s">
        <v>3481</v>
      </c>
      <c r="F1949" s="81">
        <v>168</v>
      </c>
      <c r="G1949" s="222">
        <v>6</v>
      </c>
      <c r="H1949" s="186"/>
      <c r="I1949" s="186"/>
      <c r="J1949" s="308"/>
      <c r="K1949" s="227"/>
      <c r="L1949" s="82">
        <f t="shared" si="774"/>
        <v>6</v>
      </c>
      <c r="M1949" s="331">
        <v>6</v>
      </c>
      <c r="N1949" s="161">
        <f t="shared" si="788"/>
        <v>1008</v>
      </c>
      <c r="O1949" s="161">
        <f t="shared" si="789"/>
        <v>1008</v>
      </c>
      <c r="P1949" s="187">
        <f t="shared" si="790"/>
        <v>0</v>
      </c>
      <c r="Q1949" s="161">
        <f t="shared" si="791"/>
        <v>0</v>
      </c>
      <c r="R1949" s="85"/>
      <c r="S1949" s="86">
        <f t="shared" si="780"/>
        <v>6</v>
      </c>
      <c r="T1949" s="87">
        <f t="shared" si="779"/>
        <v>0</v>
      </c>
      <c r="U1949">
        <v>6</v>
      </c>
    </row>
    <row r="1950" spans="2:21" ht="20.100000000000001" hidden="1" customHeight="1">
      <c r="B1950" s="77">
        <v>18</v>
      </c>
      <c r="C1950" s="78" t="s">
        <v>3469</v>
      </c>
      <c r="D1950" s="79" t="s">
        <v>3482</v>
      </c>
      <c r="E1950" s="80" t="s">
        <v>3483</v>
      </c>
      <c r="F1950" s="81">
        <v>105</v>
      </c>
      <c r="G1950" s="222">
        <v>14</v>
      </c>
      <c r="H1950" s="186"/>
      <c r="I1950" s="186"/>
      <c r="J1950" s="308"/>
      <c r="K1950" s="227"/>
      <c r="L1950" s="82">
        <f t="shared" si="774"/>
        <v>14</v>
      </c>
      <c r="M1950" s="331">
        <v>14</v>
      </c>
      <c r="N1950" s="161">
        <f t="shared" si="775"/>
        <v>1470</v>
      </c>
      <c r="O1950" s="161">
        <f t="shared" si="776"/>
        <v>1470</v>
      </c>
      <c r="P1950" s="187">
        <f t="shared" si="777"/>
        <v>0</v>
      </c>
      <c r="Q1950" s="161">
        <f t="shared" si="778"/>
        <v>0</v>
      </c>
      <c r="R1950" s="85"/>
      <c r="S1950" s="86">
        <f t="shared" si="780"/>
        <v>14</v>
      </c>
      <c r="T1950" s="87">
        <f t="shared" si="779"/>
        <v>0</v>
      </c>
      <c r="U1950">
        <v>14</v>
      </c>
    </row>
    <row r="1951" spans="2:21" ht="20.100000000000001" hidden="1" customHeight="1">
      <c r="B1951" s="77">
        <v>18</v>
      </c>
      <c r="C1951" s="78" t="s">
        <v>3469</v>
      </c>
      <c r="D1951" s="79" t="s">
        <v>3484</v>
      </c>
      <c r="E1951" s="80" t="s">
        <v>3485</v>
      </c>
      <c r="F1951" s="81">
        <v>36</v>
      </c>
      <c r="G1951" s="222"/>
      <c r="H1951" s="186"/>
      <c r="I1951" s="186"/>
      <c r="J1951" s="308"/>
      <c r="K1951" s="227"/>
      <c r="L1951" s="82">
        <f t="shared" si="774"/>
        <v>0</v>
      </c>
      <c r="M1951" s="331">
        <v>0</v>
      </c>
      <c r="N1951" s="161">
        <f t="shared" si="775"/>
        <v>0</v>
      </c>
      <c r="O1951" s="161">
        <f t="shared" si="776"/>
        <v>0</v>
      </c>
      <c r="P1951" s="187">
        <f t="shared" si="777"/>
        <v>0</v>
      </c>
      <c r="Q1951" s="161">
        <f t="shared" si="778"/>
        <v>0</v>
      </c>
      <c r="R1951" s="85"/>
      <c r="S1951" s="86">
        <f t="shared" si="780"/>
        <v>0</v>
      </c>
      <c r="T1951" s="87">
        <f t="shared" si="779"/>
        <v>0</v>
      </c>
    </row>
    <row r="1952" spans="2:21" ht="20.100000000000001" hidden="1" customHeight="1">
      <c r="B1952" s="77">
        <v>18</v>
      </c>
      <c r="C1952" s="78" t="s">
        <v>3469</v>
      </c>
      <c r="D1952" s="79" t="s">
        <v>3486</v>
      </c>
      <c r="E1952" s="80" t="s">
        <v>3487</v>
      </c>
      <c r="F1952" s="81">
        <v>84</v>
      </c>
      <c r="G1952" s="222">
        <v>15</v>
      </c>
      <c r="H1952" s="186"/>
      <c r="I1952" s="186"/>
      <c r="J1952" s="308"/>
      <c r="K1952" s="227"/>
      <c r="L1952" s="82">
        <f t="shared" si="774"/>
        <v>15</v>
      </c>
      <c r="M1952" s="331">
        <v>15</v>
      </c>
      <c r="N1952" s="161">
        <f t="shared" si="775"/>
        <v>1260</v>
      </c>
      <c r="O1952" s="161">
        <f t="shared" si="776"/>
        <v>1260</v>
      </c>
      <c r="P1952" s="187">
        <f t="shared" si="777"/>
        <v>0</v>
      </c>
      <c r="Q1952" s="161">
        <f t="shared" si="778"/>
        <v>0</v>
      </c>
      <c r="R1952" s="85"/>
      <c r="S1952" s="86">
        <f t="shared" si="780"/>
        <v>15</v>
      </c>
      <c r="T1952" s="87">
        <f t="shared" si="779"/>
        <v>0</v>
      </c>
      <c r="U1952">
        <v>15</v>
      </c>
    </row>
    <row r="1953" spans="2:21" ht="20.100000000000001" hidden="1" customHeight="1">
      <c r="B1953" s="77">
        <v>18</v>
      </c>
      <c r="C1953" s="78" t="s">
        <v>3469</v>
      </c>
      <c r="D1953" s="79" t="s">
        <v>3488</v>
      </c>
      <c r="E1953" s="80" t="s">
        <v>3489</v>
      </c>
      <c r="F1953" s="81">
        <v>105</v>
      </c>
      <c r="G1953" s="222">
        <v>16</v>
      </c>
      <c r="H1953" s="186"/>
      <c r="I1953" s="186"/>
      <c r="J1953" s="308"/>
      <c r="K1953" s="227"/>
      <c r="L1953" s="82">
        <f t="shared" si="774"/>
        <v>16</v>
      </c>
      <c r="M1953" s="331">
        <v>16</v>
      </c>
      <c r="N1953" s="161">
        <f t="shared" si="775"/>
        <v>1680</v>
      </c>
      <c r="O1953" s="161">
        <f t="shared" si="776"/>
        <v>1680</v>
      </c>
      <c r="P1953" s="187">
        <f t="shared" si="777"/>
        <v>0</v>
      </c>
      <c r="Q1953" s="161">
        <f t="shared" si="778"/>
        <v>0</v>
      </c>
      <c r="R1953" s="85"/>
      <c r="S1953" s="86">
        <f t="shared" si="780"/>
        <v>16</v>
      </c>
      <c r="T1953" s="87">
        <f t="shared" si="779"/>
        <v>0</v>
      </c>
      <c r="U1953">
        <v>16</v>
      </c>
    </row>
    <row r="1954" spans="2:21" ht="20.100000000000001" hidden="1" customHeight="1">
      <c r="B1954" s="77">
        <v>23</v>
      </c>
      <c r="C1954" s="78" t="s">
        <v>3490</v>
      </c>
      <c r="D1954" s="79" t="s">
        <v>3491</v>
      </c>
      <c r="E1954" s="80" t="s">
        <v>3492</v>
      </c>
      <c r="F1954" s="81">
        <v>178</v>
      </c>
      <c r="G1954" s="222">
        <v>2</v>
      </c>
      <c r="H1954" s="186"/>
      <c r="I1954" s="186"/>
      <c r="J1954" s="308"/>
      <c r="K1954" s="227"/>
      <c r="L1954" s="82">
        <f t="shared" si="774"/>
        <v>2</v>
      </c>
      <c r="M1954" s="331">
        <v>2</v>
      </c>
      <c r="N1954" s="161">
        <f t="shared" si="775"/>
        <v>356</v>
      </c>
      <c r="O1954" s="161">
        <f t="shared" si="776"/>
        <v>356</v>
      </c>
      <c r="P1954" s="187">
        <f t="shared" si="777"/>
        <v>0</v>
      </c>
      <c r="Q1954" s="161">
        <f t="shared" si="778"/>
        <v>0</v>
      </c>
      <c r="R1954" s="85"/>
      <c r="S1954" s="86">
        <f t="shared" si="780"/>
        <v>2</v>
      </c>
      <c r="T1954" s="87">
        <f t="shared" si="779"/>
        <v>0</v>
      </c>
      <c r="U1954">
        <v>2</v>
      </c>
    </row>
    <row r="1955" spans="2:21" ht="20.100000000000001" hidden="1" customHeight="1">
      <c r="B1955" s="77">
        <v>23</v>
      </c>
      <c r="C1955" s="78" t="s">
        <v>3490</v>
      </c>
      <c r="D1955" s="79" t="s">
        <v>3493</v>
      </c>
      <c r="E1955" s="80" t="s">
        <v>3494</v>
      </c>
      <c r="F1955" s="81">
        <v>7</v>
      </c>
      <c r="G1955" s="222">
        <v>7</v>
      </c>
      <c r="H1955" s="186"/>
      <c r="I1955" s="186"/>
      <c r="J1955" s="308"/>
      <c r="K1955" s="227"/>
      <c r="L1955" s="82">
        <f t="shared" si="774"/>
        <v>7</v>
      </c>
      <c r="M1955" s="331">
        <v>7</v>
      </c>
      <c r="N1955" s="161">
        <f t="shared" si="775"/>
        <v>49</v>
      </c>
      <c r="O1955" s="161">
        <f t="shared" si="776"/>
        <v>49</v>
      </c>
      <c r="P1955" s="187">
        <f t="shared" si="777"/>
        <v>0</v>
      </c>
      <c r="Q1955" s="161">
        <f t="shared" si="778"/>
        <v>0</v>
      </c>
      <c r="R1955" s="85"/>
      <c r="S1955" s="86">
        <f t="shared" si="780"/>
        <v>0</v>
      </c>
      <c r="T1955" s="87">
        <f t="shared" si="779"/>
        <v>7</v>
      </c>
    </row>
    <row r="1956" spans="2:21" ht="20.100000000000001" hidden="1" customHeight="1">
      <c r="B1956" s="77">
        <v>23</v>
      </c>
      <c r="C1956" s="78" t="s">
        <v>3490</v>
      </c>
      <c r="D1956" s="79" t="s">
        <v>3495</v>
      </c>
      <c r="E1956" s="80" t="s">
        <v>3496</v>
      </c>
      <c r="F1956" s="81">
        <v>3</v>
      </c>
      <c r="G1956" s="222">
        <v>15</v>
      </c>
      <c r="H1956" s="186"/>
      <c r="I1956" s="186"/>
      <c r="J1956" s="308"/>
      <c r="K1956" s="227"/>
      <c r="L1956" s="82">
        <f t="shared" si="774"/>
        <v>15</v>
      </c>
      <c r="M1956" s="331">
        <v>15</v>
      </c>
      <c r="N1956" s="161">
        <f t="shared" si="775"/>
        <v>45</v>
      </c>
      <c r="O1956" s="161">
        <f t="shared" si="776"/>
        <v>45</v>
      </c>
      <c r="P1956" s="187">
        <f t="shared" si="777"/>
        <v>0</v>
      </c>
      <c r="Q1956" s="161">
        <f t="shared" si="778"/>
        <v>0</v>
      </c>
      <c r="R1956" s="85"/>
      <c r="S1956" s="86">
        <f t="shared" si="780"/>
        <v>12</v>
      </c>
      <c r="T1956" s="87">
        <f t="shared" si="779"/>
        <v>3</v>
      </c>
      <c r="U1956">
        <v>12</v>
      </c>
    </row>
    <row r="1957" spans="2:21" ht="20.100000000000001" hidden="1" customHeight="1">
      <c r="B1957" s="77">
        <v>23</v>
      </c>
      <c r="C1957" s="78" t="s">
        <v>3490</v>
      </c>
      <c r="D1957" s="79" t="s">
        <v>3497</v>
      </c>
      <c r="E1957" s="80" t="s">
        <v>3498</v>
      </c>
      <c r="F1957" s="81">
        <v>118</v>
      </c>
      <c r="G1957" s="222">
        <v>1</v>
      </c>
      <c r="H1957" s="186"/>
      <c r="I1957" s="186"/>
      <c r="J1957" s="308"/>
      <c r="K1957" s="227"/>
      <c r="L1957" s="82">
        <f t="shared" si="774"/>
        <v>1</v>
      </c>
      <c r="M1957" s="331">
        <v>1</v>
      </c>
      <c r="N1957" s="161">
        <f t="shared" si="775"/>
        <v>118</v>
      </c>
      <c r="O1957" s="161">
        <f t="shared" si="776"/>
        <v>118</v>
      </c>
      <c r="P1957" s="187">
        <f t="shared" si="777"/>
        <v>0</v>
      </c>
      <c r="Q1957" s="161">
        <f t="shared" si="778"/>
        <v>0</v>
      </c>
      <c r="R1957" s="85"/>
      <c r="S1957" s="86">
        <f t="shared" si="780"/>
        <v>1</v>
      </c>
      <c r="T1957" s="87">
        <f t="shared" si="779"/>
        <v>0</v>
      </c>
      <c r="U1957">
        <v>1</v>
      </c>
    </row>
    <row r="1958" spans="2:21" ht="20.100000000000001" hidden="1" customHeight="1">
      <c r="B1958" s="77">
        <v>23</v>
      </c>
      <c r="C1958" s="78" t="s">
        <v>3490</v>
      </c>
      <c r="D1958" s="79" t="s">
        <v>3499</v>
      </c>
      <c r="E1958" s="80" t="s">
        <v>3500</v>
      </c>
      <c r="F1958" s="81">
        <v>4</v>
      </c>
      <c r="G1958" s="222"/>
      <c r="H1958" s="186"/>
      <c r="I1958" s="186"/>
      <c r="J1958" s="308"/>
      <c r="K1958" s="227"/>
      <c r="L1958" s="82">
        <f t="shared" si="774"/>
        <v>0</v>
      </c>
      <c r="M1958" s="331"/>
      <c r="N1958" s="161">
        <f t="shared" si="775"/>
        <v>0</v>
      </c>
      <c r="O1958" s="161">
        <f t="shared" si="776"/>
        <v>0</v>
      </c>
      <c r="P1958" s="187">
        <f t="shared" si="777"/>
        <v>0</v>
      </c>
      <c r="Q1958" s="161">
        <f t="shared" si="778"/>
        <v>0</v>
      </c>
      <c r="R1958" s="85"/>
      <c r="S1958" s="86">
        <f t="shared" si="780"/>
        <v>0</v>
      </c>
      <c r="T1958" s="87">
        <f t="shared" si="779"/>
        <v>0</v>
      </c>
    </row>
    <row r="1959" spans="2:21" ht="20.100000000000001" hidden="1" customHeight="1">
      <c r="B1959" s="77">
        <v>23</v>
      </c>
      <c r="C1959" s="78" t="s">
        <v>3490</v>
      </c>
      <c r="D1959" s="79" t="s">
        <v>3501</v>
      </c>
      <c r="E1959" s="80" t="s">
        <v>3502</v>
      </c>
      <c r="F1959" s="81">
        <v>2</v>
      </c>
      <c r="G1959" s="222"/>
      <c r="H1959" s="186"/>
      <c r="I1959" s="186"/>
      <c r="J1959" s="308"/>
      <c r="K1959" s="227"/>
      <c r="L1959" s="82">
        <f t="shared" si="774"/>
        <v>0</v>
      </c>
      <c r="M1959" s="331"/>
      <c r="N1959" s="161">
        <f t="shared" si="775"/>
        <v>0</v>
      </c>
      <c r="O1959" s="161">
        <f t="shared" si="776"/>
        <v>0</v>
      </c>
      <c r="P1959" s="187">
        <f t="shared" si="777"/>
        <v>0</v>
      </c>
      <c r="Q1959" s="161">
        <f t="shared" si="778"/>
        <v>0</v>
      </c>
      <c r="R1959" s="85"/>
      <c r="S1959" s="86">
        <f t="shared" si="780"/>
        <v>0</v>
      </c>
      <c r="T1959" s="87">
        <f t="shared" si="779"/>
        <v>0</v>
      </c>
    </row>
    <row r="1960" spans="2:21" ht="20.100000000000001" hidden="1" customHeight="1">
      <c r="B1960" s="77">
        <v>23</v>
      </c>
      <c r="C1960" s="78" t="s">
        <v>3490</v>
      </c>
      <c r="D1960" s="79" t="s">
        <v>3503</v>
      </c>
      <c r="E1960" s="80" t="s">
        <v>3504</v>
      </c>
      <c r="F1960" s="81">
        <v>8</v>
      </c>
      <c r="G1960" s="222"/>
      <c r="H1960" s="186"/>
      <c r="I1960" s="186"/>
      <c r="J1960" s="308"/>
      <c r="K1960" s="227"/>
      <c r="L1960" s="82">
        <f t="shared" si="774"/>
        <v>0</v>
      </c>
      <c r="M1960" s="331"/>
      <c r="N1960" s="161">
        <f t="shared" si="775"/>
        <v>0</v>
      </c>
      <c r="O1960" s="161">
        <f t="shared" si="776"/>
        <v>0</v>
      </c>
      <c r="P1960" s="187">
        <f t="shared" si="777"/>
        <v>0</v>
      </c>
      <c r="Q1960" s="161">
        <f t="shared" si="778"/>
        <v>0</v>
      </c>
      <c r="R1960" s="85"/>
      <c r="S1960" s="86">
        <f t="shared" si="780"/>
        <v>0</v>
      </c>
      <c r="T1960" s="87">
        <f t="shared" si="779"/>
        <v>0</v>
      </c>
    </row>
    <row r="1961" spans="2:21" ht="20.100000000000001" hidden="1" customHeight="1">
      <c r="B1961" s="77">
        <v>23</v>
      </c>
      <c r="C1961" s="78" t="s">
        <v>3490</v>
      </c>
      <c r="D1961" s="79" t="s">
        <v>3505</v>
      </c>
      <c r="E1961" s="80" t="s">
        <v>3506</v>
      </c>
      <c r="F1961" s="81">
        <v>8</v>
      </c>
      <c r="G1961" s="222"/>
      <c r="H1961" s="186"/>
      <c r="I1961" s="186"/>
      <c r="J1961" s="308"/>
      <c r="K1961" s="227"/>
      <c r="L1961" s="82">
        <f t="shared" si="774"/>
        <v>0</v>
      </c>
      <c r="M1961" s="331"/>
      <c r="N1961" s="161">
        <f t="shared" si="775"/>
        <v>0</v>
      </c>
      <c r="O1961" s="161">
        <f t="shared" si="776"/>
        <v>0</v>
      </c>
      <c r="P1961" s="187">
        <f t="shared" si="777"/>
        <v>0</v>
      </c>
      <c r="Q1961" s="161">
        <f t="shared" si="778"/>
        <v>0</v>
      </c>
      <c r="R1961" s="85"/>
      <c r="S1961" s="86">
        <f t="shared" si="780"/>
        <v>0</v>
      </c>
      <c r="T1961" s="87">
        <f t="shared" si="779"/>
        <v>0</v>
      </c>
    </row>
    <row r="1962" spans="2:21" ht="20.100000000000001" hidden="1" customHeight="1">
      <c r="B1962" s="77">
        <v>23</v>
      </c>
      <c r="C1962" s="78" t="s">
        <v>3490</v>
      </c>
      <c r="D1962" s="79" t="s">
        <v>3507</v>
      </c>
      <c r="E1962" s="80" t="s">
        <v>3508</v>
      </c>
      <c r="F1962" s="81">
        <v>7</v>
      </c>
      <c r="G1962" s="222">
        <v>25</v>
      </c>
      <c r="H1962" s="186"/>
      <c r="I1962" s="186"/>
      <c r="J1962" s="308"/>
      <c r="K1962" s="227"/>
      <c r="L1962" s="82">
        <f t="shared" si="774"/>
        <v>25</v>
      </c>
      <c r="M1962" s="331">
        <v>25</v>
      </c>
      <c r="N1962" s="161">
        <f t="shared" si="775"/>
        <v>175</v>
      </c>
      <c r="O1962" s="161">
        <f t="shared" si="776"/>
        <v>175</v>
      </c>
      <c r="P1962" s="187">
        <f t="shared" si="777"/>
        <v>0</v>
      </c>
      <c r="Q1962" s="161">
        <f t="shared" si="778"/>
        <v>0</v>
      </c>
      <c r="R1962" s="85"/>
      <c r="S1962" s="86">
        <f t="shared" si="780"/>
        <v>25</v>
      </c>
      <c r="T1962" s="87">
        <f t="shared" si="779"/>
        <v>0</v>
      </c>
      <c r="U1962">
        <v>25</v>
      </c>
    </row>
    <row r="1963" spans="2:21" ht="20.100000000000001" hidden="1" customHeight="1">
      <c r="B1963" s="77">
        <v>23</v>
      </c>
      <c r="C1963" s="78" t="s">
        <v>3490</v>
      </c>
      <c r="D1963" s="79" t="s">
        <v>3509</v>
      </c>
      <c r="E1963" s="80" t="s">
        <v>3510</v>
      </c>
      <c r="F1963" s="81">
        <v>7</v>
      </c>
      <c r="G1963" s="222">
        <v>37</v>
      </c>
      <c r="H1963" s="186"/>
      <c r="I1963" s="186"/>
      <c r="J1963" s="308"/>
      <c r="K1963" s="227"/>
      <c r="L1963" s="82">
        <f t="shared" si="774"/>
        <v>37</v>
      </c>
      <c r="M1963" s="331">
        <v>37</v>
      </c>
      <c r="N1963" s="161">
        <f t="shared" si="775"/>
        <v>259</v>
      </c>
      <c r="O1963" s="161">
        <f t="shared" si="776"/>
        <v>259</v>
      </c>
      <c r="P1963" s="187">
        <f t="shared" si="777"/>
        <v>0</v>
      </c>
      <c r="Q1963" s="161">
        <f t="shared" si="778"/>
        <v>0</v>
      </c>
      <c r="R1963" s="85"/>
      <c r="S1963" s="86">
        <f t="shared" si="780"/>
        <v>37</v>
      </c>
      <c r="T1963" s="87">
        <f t="shared" si="779"/>
        <v>0</v>
      </c>
      <c r="U1963">
        <v>37</v>
      </c>
    </row>
    <row r="1964" spans="2:21" ht="20.100000000000001" hidden="1" customHeight="1">
      <c r="B1964" s="77">
        <v>23</v>
      </c>
      <c r="C1964" s="78" t="s">
        <v>3490</v>
      </c>
      <c r="D1964" s="79" t="s">
        <v>3511</v>
      </c>
      <c r="E1964" s="80" t="s">
        <v>3512</v>
      </c>
      <c r="F1964" s="81">
        <v>22</v>
      </c>
      <c r="G1964" s="222"/>
      <c r="H1964" s="186"/>
      <c r="I1964" s="186"/>
      <c r="J1964" s="308"/>
      <c r="K1964" s="227"/>
      <c r="L1964" s="82">
        <f t="shared" si="774"/>
        <v>0</v>
      </c>
      <c r="M1964" s="331"/>
      <c r="N1964" s="161">
        <f t="shared" si="775"/>
        <v>0</v>
      </c>
      <c r="O1964" s="161">
        <f t="shared" si="776"/>
        <v>0</v>
      </c>
      <c r="P1964" s="187">
        <f t="shared" si="777"/>
        <v>0</v>
      </c>
      <c r="Q1964" s="161">
        <f t="shared" si="778"/>
        <v>0</v>
      </c>
      <c r="R1964" s="85"/>
      <c r="S1964" s="86">
        <f t="shared" si="780"/>
        <v>0</v>
      </c>
      <c r="T1964" s="87">
        <f t="shared" si="779"/>
        <v>0</v>
      </c>
    </row>
    <row r="1965" spans="2:21" ht="20.100000000000001" hidden="1" customHeight="1">
      <c r="B1965" s="77">
        <v>23</v>
      </c>
      <c r="C1965" s="78" t="s">
        <v>3490</v>
      </c>
      <c r="D1965" s="79" t="s">
        <v>3513</v>
      </c>
      <c r="E1965" s="80" t="s">
        <v>3514</v>
      </c>
      <c r="F1965" s="81">
        <v>18</v>
      </c>
      <c r="G1965" s="222">
        <v>7</v>
      </c>
      <c r="H1965" s="186"/>
      <c r="I1965" s="186"/>
      <c r="J1965" s="308"/>
      <c r="K1965" s="227"/>
      <c r="L1965" s="82">
        <f t="shared" si="774"/>
        <v>7</v>
      </c>
      <c r="M1965" s="331">
        <v>7</v>
      </c>
      <c r="N1965" s="161">
        <f t="shared" si="775"/>
        <v>126</v>
      </c>
      <c r="O1965" s="161">
        <f t="shared" si="776"/>
        <v>126</v>
      </c>
      <c r="P1965" s="187">
        <f t="shared" si="777"/>
        <v>0</v>
      </c>
      <c r="Q1965" s="161">
        <f t="shared" si="778"/>
        <v>0</v>
      </c>
      <c r="R1965" s="85"/>
      <c r="S1965" s="86">
        <f t="shared" si="780"/>
        <v>7</v>
      </c>
      <c r="T1965" s="87">
        <f t="shared" si="779"/>
        <v>0</v>
      </c>
      <c r="U1965">
        <v>7</v>
      </c>
    </row>
    <row r="1966" spans="2:21" ht="20.100000000000001" customHeight="1">
      <c r="B1966" s="77">
        <v>23</v>
      </c>
      <c r="C1966" s="78" t="s">
        <v>3490</v>
      </c>
      <c r="D1966" s="79" t="s">
        <v>3515</v>
      </c>
      <c r="E1966" s="80" t="s">
        <v>3516</v>
      </c>
      <c r="F1966" s="81">
        <v>13</v>
      </c>
      <c r="G1966" s="222">
        <v>8</v>
      </c>
      <c r="H1966" s="186"/>
      <c r="I1966" s="186"/>
      <c r="J1966" s="308"/>
      <c r="K1966" s="227"/>
      <c r="L1966" s="82">
        <f t="shared" si="774"/>
        <v>8</v>
      </c>
      <c r="M1966" s="331">
        <v>7</v>
      </c>
      <c r="N1966" s="161">
        <f t="shared" ref="N1966:N2028" si="797">F1966*L1966</f>
        <v>104</v>
      </c>
      <c r="O1966" s="161">
        <f t="shared" ref="O1966:O2028" si="798">M1966*F1966</f>
        <v>91</v>
      </c>
      <c r="P1966" s="187">
        <f t="shared" ref="P1966:P2026" si="799">L1966-M1966</f>
        <v>1</v>
      </c>
      <c r="Q1966" s="161">
        <f t="shared" ref="Q1966:Q2026" si="800">N1966-O1966</f>
        <v>13</v>
      </c>
      <c r="R1966" s="85"/>
      <c r="S1966" s="86">
        <f t="shared" si="780"/>
        <v>6</v>
      </c>
      <c r="T1966" s="87">
        <f t="shared" ref="T1966:T2063" si="801">M1966-S1966</f>
        <v>1</v>
      </c>
      <c r="U1966">
        <v>6</v>
      </c>
    </row>
    <row r="1967" spans="2:21" ht="20.100000000000001" hidden="1" customHeight="1">
      <c r="B1967" s="77">
        <v>23</v>
      </c>
      <c r="C1967" s="78" t="s">
        <v>3490</v>
      </c>
      <c r="D1967" s="79" t="s">
        <v>3517</v>
      </c>
      <c r="E1967" s="80" t="s">
        <v>3518</v>
      </c>
      <c r="F1967" s="81">
        <v>13</v>
      </c>
      <c r="G1967" s="222">
        <v>1</v>
      </c>
      <c r="H1967" s="186"/>
      <c r="I1967" s="186"/>
      <c r="J1967" s="308"/>
      <c r="K1967" s="227"/>
      <c r="L1967" s="82">
        <f t="shared" ref="L1967:L2030" si="802">G1967+I1967-J1967-K1967+H1967</f>
        <v>1</v>
      </c>
      <c r="M1967" s="331">
        <v>1</v>
      </c>
      <c r="N1967" s="161">
        <f t="shared" si="797"/>
        <v>13</v>
      </c>
      <c r="O1967" s="161">
        <f t="shared" si="798"/>
        <v>13</v>
      </c>
      <c r="P1967" s="187">
        <f t="shared" si="799"/>
        <v>0</v>
      </c>
      <c r="Q1967" s="161">
        <f t="shared" si="800"/>
        <v>0</v>
      </c>
      <c r="R1967" s="85"/>
      <c r="S1967" s="86">
        <f t="shared" ref="S1967:S2024" si="803">U1967+Y1967+W1967+AA1967</f>
        <v>1</v>
      </c>
      <c r="T1967" s="87">
        <f t="shared" si="801"/>
        <v>0</v>
      </c>
      <c r="U1967">
        <v>1</v>
      </c>
    </row>
    <row r="1968" spans="2:21" ht="20.100000000000001" hidden="1" customHeight="1">
      <c r="B1968" s="77">
        <v>23</v>
      </c>
      <c r="C1968" s="78" t="s">
        <v>3490</v>
      </c>
      <c r="D1968" s="79" t="s">
        <v>3519</v>
      </c>
      <c r="E1968" s="80" t="s">
        <v>3520</v>
      </c>
      <c r="F1968" s="81">
        <v>7</v>
      </c>
      <c r="G1968" s="222"/>
      <c r="H1968" s="186"/>
      <c r="I1968" s="186"/>
      <c r="J1968" s="308"/>
      <c r="K1968" s="227"/>
      <c r="L1968" s="82">
        <f t="shared" si="802"/>
        <v>0</v>
      </c>
      <c r="M1968" s="331"/>
      <c r="N1968" s="161">
        <f t="shared" si="797"/>
        <v>0</v>
      </c>
      <c r="O1968" s="161">
        <f t="shared" si="798"/>
        <v>0</v>
      </c>
      <c r="P1968" s="187">
        <f t="shared" si="799"/>
        <v>0</v>
      </c>
      <c r="Q1968" s="161">
        <f t="shared" si="800"/>
        <v>0</v>
      </c>
      <c r="R1968" s="85"/>
      <c r="S1968" s="86">
        <f t="shared" si="803"/>
        <v>0</v>
      </c>
      <c r="T1968" s="87">
        <f t="shared" si="801"/>
        <v>0</v>
      </c>
    </row>
    <row r="1969" spans="1:21" ht="20.100000000000001" hidden="1" customHeight="1">
      <c r="B1969" s="77">
        <v>23</v>
      </c>
      <c r="C1969" s="78" t="s">
        <v>3490</v>
      </c>
      <c r="D1969" s="79" t="s">
        <v>3521</v>
      </c>
      <c r="E1969" s="80" t="s">
        <v>3522</v>
      </c>
      <c r="F1969" s="81">
        <v>5</v>
      </c>
      <c r="G1969" s="222">
        <v>20</v>
      </c>
      <c r="H1969" s="186"/>
      <c r="I1969" s="186"/>
      <c r="J1969" s="308"/>
      <c r="K1969" s="227"/>
      <c r="L1969" s="82">
        <f t="shared" si="802"/>
        <v>20</v>
      </c>
      <c r="M1969" s="331">
        <v>20</v>
      </c>
      <c r="N1969" s="161">
        <f t="shared" si="797"/>
        <v>100</v>
      </c>
      <c r="O1969" s="161">
        <f t="shared" si="798"/>
        <v>100</v>
      </c>
      <c r="P1969" s="187">
        <f t="shared" si="799"/>
        <v>0</v>
      </c>
      <c r="Q1969" s="161">
        <f t="shared" si="800"/>
        <v>0</v>
      </c>
      <c r="R1969" s="85"/>
      <c r="S1969" s="86">
        <f t="shared" si="803"/>
        <v>20</v>
      </c>
      <c r="T1969" s="87">
        <f t="shared" si="801"/>
        <v>0</v>
      </c>
      <c r="U1969">
        <v>20</v>
      </c>
    </row>
    <row r="1970" spans="1:21" ht="20.100000000000001" hidden="1" customHeight="1">
      <c r="B1970" s="77">
        <v>23</v>
      </c>
      <c r="C1970" s="78" t="s">
        <v>3490</v>
      </c>
      <c r="D1970" s="79" t="s">
        <v>3523</v>
      </c>
      <c r="E1970" s="80" t="s">
        <v>3524</v>
      </c>
      <c r="F1970" s="81">
        <v>57</v>
      </c>
      <c r="G1970" s="222">
        <v>3</v>
      </c>
      <c r="H1970" s="186"/>
      <c r="I1970" s="186"/>
      <c r="J1970" s="308"/>
      <c r="K1970" s="227"/>
      <c r="L1970" s="82">
        <f t="shared" si="802"/>
        <v>3</v>
      </c>
      <c r="M1970" s="331">
        <v>3</v>
      </c>
      <c r="N1970" s="161">
        <f t="shared" si="797"/>
        <v>171</v>
      </c>
      <c r="O1970" s="161">
        <f t="shared" si="798"/>
        <v>171</v>
      </c>
      <c r="P1970" s="187">
        <f t="shared" si="799"/>
        <v>0</v>
      </c>
      <c r="Q1970" s="161">
        <f t="shared" si="800"/>
        <v>0</v>
      </c>
      <c r="R1970" s="85"/>
      <c r="S1970" s="86">
        <f t="shared" si="803"/>
        <v>3</v>
      </c>
      <c r="T1970" s="87">
        <f t="shared" si="801"/>
        <v>0</v>
      </c>
      <c r="U1970">
        <v>3</v>
      </c>
    </row>
    <row r="1971" spans="1:21" ht="20.100000000000001" hidden="1" customHeight="1">
      <c r="B1971" s="77">
        <v>23</v>
      </c>
      <c r="C1971" s="78" t="s">
        <v>3490</v>
      </c>
      <c r="D1971" s="79" t="s">
        <v>3525</v>
      </c>
      <c r="E1971" s="80" t="s">
        <v>3526</v>
      </c>
      <c r="F1971" s="81">
        <v>387</v>
      </c>
      <c r="G1971" s="222">
        <v>8</v>
      </c>
      <c r="H1971" s="186"/>
      <c r="I1971" s="186"/>
      <c r="J1971" s="308"/>
      <c r="K1971" s="227"/>
      <c r="L1971" s="82">
        <f t="shared" si="802"/>
        <v>8</v>
      </c>
      <c r="M1971" s="331">
        <v>8</v>
      </c>
      <c r="N1971" s="161">
        <f t="shared" si="797"/>
        <v>3096</v>
      </c>
      <c r="O1971" s="161">
        <f t="shared" si="798"/>
        <v>3096</v>
      </c>
      <c r="P1971" s="187">
        <f t="shared" si="799"/>
        <v>0</v>
      </c>
      <c r="Q1971" s="161">
        <f t="shared" si="800"/>
        <v>0</v>
      </c>
      <c r="R1971" s="85"/>
      <c r="S1971" s="86">
        <f t="shared" si="803"/>
        <v>8</v>
      </c>
      <c r="T1971" s="87">
        <f t="shared" si="801"/>
        <v>0</v>
      </c>
      <c r="U1971">
        <v>8</v>
      </c>
    </row>
    <row r="1972" spans="1:21" ht="20.100000000000001" hidden="1" customHeight="1">
      <c r="B1972" s="77">
        <v>23</v>
      </c>
      <c r="C1972" s="78" t="s">
        <v>3490</v>
      </c>
      <c r="D1972" s="79" t="s">
        <v>3527</v>
      </c>
      <c r="E1972" s="80" t="s">
        <v>3528</v>
      </c>
      <c r="F1972" s="81">
        <v>166</v>
      </c>
      <c r="G1972" s="222">
        <v>1</v>
      </c>
      <c r="H1972" s="186"/>
      <c r="I1972" s="186"/>
      <c r="J1972" s="308"/>
      <c r="K1972" s="227"/>
      <c r="L1972" s="82">
        <f t="shared" si="802"/>
        <v>1</v>
      </c>
      <c r="M1972" s="331">
        <v>1</v>
      </c>
      <c r="N1972" s="161">
        <f t="shared" si="797"/>
        <v>166</v>
      </c>
      <c r="O1972" s="161">
        <f t="shared" si="798"/>
        <v>166</v>
      </c>
      <c r="P1972" s="187">
        <f t="shared" si="799"/>
        <v>0</v>
      </c>
      <c r="Q1972" s="161">
        <f t="shared" si="800"/>
        <v>0</v>
      </c>
      <c r="R1972" s="85"/>
      <c r="S1972" s="86">
        <f t="shared" si="803"/>
        <v>1</v>
      </c>
      <c r="T1972" s="87">
        <f t="shared" si="801"/>
        <v>0</v>
      </c>
      <c r="U1972">
        <v>1</v>
      </c>
    </row>
    <row r="1973" spans="1:21" ht="20.100000000000001" hidden="1" customHeight="1">
      <c r="B1973" s="77">
        <v>23</v>
      </c>
      <c r="C1973" s="78" t="s">
        <v>3490</v>
      </c>
      <c r="D1973" s="79" t="s">
        <v>3529</v>
      </c>
      <c r="E1973" s="80" t="s">
        <v>3530</v>
      </c>
      <c r="F1973" s="81">
        <v>30</v>
      </c>
      <c r="G1973" s="222">
        <v>3</v>
      </c>
      <c r="H1973" s="186"/>
      <c r="I1973" s="186"/>
      <c r="J1973" s="308"/>
      <c r="K1973" s="227"/>
      <c r="L1973" s="82">
        <f t="shared" si="802"/>
        <v>3</v>
      </c>
      <c r="M1973" s="331">
        <v>3</v>
      </c>
      <c r="N1973" s="161">
        <f t="shared" si="797"/>
        <v>90</v>
      </c>
      <c r="O1973" s="161">
        <f t="shared" si="798"/>
        <v>90</v>
      </c>
      <c r="P1973" s="187">
        <f t="shared" si="799"/>
        <v>0</v>
      </c>
      <c r="Q1973" s="161">
        <f t="shared" si="800"/>
        <v>0</v>
      </c>
      <c r="R1973" s="85"/>
      <c r="S1973" s="86">
        <f t="shared" si="803"/>
        <v>0</v>
      </c>
      <c r="T1973" s="87">
        <f t="shared" si="801"/>
        <v>3</v>
      </c>
    </row>
    <row r="1974" spans="1:21" ht="20.100000000000001" hidden="1" customHeight="1">
      <c r="B1974" s="77">
        <v>23</v>
      </c>
      <c r="C1974" s="78" t="s">
        <v>3490</v>
      </c>
      <c r="D1974" s="79" t="s">
        <v>3531</v>
      </c>
      <c r="E1974" s="80" t="s">
        <v>3532</v>
      </c>
      <c r="F1974" s="81">
        <v>20</v>
      </c>
      <c r="G1974" s="222">
        <v>2</v>
      </c>
      <c r="H1974" s="186"/>
      <c r="I1974" s="186"/>
      <c r="J1974" s="308"/>
      <c r="K1974" s="227"/>
      <c r="L1974" s="82">
        <f t="shared" si="802"/>
        <v>2</v>
      </c>
      <c r="M1974" s="331">
        <v>2</v>
      </c>
      <c r="N1974" s="161">
        <f t="shared" si="797"/>
        <v>40</v>
      </c>
      <c r="O1974" s="161">
        <f t="shared" si="798"/>
        <v>40</v>
      </c>
      <c r="P1974" s="187">
        <f t="shared" si="799"/>
        <v>0</v>
      </c>
      <c r="Q1974" s="161">
        <f t="shared" si="800"/>
        <v>0</v>
      </c>
      <c r="R1974" s="85"/>
      <c r="S1974" s="86">
        <f t="shared" si="803"/>
        <v>2</v>
      </c>
      <c r="T1974" s="87">
        <f t="shared" si="801"/>
        <v>0</v>
      </c>
      <c r="U1974">
        <v>2</v>
      </c>
    </row>
    <row r="1975" spans="1:21" ht="20.100000000000001" hidden="1" customHeight="1">
      <c r="B1975" s="77">
        <v>23</v>
      </c>
      <c r="C1975" s="78" t="s">
        <v>3490</v>
      </c>
      <c r="D1975" s="79" t="s">
        <v>3533</v>
      </c>
      <c r="E1975" s="80" t="s">
        <v>3534</v>
      </c>
      <c r="F1975" s="81">
        <v>171</v>
      </c>
      <c r="G1975" s="222">
        <v>1</v>
      </c>
      <c r="H1975" s="186"/>
      <c r="I1975" s="186"/>
      <c r="J1975" s="308"/>
      <c r="K1975" s="227"/>
      <c r="L1975" s="82">
        <f t="shared" si="802"/>
        <v>1</v>
      </c>
      <c r="M1975" s="331">
        <v>1</v>
      </c>
      <c r="N1975" s="161">
        <f t="shared" si="797"/>
        <v>171</v>
      </c>
      <c r="O1975" s="161">
        <f t="shared" si="798"/>
        <v>171</v>
      </c>
      <c r="P1975" s="187">
        <f t="shared" si="799"/>
        <v>0</v>
      </c>
      <c r="Q1975" s="161">
        <f t="shared" si="800"/>
        <v>0</v>
      </c>
      <c r="R1975" s="85"/>
      <c r="S1975" s="86">
        <f t="shared" si="803"/>
        <v>1</v>
      </c>
      <c r="T1975" s="87">
        <f t="shared" si="801"/>
        <v>0</v>
      </c>
      <c r="U1975">
        <v>1</v>
      </c>
    </row>
    <row r="1976" spans="1:21" ht="20.100000000000001" hidden="1" customHeight="1">
      <c r="B1976" s="77">
        <v>23</v>
      </c>
      <c r="C1976" s="78" t="s">
        <v>3490</v>
      </c>
      <c r="D1976" s="79" t="s">
        <v>3535</v>
      </c>
      <c r="E1976" s="80" t="s">
        <v>3536</v>
      </c>
      <c r="F1976" s="81">
        <v>56</v>
      </c>
      <c r="G1976" s="222">
        <v>1</v>
      </c>
      <c r="H1976" s="186"/>
      <c r="I1976" s="186"/>
      <c r="J1976" s="308"/>
      <c r="K1976" s="227"/>
      <c r="L1976" s="82">
        <f t="shared" si="802"/>
        <v>1</v>
      </c>
      <c r="M1976" s="331">
        <v>1</v>
      </c>
      <c r="N1976" s="161">
        <f t="shared" si="797"/>
        <v>56</v>
      </c>
      <c r="O1976" s="161">
        <f t="shared" si="798"/>
        <v>56</v>
      </c>
      <c r="P1976" s="187">
        <f t="shared" si="799"/>
        <v>0</v>
      </c>
      <c r="Q1976" s="161">
        <f t="shared" si="800"/>
        <v>0</v>
      </c>
      <c r="R1976" s="85"/>
      <c r="S1976" s="86">
        <f t="shared" si="803"/>
        <v>0</v>
      </c>
      <c r="T1976" s="87">
        <f t="shared" si="801"/>
        <v>1</v>
      </c>
    </row>
    <row r="1977" spans="1:21" ht="20.100000000000001" hidden="1" customHeight="1">
      <c r="B1977" s="77">
        <v>23</v>
      </c>
      <c r="C1977" s="78" t="s">
        <v>3490</v>
      </c>
      <c r="D1977" s="79" t="s">
        <v>3537</v>
      </c>
      <c r="E1977" s="80" t="s">
        <v>3538</v>
      </c>
      <c r="F1977" s="81">
        <v>14</v>
      </c>
      <c r="G1977" s="222">
        <v>1</v>
      </c>
      <c r="H1977" s="186"/>
      <c r="I1977" s="186"/>
      <c r="J1977" s="308"/>
      <c r="K1977" s="227"/>
      <c r="L1977" s="82">
        <f t="shared" si="802"/>
        <v>1</v>
      </c>
      <c r="M1977" s="331">
        <v>1</v>
      </c>
      <c r="N1977" s="161">
        <f t="shared" si="797"/>
        <v>14</v>
      </c>
      <c r="O1977" s="161">
        <f t="shared" si="798"/>
        <v>14</v>
      </c>
      <c r="P1977" s="187">
        <f t="shared" si="799"/>
        <v>0</v>
      </c>
      <c r="Q1977" s="161">
        <f t="shared" si="800"/>
        <v>0</v>
      </c>
      <c r="R1977" s="85"/>
      <c r="S1977" s="86">
        <f t="shared" si="803"/>
        <v>1</v>
      </c>
      <c r="T1977" s="87">
        <f t="shared" si="801"/>
        <v>0</v>
      </c>
      <c r="U1977">
        <v>1</v>
      </c>
    </row>
    <row r="1978" spans="1:21" ht="20.100000000000001" hidden="1" customHeight="1">
      <c r="B1978" s="77">
        <v>23</v>
      </c>
      <c r="C1978" s="78" t="s">
        <v>3490</v>
      </c>
      <c r="D1978" s="79" t="s">
        <v>3539</v>
      </c>
      <c r="E1978" s="80" t="s">
        <v>3540</v>
      </c>
      <c r="F1978" s="81">
        <v>14</v>
      </c>
      <c r="G1978" s="222">
        <v>11</v>
      </c>
      <c r="H1978" s="186"/>
      <c r="I1978" s="186"/>
      <c r="J1978" s="308"/>
      <c r="K1978" s="227"/>
      <c r="L1978" s="82">
        <f t="shared" si="802"/>
        <v>11</v>
      </c>
      <c r="M1978" s="331">
        <v>11</v>
      </c>
      <c r="N1978" s="161">
        <f t="shared" si="797"/>
        <v>154</v>
      </c>
      <c r="O1978" s="161">
        <f t="shared" si="798"/>
        <v>154</v>
      </c>
      <c r="P1978" s="187">
        <f t="shared" si="799"/>
        <v>0</v>
      </c>
      <c r="Q1978" s="161">
        <f t="shared" si="800"/>
        <v>0</v>
      </c>
      <c r="R1978" s="85"/>
      <c r="S1978" s="86">
        <f t="shared" si="803"/>
        <v>11</v>
      </c>
      <c r="T1978" s="87">
        <f t="shared" si="801"/>
        <v>0</v>
      </c>
      <c r="U1978">
        <v>11</v>
      </c>
    </row>
    <row r="1979" spans="1:21" ht="20.100000000000001" hidden="1" customHeight="1">
      <c r="B1979" s="77">
        <v>23</v>
      </c>
      <c r="C1979" s="78" t="s">
        <v>3490</v>
      </c>
      <c r="D1979" s="79" t="s">
        <v>3541</v>
      </c>
      <c r="E1979" s="80" t="s">
        <v>3542</v>
      </c>
      <c r="F1979" s="81">
        <v>14</v>
      </c>
      <c r="G1979" s="222">
        <v>6</v>
      </c>
      <c r="H1979" s="186"/>
      <c r="I1979" s="186"/>
      <c r="J1979" s="308"/>
      <c r="K1979" s="227"/>
      <c r="L1979" s="82">
        <f t="shared" si="802"/>
        <v>6</v>
      </c>
      <c r="M1979" s="331">
        <v>6</v>
      </c>
      <c r="N1979" s="161">
        <f t="shared" si="797"/>
        <v>84</v>
      </c>
      <c r="O1979" s="161">
        <f t="shared" si="798"/>
        <v>84</v>
      </c>
      <c r="P1979" s="187">
        <f t="shared" si="799"/>
        <v>0</v>
      </c>
      <c r="Q1979" s="161">
        <f t="shared" si="800"/>
        <v>0</v>
      </c>
      <c r="R1979" s="85"/>
      <c r="S1979" s="86">
        <f t="shared" si="803"/>
        <v>6</v>
      </c>
      <c r="T1979" s="87">
        <f t="shared" si="801"/>
        <v>0</v>
      </c>
      <c r="U1979">
        <v>6</v>
      </c>
    </row>
    <row r="1980" spans="1:21" ht="20.100000000000001" hidden="1" customHeight="1">
      <c r="B1980" s="77">
        <v>23</v>
      </c>
      <c r="C1980" s="78" t="s">
        <v>3490</v>
      </c>
      <c r="D1980" s="79" t="s">
        <v>3543</v>
      </c>
      <c r="E1980" s="80" t="s">
        <v>3544</v>
      </c>
      <c r="F1980" s="81">
        <v>14</v>
      </c>
      <c r="G1980" s="222">
        <v>6</v>
      </c>
      <c r="H1980" s="186"/>
      <c r="I1980" s="186"/>
      <c r="J1980" s="308"/>
      <c r="K1980" s="227"/>
      <c r="L1980" s="82">
        <f t="shared" si="802"/>
        <v>6</v>
      </c>
      <c r="M1980" s="331">
        <v>6</v>
      </c>
      <c r="N1980" s="161">
        <f t="shared" si="797"/>
        <v>84</v>
      </c>
      <c r="O1980" s="161">
        <f t="shared" si="798"/>
        <v>84</v>
      </c>
      <c r="P1980" s="187">
        <f t="shared" si="799"/>
        <v>0</v>
      </c>
      <c r="Q1980" s="161">
        <f t="shared" si="800"/>
        <v>0</v>
      </c>
      <c r="R1980" s="85"/>
      <c r="S1980" s="86">
        <f t="shared" si="803"/>
        <v>6</v>
      </c>
      <c r="T1980" s="87">
        <f t="shared" si="801"/>
        <v>0</v>
      </c>
      <c r="U1980">
        <v>6</v>
      </c>
    </row>
    <row r="1981" spans="1:21" ht="20.100000000000001" hidden="1" customHeight="1">
      <c r="B1981" s="77">
        <v>23</v>
      </c>
      <c r="C1981" s="78" t="s">
        <v>3490</v>
      </c>
      <c r="D1981" s="79" t="s">
        <v>3545</v>
      </c>
      <c r="E1981" s="80" t="s">
        <v>3546</v>
      </c>
      <c r="F1981" s="81">
        <v>30</v>
      </c>
      <c r="G1981" s="222">
        <v>4</v>
      </c>
      <c r="H1981" s="186"/>
      <c r="I1981" s="186"/>
      <c r="J1981" s="308"/>
      <c r="K1981" s="227"/>
      <c r="L1981" s="82">
        <f t="shared" si="802"/>
        <v>4</v>
      </c>
      <c r="M1981" s="331">
        <v>4</v>
      </c>
      <c r="N1981" s="161">
        <f t="shared" si="797"/>
        <v>120</v>
      </c>
      <c r="O1981" s="161">
        <f t="shared" si="798"/>
        <v>120</v>
      </c>
      <c r="P1981" s="187">
        <f t="shared" si="799"/>
        <v>0</v>
      </c>
      <c r="Q1981" s="161">
        <f t="shared" si="800"/>
        <v>0</v>
      </c>
      <c r="R1981" s="85"/>
      <c r="S1981" s="86">
        <f t="shared" si="803"/>
        <v>7</v>
      </c>
      <c r="T1981" s="87">
        <f t="shared" si="801"/>
        <v>-3</v>
      </c>
      <c r="U1981">
        <v>7</v>
      </c>
    </row>
    <row r="1982" spans="1:21" ht="20.100000000000001" hidden="1" customHeight="1">
      <c r="A1982" s="71" t="s">
        <v>3547</v>
      </c>
      <c r="B1982" s="97">
        <v>23</v>
      </c>
      <c r="C1982" s="98" t="s">
        <v>3490</v>
      </c>
      <c r="D1982" s="99" t="s">
        <v>3548</v>
      </c>
      <c r="E1982" s="100" t="s">
        <v>3549</v>
      </c>
      <c r="F1982" s="101">
        <v>3</v>
      </c>
      <c r="G1982" s="222">
        <v>9</v>
      </c>
      <c r="H1982" s="186"/>
      <c r="I1982" s="186"/>
      <c r="J1982" s="308"/>
      <c r="K1982" s="227"/>
      <c r="L1982" s="82">
        <f t="shared" si="802"/>
        <v>9</v>
      </c>
      <c r="M1982" s="331">
        <v>9</v>
      </c>
      <c r="N1982" s="161">
        <f t="shared" si="797"/>
        <v>27</v>
      </c>
      <c r="O1982" s="161">
        <f t="shared" si="798"/>
        <v>27</v>
      </c>
      <c r="P1982" s="187">
        <f t="shared" si="799"/>
        <v>0</v>
      </c>
      <c r="Q1982" s="161">
        <f t="shared" si="800"/>
        <v>0</v>
      </c>
      <c r="R1982" s="85"/>
      <c r="S1982" s="86">
        <f t="shared" si="803"/>
        <v>9</v>
      </c>
      <c r="T1982" s="87">
        <f t="shared" si="801"/>
        <v>0</v>
      </c>
      <c r="U1982">
        <v>9</v>
      </c>
    </row>
    <row r="1983" spans="1:21" ht="20.100000000000001" hidden="1" customHeight="1">
      <c r="B1983" s="77"/>
      <c r="C1983" s="78" t="s">
        <v>3550</v>
      </c>
      <c r="D1983" s="95" t="s">
        <v>3551</v>
      </c>
      <c r="E1983" s="80" t="s">
        <v>3552</v>
      </c>
      <c r="F1983" s="81">
        <v>81.5</v>
      </c>
      <c r="G1983" s="222">
        <v>5</v>
      </c>
      <c r="H1983" s="186"/>
      <c r="I1983" s="186"/>
      <c r="J1983" s="308"/>
      <c r="K1983" s="227"/>
      <c r="L1983" s="82">
        <f t="shared" si="802"/>
        <v>5</v>
      </c>
      <c r="M1983" s="331">
        <v>5</v>
      </c>
      <c r="N1983" s="161">
        <f t="shared" si="797"/>
        <v>407.5</v>
      </c>
      <c r="O1983" s="161">
        <f t="shared" si="798"/>
        <v>407.5</v>
      </c>
      <c r="P1983" s="187">
        <f t="shared" si="799"/>
        <v>0</v>
      </c>
      <c r="Q1983" s="161">
        <f t="shared" si="800"/>
        <v>0</v>
      </c>
      <c r="R1983" s="85"/>
      <c r="S1983" s="86">
        <f t="shared" si="803"/>
        <v>3</v>
      </c>
      <c r="T1983" s="87">
        <f t="shared" si="801"/>
        <v>2</v>
      </c>
      <c r="U1983">
        <v>3</v>
      </c>
    </row>
    <row r="1984" spans="1:21" ht="20.100000000000001" hidden="1" customHeight="1">
      <c r="B1984" s="77"/>
      <c r="C1984" s="78" t="s">
        <v>3550</v>
      </c>
      <c r="D1984" s="95" t="s">
        <v>3553</v>
      </c>
      <c r="E1984" s="80" t="s">
        <v>3554</v>
      </c>
      <c r="F1984" s="81">
        <v>6.27</v>
      </c>
      <c r="G1984" s="222">
        <v>2</v>
      </c>
      <c r="H1984" s="186"/>
      <c r="I1984" s="186"/>
      <c r="J1984" s="308"/>
      <c r="K1984" s="227"/>
      <c r="L1984" s="82">
        <f t="shared" si="802"/>
        <v>2</v>
      </c>
      <c r="M1984" s="331">
        <v>2</v>
      </c>
      <c r="N1984" s="161">
        <f t="shared" si="797"/>
        <v>12.54</v>
      </c>
      <c r="O1984" s="161">
        <f t="shared" si="798"/>
        <v>12.54</v>
      </c>
      <c r="P1984" s="187">
        <f t="shared" si="799"/>
        <v>0</v>
      </c>
      <c r="Q1984" s="161">
        <f t="shared" si="800"/>
        <v>0</v>
      </c>
      <c r="R1984" s="85"/>
      <c r="S1984" s="86">
        <f t="shared" si="803"/>
        <v>2</v>
      </c>
      <c r="T1984" s="87">
        <f t="shared" si="801"/>
        <v>0</v>
      </c>
      <c r="U1984">
        <v>2</v>
      </c>
    </row>
    <row r="1985" spans="2:27" ht="20.100000000000001" hidden="1" customHeight="1">
      <c r="B1985" s="77"/>
      <c r="C1985" s="78" t="s">
        <v>3550</v>
      </c>
      <c r="D1985" s="95" t="s">
        <v>3555</v>
      </c>
      <c r="E1985" s="80" t="s">
        <v>3556</v>
      </c>
      <c r="F1985" s="193">
        <v>60.75</v>
      </c>
      <c r="G1985" s="222">
        <v>8</v>
      </c>
      <c r="H1985" s="186"/>
      <c r="I1985" s="186"/>
      <c r="J1985" s="308"/>
      <c r="K1985" s="227">
        <v>2</v>
      </c>
      <c r="L1985" s="82">
        <f t="shared" si="802"/>
        <v>6</v>
      </c>
      <c r="M1985" s="331">
        <v>6</v>
      </c>
      <c r="N1985" s="161">
        <f t="shared" si="797"/>
        <v>364.5</v>
      </c>
      <c r="O1985" s="161">
        <f t="shared" si="798"/>
        <v>364.5</v>
      </c>
      <c r="P1985" s="187">
        <f t="shared" si="799"/>
        <v>0</v>
      </c>
      <c r="Q1985" s="161">
        <f t="shared" si="800"/>
        <v>0</v>
      </c>
      <c r="R1985" s="85"/>
      <c r="S1985" s="86">
        <f t="shared" si="803"/>
        <v>1</v>
      </c>
      <c r="T1985" s="87">
        <f t="shared" si="801"/>
        <v>5</v>
      </c>
      <c r="U1985">
        <v>1</v>
      </c>
    </row>
    <row r="1986" spans="2:27" ht="20.100000000000001" hidden="1" customHeight="1">
      <c r="B1986" s="77"/>
      <c r="C1986" s="78" t="s">
        <v>3550</v>
      </c>
      <c r="D1986" s="95" t="s">
        <v>3557</v>
      </c>
      <c r="E1986" s="80" t="s">
        <v>3558</v>
      </c>
      <c r="F1986" s="81">
        <v>10</v>
      </c>
      <c r="G1986" s="222"/>
      <c r="H1986" s="186"/>
      <c r="I1986" s="186"/>
      <c r="J1986" s="308"/>
      <c r="K1986" s="227"/>
      <c r="L1986" s="82">
        <f t="shared" si="802"/>
        <v>0</v>
      </c>
      <c r="M1986" s="331">
        <v>0</v>
      </c>
      <c r="N1986" s="161">
        <f t="shared" si="797"/>
        <v>0</v>
      </c>
      <c r="O1986" s="161">
        <f t="shared" si="798"/>
        <v>0</v>
      </c>
      <c r="P1986" s="187">
        <f t="shared" si="799"/>
        <v>0</v>
      </c>
      <c r="Q1986" s="161">
        <f t="shared" si="800"/>
        <v>0</v>
      </c>
      <c r="R1986" s="85"/>
      <c r="S1986" s="86">
        <f t="shared" si="803"/>
        <v>2</v>
      </c>
      <c r="T1986" s="87">
        <f t="shared" si="801"/>
        <v>-2</v>
      </c>
      <c r="U1986">
        <v>1</v>
      </c>
      <c r="AA1986">
        <v>1</v>
      </c>
    </row>
    <row r="1987" spans="2:27" ht="20.100000000000001" hidden="1" customHeight="1">
      <c r="B1987" s="77"/>
      <c r="C1987" s="78" t="s">
        <v>3550</v>
      </c>
      <c r="D1987" s="79">
        <v>150043</v>
      </c>
      <c r="E1987" s="80" t="s">
        <v>4840</v>
      </c>
      <c r="F1987" s="81">
        <v>29</v>
      </c>
      <c r="G1987" s="222">
        <v>4</v>
      </c>
      <c r="H1987" s="186"/>
      <c r="I1987" s="186"/>
      <c r="J1987" s="308"/>
      <c r="K1987" s="227"/>
      <c r="L1987" s="82">
        <f t="shared" si="802"/>
        <v>4</v>
      </c>
      <c r="M1987" s="331">
        <v>4</v>
      </c>
      <c r="N1987" s="161">
        <f t="shared" si="797"/>
        <v>116</v>
      </c>
      <c r="O1987" s="161">
        <f t="shared" si="798"/>
        <v>116</v>
      </c>
      <c r="P1987" s="187">
        <f t="shared" si="799"/>
        <v>0</v>
      </c>
      <c r="Q1987" s="161">
        <f t="shared" si="800"/>
        <v>0</v>
      </c>
      <c r="R1987" s="85"/>
      <c r="S1987" s="86">
        <f t="shared" si="803"/>
        <v>4</v>
      </c>
      <c r="T1987" s="87">
        <f t="shared" si="801"/>
        <v>0</v>
      </c>
      <c r="U1987">
        <v>4</v>
      </c>
    </row>
    <row r="1988" spans="2:27" ht="20.100000000000001" hidden="1" customHeight="1">
      <c r="B1988" s="77"/>
      <c r="C1988" s="78" t="s">
        <v>3550</v>
      </c>
      <c r="D1988" s="95" t="s">
        <v>3559</v>
      </c>
      <c r="E1988" s="80" t="s">
        <v>3560</v>
      </c>
      <c r="F1988" s="81">
        <v>7.64</v>
      </c>
      <c r="G1988" s="222">
        <v>119</v>
      </c>
      <c r="H1988" s="186"/>
      <c r="I1988" s="186"/>
      <c r="J1988" s="308"/>
      <c r="K1988" s="227"/>
      <c r="L1988" s="82">
        <f t="shared" si="802"/>
        <v>119</v>
      </c>
      <c r="M1988" s="331">
        <v>119</v>
      </c>
      <c r="N1988" s="161">
        <f t="shared" si="797"/>
        <v>909.16</v>
      </c>
      <c r="O1988" s="161">
        <f t="shared" si="798"/>
        <v>909.16</v>
      </c>
      <c r="P1988" s="187">
        <f t="shared" si="799"/>
        <v>0</v>
      </c>
      <c r="Q1988" s="161">
        <f t="shared" si="800"/>
        <v>0</v>
      </c>
      <c r="R1988" s="85"/>
      <c r="S1988" s="86">
        <f t="shared" si="803"/>
        <v>119</v>
      </c>
      <c r="T1988" s="87">
        <f t="shared" si="801"/>
        <v>0</v>
      </c>
      <c r="U1988">
        <v>119</v>
      </c>
    </row>
    <row r="1989" spans="2:27" ht="20.100000000000001" hidden="1" customHeight="1">
      <c r="B1989" s="77"/>
      <c r="C1989" s="78" t="s">
        <v>3550</v>
      </c>
      <c r="D1989" s="95" t="s">
        <v>3561</v>
      </c>
      <c r="E1989" s="80" t="s">
        <v>3562</v>
      </c>
      <c r="F1989" s="81">
        <v>125</v>
      </c>
      <c r="G1989" s="222">
        <v>1</v>
      </c>
      <c r="H1989" s="186"/>
      <c r="I1989" s="186"/>
      <c r="J1989" s="308"/>
      <c r="K1989" s="227"/>
      <c r="L1989" s="82">
        <f t="shared" si="802"/>
        <v>1</v>
      </c>
      <c r="M1989" s="331">
        <v>1</v>
      </c>
      <c r="N1989" s="161">
        <f t="shared" si="797"/>
        <v>125</v>
      </c>
      <c r="O1989" s="161">
        <f t="shared" si="798"/>
        <v>125</v>
      </c>
      <c r="P1989" s="187">
        <f t="shared" si="799"/>
        <v>0</v>
      </c>
      <c r="Q1989" s="161">
        <f t="shared" si="800"/>
        <v>0</v>
      </c>
      <c r="R1989" s="85"/>
      <c r="S1989" s="86">
        <f t="shared" si="803"/>
        <v>1</v>
      </c>
      <c r="T1989" s="87">
        <f t="shared" si="801"/>
        <v>0</v>
      </c>
      <c r="U1989">
        <v>1</v>
      </c>
    </row>
    <row r="1990" spans="2:27" ht="20.100000000000001" hidden="1" customHeight="1">
      <c r="B1990" s="102"/>
      <c r="C1990" s="103" t="s">
        <v>3550</v>
      </c>
      <c r="D1990" s="104" t="s">
        <v>3765</v>
      </c>
      <c r="E1990" s="105" t="s">
        <v>3563</v>
      </c>
      <c r="F1990" s="81">
        <v>20.56</v>
      </c>
      <c r="G1990" s="222">
        <v>2</v>
      </c>
      <c r="H1990" s="186"/>
      <c r="I1990" s="186"/>
      <c r="J1990" s="308"/>
      <c r="K1990" s="227"/>
      <c r="L1990" s="82">
        <f t="shared" si="802"/>
        <v>2</v>
      </c>
      <c r="M1990" s="331">
        <v>2</v>
      </c>
      <c r="N1990" s="161">
        <f t="shared" si="797"/>
        <v>41.12</v>
      </c>
      <c r="O1990" s="161">
        <f t="shared" si="798"/>
        <v>41.12</v>
      </c>
      <c r="P1990" s="187">
        <f t="shared" si="799"/>
        <v>0</v>
      </c>
      <c r="Q1990" s="161">
        <f t="shared" si="800"/>
        <v>0</v>
      </c>
      <c r="R1990" s="85"/>
      <c r="S1990" s="86">
        <f t="shared" si="803"/>
        <v>3</v>
      </c>
      <c r="T1990" s="87">
        <f t="shared" si="801"/>
        <v>-1</v>
      </c>
      <c r="U1990">
        <v>3</v>
      </c>
    </row>
    <row r="1991" spans="2:27" ht="20.100000000000001" hidden="1" customHeight="1">
      <c r="B1991" s="102"/>
      <c r="C1991" s="103" t="s">
        <v>3550</v>
      </c>
      <c r="D1991" s="104">
        <v>7359</v>
      </c>
      <c r="E1991" s="105" t="s">
        <v>3815</v>
      </c>
      <c r="F1991" s="81">
        <v>20.56</v>
      </c>
      <c r="G1991" s="222">
        <v>16</v>
      </c>
      <c r="H1991" s="186"/>
      <c r="I1991" s="186"/>
      <c r="J1991" s="308"/>
      <c r="K1991" s="227"/>
      <c r="L1991" s="82">
        <f t="shared" si="802"/>
        <v>16</v>
      </c>
      <c r="M1991" s="331">
        <v>16</v>
      </c>
      <c r="N1991" s="161">
        <f t="shared" si="797"/>
        <v>328.96</v>
      </c>
      <c r="O1991" s="161">
        <f t="shared" si="798"/>
        <v>328.96</v>
      </c>
      <c r="P1991" s="187">
        <f t="shared" si="799"/>
        <v>0</v>
      </c>
      <c r="Q1991" s="161">
        <f t="shared" si="800"/>
        <v>0</v>
      </c>
      <c r="R1991" s="85"/>
      <c r="S1991" s="86">
        <f t="shared" si="803"/>
        <v>17</v>
      </c>
      <c r="T1991" s="87">
        <f t="shared" si="801"/>
        <v>-1</v>
      </c>
      <c r="U1991">
        <v>17</v>
      </c>
    </row>
    <row r="1992" spans="2:27" ht="20.100000000000001" hidden="1" customHeight="1">
      <c r="B1992" s="102"/>
      <c r="C1992" s="103" t="s">
        <v>3550</v>
      </c>
      <c r="D1992" s="106" t="s">
        <v>3766</v>
      </c>
      <c r="E1992" s="105" t="s">
        <v>3767</v>
      </c>
      <c r="F1992" s="81">
        <v>64.98</v>
      </c>
      <c r="G1992" s="222"/>
      <c r="H1992" s="186"/>
      <c r="I1992" s="186"/>
      <c r="J1992" s="308"/>
      <c r="K1992" s="227"/>
      <c r="L1992" s="82">
        <f t="shared" si="802"/>
        <v>0</v>
      </c>
      <c r="M1992" s="331"/>
      <c r="N1992" s="161">
        <f t="shared" si="797"/>
        <v>0</v>
      </c>
      <c r="O1992" s="161">
        <f t="shared" si="798"/>
        <v>0</v>
      </c>
      <c r="P1992" s="187">
        <f t="shared" si="799"/>
        <v>0</v>
      </c>
      <c r="Q1992" s="161">
        <f t="shared" si="800"/>
        <v>0</v>
      </c>
      <c r="R1992" s="232" t="s">
        <v>3832</v>
      </c>
      <c r="S1992" s="86">
        <f t="shared" si="803"/>
        <v>26</v>
      </c>
      <c r="T1992" s="87">
        <f t="shared" si="801"/>
        <v>-26</v>
      </c>
      <c r="U1992">
        <v>26</v>
      </c>
    </row>
    <row r="1993" spans="2:27" ht="20.100000000000001" hidden="1" customHeight="1">
      <c r="B1993" s="171"/>
      <c r="C1993" s="184" t="s">
        <v>3550</v>
      </c>
      <c r="D1993" s="234" t="s">
        <v>3564</v>
      </c>
      <c r="E1993" s="178" t="s">
        <v>3565</v>
      </c>
      <c r="F1993" s="81">
        <v>41.5</v>
      </c>
      <c r="G1993" s="222"/>
      <c r="H1993" s="186"/>
      <c r="I1993" s="186"/>
      <c r="J1993" s="308"/>
      <c r="K1993" s="227"/>
      <c r="L1993" s="82">
        <f t="shared" si="802"/>
        <v>0</v>
      </c>
      <c r="M1993" s="331"/>
      <c r="N1993" s="161">
        <f t="shared" si="797"/>
        <v>0</v>
      </c>
      <c r="O1993" s="161">
        <f t="shared" si="798"/>
        <v>0</v>
      </c>
      <c r="P1993" s="187">
        <f t="shared" si="799"/>
        <v>0</v>
      </c>
      <c r="Q1993" s="161">
        <f t="shared" si="800"/>
        <v>0</v>
      </c>
      <c r="R1993" s="85"/>
      <c r="S1993" s="86">
        <f t="shared" si="803"/>
        <v>1</v>
      </c>
      <c r="T1993" s="87">
        <f t="shared" si="801"/>
        <v>-1</v>
      </c>
      <c r="U1993">
        <v>1</v>
      </c>
    </row>
    <row r="1994" spans="2:27" ht="20.100000000000001" hidden="1" customHeight="1">
      <c r="B1994" s="102"/>
      <c r="C1994" s="103" t="s">
        <v>3550</v>
      </c>
      <c r="D1994" s="104">
        <v>80088240040</v>
      </c>
      <c r="E1994" s="105" t="s">
        <v>3834</v>
      </c>
      <c r="F1994" s="81">
        <v>0</v>
      </c>
      <c r="G1994" s="222">
        <v>3</v>
      </c>
      <c r="H1994" s="186"/>
      <c r="I1994" s="186"/>
      <c r="J1994" s="308"/>
      <c r="K1994" s="227"/>
      <c r="L1994" s="82">
        <f t="shared" si="802"/>
        <v>3</v>
      </c>
      <c r="M1994" s="331">
        <v>3</v>
      </c>
      <c r="N1994" s="161">
        <f t="shared" si="797"/>
        <v>0</v>
      </c>
      <c r="O1994" s="161">
        <f t="shared" si="798"/>
        <v>0</v>
      </c>
      <c r="P1994" s="187">
        <f t="shared" si="799"/>
        <v>0</v>
      </c>
      <c r="Q1994" s="161">
        <f t="shared" si="800"/>
        <v>0</v>
      </c>
      <c r="R1994" s="85"/>
      <c r="S1994" s="86">
        <f t="shared" si="803"/>
        <v>5</v>
      </c>
      <c r="T1994" s="87">
        <f t="shared" si="801"/>
        <v>-2</v>
      </c>
      <c r="U1994">
        <v>5</v>
      </c>
    </row>
    <row r="1995" spans="2:27" ht="20.100000000000001" hidden="1" customHeight="1">
      <c r="B1995" s="77"/>
      <c r="C1995" s="78" t="s">
        <v>3550</v>
      </c>
      <c r="D1995" s="79"/>
      <c r="E1995" s="80" t="s">
        <v>3566</v>
      </c>
      <c r="F1995" s="81"/>
      <c r="G1995" s="222">
        <v>5</v>
      </c>
      <c r="H1995" s="186"/>
      <c r="I1995" s="186"/>
      <c r="J1995" s="308"/>
      <c r="K1995" s="227"/>
      <c r="L1995" s="82">
        <f t="shared" si="802"/>
        <v>5</v>
      </c>
      <c r="M1995" s="331">
        <v>5</v>
      </c>
      <c r="N1995" s="161">
        <f t="shared" si="797"/>
        <v>0</v>
      </c>
      <c r="O1995" s="161">
        <f t="shared" si="798"/>
        <v>0</v>
      </c>
      <c r="P1995" s="187">
        <f t="shared" si="799"/>
        <v>0</v>
      </c>
      <c r="Q1995" s="161">
        <f t="shared" si="800"/>
        <v>0</v>
      </c>
      <c r="R1995" s="85"/>
      <c r="S1995" s="86">
        <f t="shared" si="803"/>
        <v>5</v>
      </c>
      <c r="T1995" s="87">
        <f t="shared" si="801"/>
        <v>0</v>
      </c>
      <c r="U1995">
        <v>5</v>
      </c>
    </row>
    <row r="1996" spans="2:27" ht="20.100000000000001" hidden="1" customHeight="1">
      <c r="B1996" s="107"/>
      <c r="C1996" s="108" t="s">
        <v>3550</v>
      </c>
      <c r="D1996" s="109" t="s">
        <v>3567</v>
      </c>
      <c r="E1996" s="110" t="s">
        <v>3817</v>
      </c>
      <c r="F1996" s="111">
        <v>5.64</v>
      </c>
      <c r="G1996" s="222"/>
      <c r="H1996" s="186"/>
      <c r="I1996" s="186"/>
      <c r="J1996" s="308"/>
      <c r="K1996" s="227"/>
      <c r="L1996" s="82">
        <f t="shared" si="802"/>
        <v>0</v>
      </c>
      <c r="M1996" s="331">
        <v>0</v>
      </c>
      <c r="N1996" s="161">
        <f t="shared" si="797"/>
        <v>0</v>
      </c>
      <c r="O1996" s="161">
        <f t="shared" si="798"/>
        <v>0</v>
      </c>
      <c r="P1996" s="187">
        <f t="shared" si="799"/>
        <v>0</v>
      </c>
      <c r="Q1996" s="161">
        <f t="shared" si="800"/>
        <v>0</v>
      </c>
      <c r="R1996" s="112"/>
      <c r="S1996" s="86">
        <f t="shared" si="803"/>
        <v>3</v>
      </c>
      <c r="T1996" s="87">
        <f t="shared" si="801"/>
        <v>-3</v>
      </c>
      <c r="U1996">
        <v>3</v>
      </c>
    </row>
    <row r="1997" spans="2:27" ht="20.100000000000001" hidden="1" customHeight="1">
      <c r="B1997" s="107"/>
      <c r="C1997" s="108" t="s">
        <v>3550</v>
      </c>
      <c r="D1997" s="109" t="s">
        <v>3568</v>
      </c>
      <c r="E1997" s="110" t="s">
        <v>3569</v>
      </c>
      <c r="F1997" s="111">
        <v>209.3</v>
      </c>
      <c r="G1997" s="222">
        <v>11</v>
      </c>
      <c r="H1997" s="186"/>
      <c r="I1997" s="186"/>
      <c r="J1997" s="308"/>
      <c r="K1997" s="227"/>
      <c r="L1997" s="82">
        <f t="shared" si="802"/>
        <v>11</v>
      </c>
      <c r="M1997" s="331">
        <v>11</v>
      </c>
      <c r="N1997" s="161">
        <f t="shared" si="797"/>
        <v>2302.3000000000002</v>
      </c>
      <c r="O1997" s="161">
        <f t="shared" si="798"/>
        <v>2302.3000000000002</v>
      </c>
      <c r="P1997" s="187">
        <f t="shared" si="799"/>
        <v>0</v>
      </c>
      <c r="Q1997" s="161">
        <f t="shared" si="800"/>
        <v>0</v>
      </c>
      <c r="R1997" s="112"/>
      <c r="S1997" s="86">
        <f t="shared" si="803"/>
        <v>11</v>
      </c>
      <c r="T1997" s="87">
        <f t="shared" si="801"/>
        <v>0</v>
      </c>
      <c r="U1997">
        <v>11</v>
      </c>
    </row>
    <row r="1998" spans="2:27" ht="20.100000000000001" hidden="1" customHeight="1">
      <c r="B1998" s="107"/>
      <c r="C1998" s="108" t="s">
        <v>3550</v>
      </c>
      <c r="D1998" s="109" t="s">
        <v>3570</v>
      </c>
      <c r="E1998" s="110" t="s">
        <v>3571</v>
      </c>
      <c r="F1998" s="111">
        <v>0</v>
      </c>
      <c r="G1998" s="222">
        <v>2</v>
      </c>
      <c r="H1998" s="186"/>
      <c r="I1998" s="186"/>
      <c r="J1998" s="308"/>
      <c r="K1998" s="227"/>
      <c r="L1998" s="82">
        <f>G1998+I1998-J1998-K1998+H1998</f>
        <v>2</v>
      </c>
      <c r="M1998" s="331">
        <v>2</v>
      </c>
      <c r="N1998" s="161">
        <f t="shared" si="797"/>
        <v>0</v>
      </c>
      <c r="O1998" s="161">
        <f t="shared" si="798"/>
        <v>0</v>
      </c>
      <c r="P1998" s="187">
        <f t="shared" si="799"/>
        <v>0</v>
      </c>
      <c r="Q1998" s="161">
        <f t="shared" si="800"/>
        <v>0</v>
      </c>
      <c r="R1998" s="112"/>
      <c r="S1998" s="86">
        <f t="shared" si="803"/>
        <v>2</v>
      </c>
      <c r="T1998" s="87">
        <f t="shared" si="801"/>
        <v>0</v>
      </c>
      <c r="U1998">
        <v>2</v>
      </c>
    </row>
    <row r="1999" spans="2:27" ht="20.100000000000001" hidden="1" customHeight="1">
      <c r="B1999" s="107"/>
      <c r="C1999" s="108" t="s">
        <v>3550</v>
      </c>
      <c r="D1999" s="113" t="s">
        <v>2503</v>
      </c>
      <c r="E1999" s="114" t="s">
        <v>3572</v>
      </c>
      <c r="F1999" s="115">
        <v>9.4700000000000006</v>
      </c>
      <c r="G1999" s="222">
        <v>3</v>
      </c>
      <c r="H1999" s="186"/>
      <c r="I1999" s="186"/>
      <c r="J1999" s="308"/>
      <c r="K1999" s="227"/>
      <c r="L1999" s="82">
        <f t="shared" si="802"/>
        <v>3</v>
      </c>
      <c r="M1999" s="331">
        <v>3</v>
      </c>
      <c r="N1999" s="161">
        <f t="shared" si="797"/>
        <v>28.410000000000004</v>
      </c>
      <c r="O1999" s="161">
        <f t="shared" si="798"/>
        <v>28.410000000000004</v>
      </c>
      <c r="P1999" s="187">
        <f t="shared" si="799"/>
        <v>0</v>
      </c>
      <c r="Q1999" s="161">
        <f t="shared" si="800"/>
        <v>0</v>
      </c>
      <c r="R1999" s="112"/>
      <c r="S1999" s="86">
        <f t="shared" si="803"/>
        <v>3</v>
      </c>
      <c r="T1999" s="87">
        <f t="shared" si="801"/>
        <v>0</v>
      </c>
      <c r="U1999">
        <v>3</v>
      </c>
    </row>
    <row r="2000" spans="2:27" ht="20.100000000000001" hidden="1" customHeight="1">
      <c r="B2000" s="107"/>
      <c r="C2000" s="108" t="s">
        <v>3550</v>
      </c>
      <c r="D2000" s="175"/>
      <c r="E2000" s="176" t="s">
        <v>3573</v>
      </c>
      <c r="F2000" s="115">
        <v>8.8000000000000007</v>
      </c>
      <c r="G2000" s="223"/>
      <c r="H2000" s="229"/>
      <c r="I2000" s="229"/>
      <c r="J2000" s="310"/>
      <c r="K2000" s="228"/>
      <c r="L2000" s="82">
        <f t="shared" si="802"/>
        <v>0</v>
      </c>
      <c r="M2000" s="331"/>
      <c r="N2000" s="161">
        <f t="shared" si="797"/>
        <v>0</v>
      </c>
      <c r="O2000" s="161">
        <f t="shared" si="798"/>
        <v>0</v>
      </c>
      <c r="P2000" s="187">
        <f t="shared" si="799"/>
        <v>0</v>
      </c>
      <c r="Q2000" s="161">
        <f t="shared" si="800"/>
        <v>0</v>
      </c>
      <c r="R2000" s="112"/>
      <c r="S2000" s="86">
        <f t="shared" si="803"/>
        <v>26</v>
      </c>
      <c r="T2000" s="87">
        <f t="shared" si="801"/>
        <v>-26</v>
      </c>
      <c r="U2000">
        <f>6+20</f>
        <v>26</v>
      </c>
    </row>
    <row r="2001" spans="2:31" ht="20.100000000000001" hidden="1" customHeight="1">
      <c r="B2001" s="107"/>
      <c r="C2001" s="108" t="s">
        <v>3550</v>
      </c>
      <c r="D2001" s="113">
        <v>665985</v>
      </c>
      <c r="E2001" s="114" t="s">
        <v>3574</v>
      </c>
      <c r="F2001" s="115">
        <v>0</v>
      </c>
      <c r="G2001" s="223">
        <v>13</v>
      </c>
      <c r="H2001" s="229"/>
      <c r="I2001" s="229"/>
      <c r="J2001" s="310"/>
      <c r="K2001" s="228"/>
      <c r="L2001" s="82">
        <f t="shared" si="802"/>
        <v>13</v>
      </c>
      <c r="M2001" s="331">
        <v>13</v>
      </c>
      <c r="N2001" s="161">
        <f t="shared" si="797"/>
        <v>0</v>
      </c>
      <c r="O2001" s="161">
        <f t="shared" si="798"/>
        <v>0</v>
      </c>
      <c r="P2001" s="187">
        <f t="shared" si="799"/>
        <v>0</v>
      </c>
      <c r="Q2001" s="161">
        <f t="shared" si="800"/>
        <v>0</v>
      </c>
      <c r="R2001" s="112"/>
      <c r="S2001" s="86">
        <f t="shared" si="803"/>
        <v>13</v>
      </c>
      <c r="T2001" s="87">
        <f t="shared" si="801"/>
        <v>0</v>
      </c>
      <c r="U2001">
        <f>11+2</f>
        <v>13</v>
      </c>
    </row>
    <row r="2002" spans="2:31" ht="20.100000000000001" hidden="1" customHeight="1">
      <c r="B2002" s="107"/>
      <c r="C2002" s="108" t="s">
        <v>3550</v>
      </c>
      <c r="D2002" s="113">
        <v>158925</v>
      </c>
      <c r="E2002" s="114" t="s">
        <v>3575</v>
      </c>
      <c r="F2002" s="115">
        <v>64.97</v>
      </c>
      <c r="G2002" s="223">
        <v>1</v>
      </c>
      <c r="H2002" s="229"/>
      <c r="I2002" s="229"/>
      <c r="J2002" s="310"/>
      <c r="K2002" s="228"/>
      <c r="L2002" s="82">
        <f t="shared" si="802"/>
        <v>1</v>
      </c>
      <c r="M2002" s="331">
        <v>1</v>
      </c>
      <c r="N2002" s="161">
        <f t="shared" si="797"/>
        <v>64.97</v>
      </c>
      <c r="O2002" s="161">
        <f t="shared" si="798"/>
        <v>64.97</v>
      </c>
      <c r="P2002" s="187">
        <f t="shared" si="799"/>
        <v>0</v>
      </c>
      <c r="Q2002" s="161">
        <f t="shared" si="800"/>
        <v>0</v>
      </c>
      <c r="R2002" s="112"/>
      <c r="S2002" s="86">
        <f t="shared" si="803"/>
        <v>2</v>
      </c>
      <c r="T2002" s="87">
        <f t="shared" si="801"/>
        <v>-1</v>
      </c>
      <c r="U2002">
        <v>2</v>
      </c>
    </row>
    <row r="2003" spans="2:31" ht="20.100000000000001" hidden="1" customHeight="1">
      <c r="B2003" s="107"/>
      <c r="C2003" s="108" t="s">
        <v>3550</v>
      </c>
      <c r="D2003" s="113" t="s">
        <v>3576</v>
      </c>
      <c r="E2003" s="114" t="s">
        <v>3577</v>
      </c>
      <c r="F2003" s="115">
        <v>49</v>
      </c>
      <c r="G2003" s="223">
        <v>1</v>
      </c>
      <c r="H2003" s="229"/>
      <c r="I2003" s="229"/>
      <c r="J2003" s="310"/>
      <c r="K2003" s="228"/>
      <c r="L2003" s="82">
        <f t="shared" si="802"/>
        <v>1</v>
      </c>
      <c r="M2003" s="331">
        <v>1</v>
      </c>
      <c r="N2003" s="161">
        <f t="shared" si="797"/>
        <v>49</v>
      </c>
      <c r="O2003" s="161">
        <f t="shared" si="798"/>
        <v>49</v>
      </c>
      <c r="P2003" s="187">
        <f t="shared" si="799"/>
        <v>0</v>
      </c>
      <c r="Q2003" s="161">
        <f t="shared" si="800"/>
        <v>0</v>
      </c>
      <c r="R2003" s="112"/>
      <c r="S2003" s="86">
        <f t="shared" si="803"/>
        <v>1</v>
      </c>
      <c r="T2003" s="87">
        <f t="shared" si="801"/>
        <v>0</v>
      </c>
      <c r="U2003">
        <v>1</v>
      </c>
    </row>
    <row r="2004" spans="2:31" ht="20.100000000000001" hidden="1" customHeight="1">
      <c r="B2004" s="107"/>
      <c r="C2004" s="108" t="s">
        <v>3550</v>
      </c>
      <c r="D2004" s="113"/>
      <c r="E2004" s="114" t="s">
        <v>3578</v>
      </c>
      <c r="F2004" s="115">
        <v>0</v>
      </c>
      <c r="G2004" s="223">
        <v>5</v>
      </c>
      <c r="H2004" s="229"/>
      <c r="I2004" s="229"/>
      <c r="J2004" s="310"/>
      <c r="K2004" s="228"/>
      <c r="L2004" s="82">
        <f t="shared" si="802"/>
        <v>5</v>
      </c>
      <c r="M2004" s="331">
        <v>5</v>
      </c>
      <c r="N2004" s="161">
        <f t="shared" si="797"/>
        <v>0</v>
      </c>
      <c r="O2004" s="161">
        <f t="shared" si="798"/>
        <v>0</v>
      </c>
      <c r="P2004" s="187">
        <f t="shared" si="799"/>
        <v>0</v>
      </c>
      <c r="Q2004" s="161">
        <f t="shared" si="800"/>
        <v>0</v>
      </c>
      <c r="R2004" s="112"/>
      <c r="S2004" s="86">
        <f t="shared" si="803"/>
        <v>5</v>
      </c>
      <c r="T2004" s="87">
        <f t="shared" si="801"/>
        <v>0</v>
      </c>
      <c r="U2004">
        <v>5</v>
      </c>
    </row>
    <row r="2005" spans="2:31" ht="20.100000000000001" hidden="1" customHeight="1">
      <c r="B2005" s="107"/>
      <c r="C2005" s="108" t="s">
        <v>3550</v>
      </c>
      <c r="D2005" s="113" t="s">
        <v>3579</v>
      </c>
      <c r="E2005" s="114" t="s">
        <v>3580</v>
      </c>
      <c r="F2005" s="115">
        <v>0</v>
      </c>
      <c r="G2005" s="223">
        <v>1</v>
      </c>
      <c r="H2005" s="229"/>
      <c r="I2005" s="229"/>
      <c r="J2005" s="310"/>
      <c r="K2005" s="228"/>
      <c r="L2005" s="82">
        <f t="shared" si="802"/>
        <v>1</v>
      </c>
      <c r="M2005" s="331">
        <v>1</v>
      </c>
      <c r="N2005" s="161">
        <f t="shared" si="797"/>
        <v>0</v>
      </c>
      <c r="O2005" s="161">
        <f t="shared" si="798"/>
        <v>0</v>
      </c>
      <c r="P2005" s="187">
        <f t="shared" si="799"/>
        <v>0</v>
      </c>
      <c r="Q2005" s="161">
        <f t="shared" si="800"/>
        <v>0</v>
      </c>
      <c r="R2005" s="112"/>
      <c r="S2005" s="86">
        <f t="shared" si="803"/>
        <v>1</v>
      </c>
      <c r="T2005" s="87">
        <f t="shared" si="801"/>
        <v>0</v>
      </c>
      <c r="AA2005">
        <v>1</v>
      </c>
      <c r="AB2005" s="92" t="s">
        <v>3581</v>
      </c>
      <c r="AD2005">
        <f>AA2005</f>
        <v>1</v>
      </c>
      <c r="AE2005" s="89">
        <f>AD2005*F2005</f>
        <v>0</v>
      </c>
    </row>
    <row r="2006" spans="2:31" ht="20.100000000000001" hidden="1" customHeight="1">
      <c r="B2006" s="107"/>
      <c r="C2006" s="108" t="s">
        <v>3550</v>
      </c>
      <c r="D2006" s="113" t="s">
        <v>3582</v>
      </c>
      <c r="E2006" s="114" t="s">
        <v>3583</v>
      </c>
      <c r="F2006" s="115">
        <v>0</v>
      </c>
      <c r="G2006" s="223">
        <v>1</v>
      </c>
      <c r="H2006" s="229"/>
      <c r="I2006" s="229"/>
      <c r="J2006" s="310"/>
      <c r="K2006" s="228"/>
      <c r="L2006" s="82">
        <f t="shared" si="802"/>
        <v>1</v>
      </c>
      <c r="M2006" s="331">
        <v>1</v>
      </c>
      <c r="N2006" s="161">
        <f t="shared" si="797"/>
        <v>0</v>
      </c>
      <c r="O2006" s="161">
        <f t="shared" si="798"/>
        <v>0</v>
      </c>
      <c r="P2006" s="187">
        <f t="shared" si="799"/>
        <v>0</v>
      </c>
      <c r="Q2006" s="161">
        <f t="shared" si="800"/>
        <v>0</v>
      </c>
      <c r="R2006" s="112"/>
      <c r="S2006" s="86">
        <f t="shared" si="803"/>
        <v>1</v>
      </c>
      <c r="T2006" s="87">
        <f t="shared" si="801"/>
        <v>0</v>
      </c>
      <c r="AA2006">
        <v>1</v>
      </c>
      <c r="AB2006" s="116" t="s">
        <v>3584</v>
      </c>
      <c r="AD2006">
        <f>AA2006</f>
        <v>1</v>
      </c>
      <c r="AE2006" s="89">
        <f>AD2006*F2006</f>
        <v>0</v>
      </c>
    </row>
    <row r="2007" spans="2:31" ht="20.100000000000001" hidden="1" customHeight="1">
      <c r="B2007" s="107"/>
      <c r="C2007" s="108" t="s">
        <v>3550</v>
      </c>
      <c r="D2007" s="4" t="s">
        <v>3768</v>
      </c>
      <c r="E2007" s="114" t="s">
        <v>3585</v>
      </c>
      <c r="F2007" s="115">
        <v>31.92</v>
      </c>
      <c r="G2007" s="223"/>
      <c r="H2007" s="229"/>
      <c r="I2007" s="229"/>
      <c r="J2007" s="310"/>
      <c r="K2007" s="228"/>
      <c r="L2007" s="82">
        <f t="shared" si="802"/>
        <v>0</v>
      </c>
      <c r="M2007" s="331"/>
      <c r="N2007" s="161">
        <f t="shared" si="797"/>
        <v>0</v>
      </c>
      <c r="O2007" s="161">
        <f t="shared" si="798"/>
        <v>0</v>
      </c>
      <c r="P2007" s="187">
        <f t="shared" si="799"/>
        <v>0</v>
      </c>
      <c r="Q2007" s="161">
        <f t="shared" si="800"/>
        <v>0</v>
      </c>
      <c r="R2007" s="112"/>
      <c r="S2007" s="86">
        <f t="shared" si="803"/>
        <v>1</v>
      </c>
      <c r="T2007" s="87">
        <f t="shared" si="801"/>
        <v>-1</v>
      </c>
      <c r="AA2007">
        <v>1</v>
      </c>
      <c r="AB2007" s="116"/>
    </row>
    <row r="2008" spans="2:31" ht="20.100000000000001" hidden="1" customHeight="1">
      <c r="B2008" s="107"/>
      <c r="C2008" s="108" t="s">
        <v>3550</v>
      </c>
      <c r="D2008" s="113">
        <v>359785</v>
      </c>
      <c r="E2008" s="114" t="s">
        <v>3586</v>
      </c>
      <c r="F2008" s="115">
        <v>91.88</v>
      </c>
      <c r="G2008" s="223">
        <v>1</v>
      </c>
      <c r="H2008" s="229"/>
      <c r="I2008" s="229"/>
      <c r="J2008" s="310"/>
      <c r="K2008" s="228"/>
      <c r="L2008" s="82">
        <f t="shared" si="802"/>
        <v>1</v>
      </c>
      <c r="M2008" s="331">
        <v>1</v>
      </c>
      <c r="N2008" s="161">
        <f t="shared" si="797"/>
        <v>91.88</v>
      </c>
      <c r="O2008" s="161">
        <f t="shared" si="798"/>
        <v>91.88</v>
      </c>
      <c r="P2008" s="187">
        <f t="shared" si="799"/>
        <v>0</v>
      </c>
      <c r="Q2008" s="161">
        <f t="shared" si="800"/>
        <v>0</v>
      </c>
      <c r="R2008" s="112"/>
      <c r="S2008" s="86">
        <f t="shared" si="803"/>
        <v>1</v>
      </c>
      <c r="T2008" s="87">
        <f t="shared" si="801"/>
        <v>0</v>
      </c>
      <c r="Y2008">
        <v>1</v>
      </c>
      <c r="Z2008" s="88" t="s">
        <v>3587</v>
      </c>
      <c r="AB2008" s="116"/>
      <c r="AD2008">
        <f>Y2008</f>
        <v>1</v>
      </c>
      <c r="AE2008" s="89">
        <f>AD2008*F2008</f>
        <v>91.88</v>
      </c>
    </row>
    <row r="2009" spans="2:31" ht="20.100000000000001" hidden="1" customHeight="1">
      <c r="B2009" s="107"/>
      <c r="C2009" s="108" t="s">
        <v>3550</v>
      </c>
      <c r="D2009" s="113">
        <v>840289</v>
      </c>
      <c r="E2009" s="114" t="s">
        <v>3588</v>
      </c>
      <c r="F2009" s="115">
        <v>13.51</v>
      </c>
      <c r="G2009" s="223">
        <v>3</v>
      </c>
      <c r="H2009" s="229"/>
      <c r="I2009" s="229"/>
      <c r="J2009" s="310"/>
      <c r="K2009" s="228"/>
      <c r="L2009" s="82">
        <f t="shared" si="802"/>
        <v>3</v>
      </c>
      <c r="M2009" s="331">
        <v>3</v>
      </c>
      <c r="N2009" s="161">
        <f t="shared" si="797"/>
        <v>40.53</v>
      </c>
      <c r="O2009" s="161">
        <f t="shared" si="798"/>
        <v>40.53</v>
      </c>
      <c r="P2009" s="187">
        <f t="shared" si="799"/>
        <v>0</v>
      </c>
      <c r="Q2009" s="161">
        <f t="shared" si="800"/>
        <v>0</v>
      </c>
      <c r="R2009" s="112"/>
      <c r="S2009" s="86">
        <f t="shared" si="803"/>
        <v>3</v>
      </c>
      <c r="T2009" s="87">
        <f t="shared" si="801"/>
        <v>0</v>
      </c>
      <c r="Y2009">
        <v>3</v>
      </c>
      <c r="AB2009" s="116"/>
    </row>
    <row r="2010" spans="2:31" ht="20.100000000000001" hidden="1" customHeight="1">
      <c r="B2010" s="107"/>
      <c r="C2010" s="108" t="s">
        <v>3550</v>
      </c>
      <c r="D2010" s="113">
        <v>166058</v>
      </c>
      <c r="E2010" s="114" t="s">
        <v>3589</v>
      </c>
      <c r="F2010" s="115">
        <v>4.54</v>
      </c>
      <c r="G2010" s="223">
        <v>18</v>
      </c>
      <c r="H2010" s="229"/>
      <c r="I2010" s="229"/>
      <c r="J2010" s="310"/>
      <c r="K2010" s="228"/>
      <c r="L2010" s="82">
        <f t="shared" si="802"/>
        <v>18</v>
      </c>
      <c r="M2010" s="331">
        <v>18</v>
      </c>
      <c r="N2010" s="161">
        <f t="shared" si="797"/>
        <v>81.72</v>
      </c>
      <c r="O2010" s="161">
        <f t="shared" si="798"/>
        <v>81.72</v>
      </c>
      <c r="P2010" s="187">
        <f t="shared" si="799"/>
        <v>0</v>
      </c>
      <c r="Q2010" s="161">
        <f t="shared" si="800"/>
        <v>0</v>
      </c>
      <c r="R2010" s="112"/>
      <c r="S2010" s="86">
        <f t="shared" si="803"/>
        <v>18</v>
      </c>
      <c r="T2010" s="87">
        <f t="shared" si="801"/>
        <v>0</v>
      </c>
      <c r="Y2010">
        <v>18</v>
      </c>
      <c r="AB2010" s="116"/>
    </row>
    <row r="2011" spans="2:31" ht="20.100000000000001" hidden="1" customHeight="1">
      <c r="B2011" s="107"/>
      <c r="C2011" s="78" t="s">
        <v>3550</v>
      </c>
      <c r="D2011" s="118" t="s">
        <v>3590</v>
      </c>
      <c r="E2011" s="119" t="s">
        <v>3591</v>
      </c>
      <c r="F2011" s="120">
        <v>0</v>
      </c>
      <c r="G2011" s="223">
        <v>10</v>
      </c>
      <c r="H2011" s="229"/>
      <c r="I2011" s="229"/>
      <c r="J2011" s="310"/>
      <c r="K2011" s="228"/>
      <c r="L2011" s="82">
        <f t="shared" si="802"/>
        <v>10</v>
      </c>
      <c r="M2011" s="331">
        <v>10</v>
      </c>
      <c r="N2011" s="161">
        <f t="shared" si="797"/>
        <v>0</v>
      </c>
      <c r="O2011" s="161">
        <f t="shared" si="798"/>
        <v>0</v>
      </c>
      <c r="P2011" s="187">
        <f t="shared" si="799"/>
        <v>0</v>
      </c>
      <c r="Q2011" s="161">
        <f t="shared" si="800"/>
        <v>0</v>
      </c>
      <c r="R2011" s="121"/>
      <c r="S2011" s="86">
        <f t="shared" si="803"/>
        <v>10</v>
      </c>
      <c r="T2011" s="87">
        <f t="shared" si="801"/>
        <v>0</v>
      </c>
      <c r="W2011">
        <v>10</v>
      </c>
      <c r="X2011" t="s">
        <v>115</v>
      </c>
      <c r="AB2011" s="116"/>
      <c r="AD2011">
        <f>W2011</f>
        <v>10</v>
      </c>
      <c r="AE2011" s="89">
        <f>AD2011*F2011</f>
        <v>0</v>
      </c>
    </row>
    <row r="2012" spans="2:31" ht="20.100000000000001" hidden="1" customHeight="1">
      <c r="B2012" s="107"/>
      <c r="C2012" s="78" t="s">
        <v>3550</v>
      </c>
      <c r="D2012" s="118" t="s">
        <v>3592</v>
      </c>
      <c r="E2012" s="119" t="s">
        <v>3593</v>
      </c>
      <c r="F2012" s="120">
        <v>189.12</v>
      </c>
      <c r="G2012" s="223">
        <v>8</v>
      </c>
      <c r="H2012" s="229"/>
      <c r="I2012" s="229"/>
      <c r="J2012" s="310"/>
      <c r="K2012" s="228"/>
      <c r="L2012" s="82">
        <f t="shared" si="802"/>
        <v>8</v>
      </c>
      <c r="M2012" s="331">
        <v>8</v>
      </c>
      <c r="N2012" s="161">
        <f t="shared" si="797"/>
        <v>1512.96</v>
      </c>
      <c r="O2012" s="161">
        <f t="shared" si="798"/>
        <v>1512.96</v>
      </c>
      <c r="P2012" s="187">
        <f t="shared" si="799"/>
        <v>0</v>
      </c>
      <c r="Q2012" s="161">
        <f t="shared" si="800"/>
        <v>0</v>
      </c>
      <c r="R2012" s="121"/>
      <c r="S2012" s="86">
        <f t="shared" si="803"/>
        <v>8</v>
      </c>
      <c r="T2012" s="87">
        <f t="shared" si="801"/>
        <v>0</v>
      </c>
      <c r="W2012">
        <v>8</v>
      </c>
      <c r="X2012" t="s">
        <v>121</v>
      </c>
      <c r="AB2012" s="116"/>
      <c r="AD2012">
        <f>W2012</f>
        <v>8</v>
      </c>
      <c r="AE2012" s="89">
        <f>AD2012*F2012</f>
        <v>1512.96</v>
      </c>
    </row>
    <row r="2013" spans="2:31" ht="20.100000000000001" hidden="1" customHeight="1">
      <c r="B2013" s="107"/>
      <c r="C2013" s="78" t="s">
        <v>3550</v>
      </c>
      <c r="D2013" s="118" t="s">
        <v>3594</v>
      </c>
      <c r="E2013" s="119" t="s">
        <v>3595</v>
      </c>
      <c r="F2013" s="120">
        <v>6.18</v>
      </c>
      <c r="G2013" s="223">
        <v>60</v>
      </c>
      <c r="H2013" s="229"/>
      <c r="I2013" s="229"/>
      <c r="J2013" s="310"/>
      <c r="K2013" s="228"/>
      <c r="L2013" s="82">
        <f t="shared" si="802"/>
        <v>60</v>
      </c>
      <c r="M2013" s="331">
        <v>60</v>
      </c>
      <c r="N2013" s="161">
        <f t="shared" si="797"/>
        <v>370.79999999999995</v>
      </c>
      <c r="O2013" s="161">
        <f t="shared" si="798"/>
        <v>370.79999999999995</v>
      </c>
      <c r="P2013" s="187">
        <f t="shared" si="799"/>
        <v>0</v>
      </c>
      <c r="Q2013" s="161">
        <f t="shared" si="800"/>
        <v>0</v>
      </c>
      <c r="R2013" s="121"/>
      <c r="S2013" s="86">
        <f t="shared" si="803"/>
        <v>50</v>
      </c>
      <c r="T2013" s="87">
        <f t="shared" si="801"/>
        <v>10</v>
      </c>
      <c r="W2013">
        <v>50</v>
      </c>
      <c r="AB2013" s="116"/>
    </row>
    <row r="2014" spans="2:31" ht="20.100000000000001" hidden="1" customHeight="1">
      <c r="B2014" s="107"/>
      <c r="C2014" s="78" t="s">
        <v>3550</v>
      </c>
      <c r="D2014" s="118" t="s">
        <v>3596</v>
      </c>
      <c r="E2014" s="119" t="s">
        <v>3597</v>
      </c>
      <c r="F2014" s="120">
        <v>15.14</v>
      </c>
      <c r="G2014" s="223">
        <v>28</v>
      </c>
      <c r="H2014" s="229"/>
      <c r="I2014" s="229"/>
      <c r="J2014" s="310"/>
      <c r="K2014" s="228"/>
      <c r="L2014" s="82">
        <f t="shared" si="802"/>
        <v>28</v>
      </c>
      <c r="M2014" s="331">
        <v>28</v>
      </c>
      <c r="N2014" s="161">
        <f t="shared" si="797"/>
        <v>423.92</v>
      </c>
      <c r="O2014" s="161">
        <f t="shared" si="798"/>
        <v>423.92</v>
      </c>
      <c r="P2014" s="187">
        <f t="shared" si="799"/>
        <v>0</v>
      </c>
      <c r="Q2014" s="161">
        <f t="shared" si="800"/>
        <v>0</v>
      </c>
      <c r="R2014" s="121"/>
      <c r="S2014" s="86">
        <f t="shared" si="803"/>
        <v>28</v>
      </c>
      <c r="T2014" s="87">
        <f t="shared" si="801"/>
        <v>0</v>
      </c>
      <c r="W2014">
        <v>28</v>
      </c>
      <c r="X2014" t="s">
        <v>115</v>
      </c>
      <c r="AB2014" s="116"/>
      <c r="AD2014">
        <f>W2014</f>
        <v>28</v>
      </c>
      <c r="AE2014" s="89">
        <f>AD2014*F2014</f>
        <v>423.92</v>
      </c>
    </row>
    <row r="2015" spans="2:31" ht="20.100000000000001" hidden="1" customHeight="1">
      <c r="B2015" s="107"/>
      <c r="C2015" s="78" t="s">
        <v>3550</v>
      </c>
      <c r="D2015" s="118" t="s">
        <v>3598</v>
      </c>
      <c r="E2015" s="119" t="s">
        <v>3599</v>
      </c>
      <c r="F2015" s="120">
        <v>0</v>
      </c>
      <c r="G2015" s="223">
        <v>1</v>
      </c>
      <c r="H2015" s="229"/>
      <c r="I2015" s="229"/>
      <c r="J2015" s="310"/>
      <c r="K2015" s="228"/>
      <c r="L2015" s="82">
        <f t="shared" si="802"/>
        <v>1</v>
      </c>
      <c r="M2015" s="331">
        <v>1</v>
      </c>
      <c r="N2015" s="161">
        <f t="shared" si="797"/>
        <v>0</v>
      </c>
      <c r="O2015" s="161">
        <f t="shared" si="798"/>
        <v>0</v>
      </c>
      <c r="P2015" s="187">
        <f t="shared" si="799"/>
        <v>0</v>
      </c>
      <c r="Q2015" s="161">
        <f t="shared" si="800"/>
        <v>0</v>
      </c>
      <c r="R2015" s="121"/>
      <c r="S2015" s="86">
        <f t="shared" si="803"/>
        <v>1</v>
      </c>
      <c r="T2015" s="87">
        <f t="shared" si="801"/>
        <v>0</v>
      </c>
      <c r="W2015">
        <v>1</v>
      </c>
      <c r="X2015" t="s">
        <v>523</v>
      </c>
      <c r="AB2015" s="116"/>
      <c r="AD2015">
        <f>W2015</f>
        <v>1</v>
      </c>
      <c r="AE2015" s="89">
        <f>AD2015*F2015</f>
        <v>0</v>
      </c>
    </row>
    <row r="2016" spans="2:31" ht="20.100000000000001" hidden="1" customHeight="1">
      <c r="B2016" s="107"/>
      <c r="C2016" s="78" t="s">
        <v>3550</v>
      </c>
      <c r="D2016" s="118" t="s">
        <v>3600</v>
      </c>
      <c r="E2016" s="119" t="s">
        <v>3818</v>
      </c>
      <c r="F2016" s="120">
        <v>0</v>
      </c>
      <c r="G2016" s="223">
        <v>7</v>
      </c>
      <c r="H2016" s="229"/>
      <c r="I2016" s="229"/>
      <c r="J2016" s="310"/>
      <c r="K2016" s="228"/>
      <c r="L2016" s="82">
        <f t="shared" si="802"/>
        <v>7</v>
      </c>
      <c r="M2016" s="331">
        <v>7</v>
      </c>
      <c r="N2016" s="161">
        <f t="shared" si="797"/>
        <v>0</v>
      </c>
      <c r="O2016" s="161">
        <f t="shared" si="798"/>
        <v>0</v>
      </c>
      <c r="P2016" s="187">
        <f t="shared" si="799"/>
        <v>0</v>
      </c>
      <c r="Q2016" s="161">
        <f t="shared" si="800"/>
        <v>0</v>
      </c>
      <c r="R2016" s="121"/>
      <c r="S2016" s="86">
        <f t="shared" si="803"/>
        <v>7</v>
      </c>
      <c r="T2016" s="87">
        <f t="shared" si="801"/>
        <v>0</v>
      </c>
      <c r="W2016">
        <v>7</v>
      </c>
      <c r="X2016" t="s">
        <v>121</v>
      </c>
      <c r="AB2016" s="116"/>
      <c r="AD2016">
        <f>W2016</f>
        <v>7</v>
      </c>
      <c r="AE2016" s="89">
        <f>AD2016*F2016</f>
        <v>0</v>
      </c>
    </row>
    <row r="2017" spans="2:31" ht="20.100000000000001" hidden="1" customHeight="1">
      <c r="B2017" s="107"/>
      <c r="C2017" s="78" t="s">
        <v>3550</v>
      </c>
      <c r="D2017" s="118" t="s">
        <v>3601</v>
      </c>
      <c r="E2017" s="119" t="s">
        <v>3585</v>
      </c>
      <c r="F2017" s="120">
        <v>32</v>
      </c>
      <c r="G2017" s="223">
        <v>6</v>
      </c>
      <c r="H2017" s="229"/>
      <c r="I2017" s="229"/>
      <c r="J2017" s="310"/>
      <c r="K2017" s="228"/>
      <c r="L2017" s="82">
        <f t="shared" si="802"/>
        <v>6</v>
      </c>
      <c r="M2017" s="331">
        <v>6</v>
      </c>
      <c r="N2017" s="161">
        <f t="shared" si="797"/>
        <v>192</v>
      </c>
      <c r="O2017" s="161">
        <f t="shared" si="798"/>
        <v>192</v>
      </c>
      <c r="P2017" s="187">
        <f t="shared" si="799"/>
        <v>0</v>
      </c>
      <c r="Q2017" s="161">
        <f t="shared" si="800"/>
        <v>0</v>
      </c>
      <c r="R2017" s="121"/>
      <c r="S2017" s="86">
        <f t="shared" si="803"/>
        <v>6</v>
      </c>
      <c r="T2017" s="87">
        <f t="shared" si="801"/>
        <v>0</v>
      </c>
      <c r="W2017">
        <v>6</v>
      </c>
      <c r="X2017" t="s">
        <v>121</v>
      </c>
      <c r="AB2017" s="116"/>
      <c r="AD2017">
        <f>W2017</f>
        <v>6</v>
      </c>
      <c r="AE2017" s="89">
        <f>AD2017*F2017</f>
        <v>192</v>
      </c>
    </row>
    <row r="2018" spans="2:31" ht="20.100000000000001" hidden="1" customHeight="1">
      <c r="B2018" s="107"/>
      <c r="C2018" s="78" t="s">
        <v>3550</v>
      </c>
      <c r="D2018" s="175" t="s">
        <v>3602</v>
      </c>
      <c r="E2018" s="176" t="s">
        <v>3603</v>
      </c>
      <c r="F2018" s="120">
        <v>0</v>
      </c>
      <c r="G2018" s="223"/>
      <c r="H2018" s="229"/>
      <c r="I2018" s="229"/>
      <c r="J2018" s="310"/>
      <c r="K2018" s="228"/>
      <c r="L2018" s="82">
        <f t="shared" si="802"/>
        <v>0</v>
      </c>
      <c r="M2018" s="331"/>
      <c r="N2018" s="161">
        <f t="shared" si="797"/>
        <v>0</v>
      </c>
      <c r="O2018" s="161">
        <f t="shared" si="798"/>
        <v>0</v>
      </c>
      <c r="P2018" s="187">
        <f t="shared" si="799"/>
        <v>0</v>
      </c>
      <c r="Q2018" s="161">
        <f t="shared" si="800"/>
        <v>0</v>
      </c>
      <c r="R2018" s="121"/>
      <c r="S2018" s="86">
        <f t="shared" si="803"/>
        <v>2</v>
      </c>
      <c r="T2018" s="87">
        <f t="shared" si="801"/>
        <v>-2</v>
      </c>
      <c r="W2018">
        <v>2</v>
      </c>
      <c r="X2018" t="s">
        <v>115</v>
      </c>
      <c r="AB2018" s="116"/>
      <c r="AD2018">
        <f>W2018</f>
        <v>2</v>
      </c>
      <c r="AE2018" s="89">
        <f>AD2018*F2018</f>
        <v>0</v>
      </c>
    </row>
    <row r="2019" spans="2:31" ht="20.100000000000001" hidden="1" customHeight="1">
      <c r="B2019" s="77"/>
      <c r="C2019" s="117" t="s">
        <v>3550</v>
      </c>
      <c r="D2019" s="95" t="s">
        <v>3604</v>
      </c>
      <c r="E2019" s="80" t="s">
        <v>3605</v>
      </c>
      <c r="F2019" s="81">
        <v>10.199999999999999</v>
      </c>
      <c r="G2019" s="222">
        <v>14</v>
      </c>
      <c r="H2019" s="186"/>
      <c r="I2019" s="186"/>
      <c r="J2019" s="308"/>
      <c r="K2019" s="227"/>
      <c r="L2019" s="82">
        <f t="shared" si="802"/>
        <v>14</v>
      </c>
      <c r="M2019" s="331">
        <v>14</v>
      </c>
      <c r="N2019" s="161">
        <f t="shared" si="797"/>
        <v>142.79999999999998</v>
      </c>
      <c r="O2019" s="161">
        <f t="shared" si="798"/>
        <v>142.79999999999998</v>
      </c>
      <c r="P2019" s="187">
        <f t="shared" si="799"/>
        <v>0</v>
      </c>
      <c r="Q2019" s="161">
        <f t="shared" si="800"/>
        <v>0</v>
      </c>
      <c r="R2019" s="85"/>
      <c r="S2019" s="86">
        <f t="shared" si="803"/>
        <v>18</v>
      </c>
      <c r="T2019" s="87">
        <f t="shared" si="801"/>
        <v>-4</v>
      </c>
      <c r="U2019">
        <v>18</v>
      </c>
    </row>
    <row r="2020" spans="2:31" ht="20.100000000000001" hidden="1" customHeight="1">
      <c r="B2020" s="77"/>
      <c r="C2020" s="117" t="s">
        <v>3550</v>
      </c>
      <c r="D2020" s="95" t="s">
        <v>3606</v>
      </c>
      <c r="E2020" s="80" t="s">
        <v>3607</v>
      </c>
      <c r="F2020" s="81">
        <v>61.75</v>
      </c>
      <c r="G2020" s="222">
        <v>4</v>
      </c>
      <c r="H2020" s="186"/>
      <c r="I2020" s="186"/>
      <c r="J2020" s="308"/>
      <c r="K2020" s="227"/>
      <c r="L2020" s="82">
        <f t="shared" si="802"/>
        <v>4</v>
      </c>
      <c r="M2020" s="331">
        <v>4</v>
      </c>
      <c r="N2020" s="161">
        <f t="shared" si="797"/>
        <v>247</v>
      </c>
      <c r="O2020" s="161">
        <f t="shared" si="798"/>
        <v>247</v>
      </c>
      <c r="P2020" s="187">
        <f t="shared" si="799"/>
        <v>0</v>
      </c>
      <c r="Q2020" s="161">
        <f t="shared" si="800"/>
        <v>0</v>
      </c>
      <c r="R2020" s="85"/>
      <c r="S2020" s="86">
        <f t="shared" si="803"/>
        <v>37</v>
      </c>
      <c r="T2020" s="87">
        <f t="shared" si="801"/>
        <v>-33</v>
      </c>
      <c r="U2020">
        <v>37</v>
      </c>
    </row>
    <row r="2021" spans="2:31" ht="20.100000000000001" hidden="1" customHeight="1">
      <c r="B2021" s="77"/>
      <c r="C2021" s="117" t="s">
        <v>3550</v>
      </c>
      <c r="D2021" s="79"/>
      <c r="E2021" s="80" t="s">
        <v>3608</v>
      </c>
      <c r="F2021" s="81">
        <v>50.8</v>
      </c>
      <c r="G2021" s="222">
        <v>20</v>
      </c>
      <c r="H2021" s="186"/>
      <c r="I2021" s="186"/>
      <c r="J2021" s="308"/>
      <c r="K2021" s="227"/>
      <c r="L2021" s="82">
        <f t="shared" si="802"/>
        <v>20</v>
      </c>
      <c r="M2021" s="331">
        <v>20</v>
      </c>
      <c r="N2021" s="161">
        <f t="shared" si="797"/>
        <v>1016</v>
      </c>
      <c r="O2021" s="161">
        <f t="shared" si="798"/>
        <v>1016</v>
      </c>
      <c r="P2021" s="187">
        <f t="shared" si="799"/>
        <v>0</v>
      </c>
      <c r="Q2021" s="161">
        <f t="shared" si="800"/>
        <v>0</v>
      </c>
      <c r="R2021" s="85"/>
      <c r="S2021" s="86">
        <f t="shared" si="803"/>
        <v>20</v>
      </c>
      <c r="T2021" s="87">
        <f t="shared" si="801"/>
        <v>0</v>
      </c>
      <c r="U2021">
        <v>20</v>
      </c>
    </row>
    <row r="2022" spans="2:31" ht="20.100000000000001" hidden="1" customHeight="1">
      <c r="B2022" s="77"/>
      <c r="C2022" s="117" t="s">
        <v>3550</v>
      </c>
      <c r="D2022" s="69" t="s">
        <v>3609</v>
      </c>
      <c r="E2022" s="80" t="s">
        <v>3610</v>
      </c>
      <c r="F2022" s="81">
        <v>50.8</v>
      </c>
      <c r="G2022" s="222">
        <v>11</v>
      </c>
      <c r="H2022" s="186"/>
      <c r="I2022" s="186"/>
      <c r="J2022" s="308"/>
      <c r="K2022" s="227">
        <v>2</v>
      </c>
      <c r="L2022" s="82">
        <f t="shared" si="802"/>
        <v>9</v>
      </c>
      <c r="M2022" s="331">
        <v>9</v>
      </c>
      <c r="N2022" s="161">
        <f t="shared" si="797"/>
        <v>457.2</v>
      </c>
      <c r="O2022" s="161">
        <f t="shared" si="798"/>
        <v>457.2</v>
      </c>
      <c r="P2022" s="187">
        <f t="shared" si="799"/>
        <v>0</v>
      </c>
      <c r="Q2022" s="161">
        <f t="shared" si="800"/>
        <v>0</v>
      </c>
      <c r="R2022" s="85"/>
      <c r="S2022" s="86">
        <f t="shared" si="803"/>
        <v>1</v>
      </c>
      <c r="T2022" s="87">
        <f t="shared" si="801"/>
        <v>8</v>
      </c>
      <c r="U2022">
        <v>1</v>
      </c>
    </row>
    <row r="2023" spans="2:31" ht="20.100000000000001" hidden="1" customHeight="1">
      <c r="B2023" s="77"/>
      <c r="C2023" s="117" t="s">
        <v>3550</v>
      </c>
      <c r="D2023" s="79">
        <v>605078</v>
      </c>
      <c r="E2023" s="80" t="s">
        <v>3611</v>
      </c>
      <c r="F2023" s="81">
        <v>6.8849999999999998</v>
      </c>
      <c r="G2023" s="222">
        <v>107</v>
      </c>
      <c r="H2023" s="186"/>
      <c r="I2023" s="186"/>
      <c r="J2023" s="308"/>
      <c r="K2023" s="227"/>
      <c r="L2023" s="82">
        <f t="shared" si="802"/>
        <v>107</v>
      </c>
      <c r="M2023" s="331">
        <v>107</v>
      </c>
      <c r="N2023" s="161">
        <f t="shared" si="797"/>
        <v>736.69499999999994</v>
      </c>
      <c r="O2023" s="161">
        <f t="shared" si="798"/>
        <v>736.69499999999994</v>
      </c>
      <c r="P2023" s="187">
        <f t="shared" si="799"/>
        <v>0</v>
      </c>
      <c r="Q2023" s="161">
        <f t="shared" si="800"/>
        <v>0</v>
      </c>
      <c r="R2023" s="85"/>
      <c r="S2023" s="86">
        <f t="shared" si="803"/>
        <v>107</v>
      </c>
      <c r="T2023" s="87">
        <f t="shared" si="801"/>
        <v>0</v>
      </c>
      <c r="U2023">
        <v>107</v>
      </c>
    </row>
    <row r="2024" spans="2:31" ht="20.100000000000001" hidden="1" customHeight="1">
      <c r="B2024" s="77"/>
      <c r="C2024" s="117" t="s">
        <v>3550</v>
      </c>
      <c r="D2024" s="79">
        <v>601115</v>
      </c>
      <c r="E2024" s="80" t="s">
        <v>3612</v>
      </c>
      <c r="F2024" s="81">
        <v>10</v>
      </c>
      <c r="G2024" s="222">
        <v>4</v>
      </c>
      <c r="H2024" s="186"/>
      <c r="I2024" s="186"/>
      <c r="J2024" s="308"/>
      <c r="K2024" s="227"/>
      <c r="L2024" s="82">
        <f t="shared" si="802"/>
        <v>4</v>
      </c>
      <c r="M2024" s="331">
        <v>4</v>
      </c>
      <c r="N2024" s="161">
        <f t="shared" si="797"/>
        <v>40</v>
      </c>
      <c r="O2024" s="161">
        <f t="shared" si="798"/>
        <v>40</v>
      </c>
      <c r="P2024" s="187">
        <f t="shared" si="799"/>
        <v>0</v>
      </c>
      <c r="Q2024" s="161">
        <f t="shared" si="800"/>
        <v>0</v>
      </c>
      <c r="R2024" s="85"/>
      <c r="S2024" s="86">
        <f t="shared" si="803"/>
        <v>4</v>
      </c>
      <c r="T2024" s="87">
        <f t="shared" si="801"/>
        <v>0</v>
      </c>
      <c r="U2024">
        <v>2</v>
      </c>
      <c r="V2024" s="88" t="s">
        <v>45</v>
      </c>
      <c r="AA2024">
        <v>2</v>
      </c>
      <c r="AB2024" s="88" t="s">
        <v>91</v>
      </c>
      <c r="AD2024" s="17">
        <f>M2024</f>
        <v>4</v>
      </c>
      <c r="AE2024" s="89">
        <f>AD2024*F2024</f>
        <v>40</v>
      </c>
    </row>
    <row r="2025" spans="2:31" ht="20.100000000000001" hidden="1" customHeight="1">
      <c r="B2025" s="77"/>
      <c r="C2025" s="117" t="s">
        <v>3550</v>
      </c>
      <c r="D2025" s="69" t="s">
        <v>3613</v>
      </c>
      <c r="E2025" s="96" t="s">
        <v>3614</v>
      </c>
      <c r="F2025" s="122">
        <v>97.36</v>
      </c>
      <c r="G2025" s="222"/>
      <c r="H2025" s="186"/>
      <c r="I2025" s="186"/>
      <c r="J2025" s="308"/>
      <c r="K2025" s="227"/>
      <c r="L2025" s="82">
        <f t="shared" si="802"/>
        <v>0</v>
      </c>
      <c r="M2025" s="331"/>
      <c r="N2025" s="161">
        <f t="shared" si="797"/>
        <v>0</v>
      </c>
      <c r="O2025" s="161">
        <f t="shared" si="798"/>
        <v>0</v>
      </c>
      <c r="P2025" s="187">
        <f t="shared" si="799"/>
        <v>0</v>
      </c>
      <c r="Q2025" s="161">
        <f t="shared" si="800"/>
        <v>0</v>
      </c>
      <c r="R2025" s="85"/>
      <c r="S2025" s="86"/>
      <c r="T2025" s="87"/>
      <c r="V2025" s="88"/>
      <c r="AB2025" s="88"/>
      <c r="AD2025" s="17"/>
      <c r="AE2025" s="89"/>
    </row>
    <row r="2026" spans="2:31" ht="20.100000000000001" hidden="1" customHeight="1">
      <c r="B2026" s="77"/>
      <c r="C2026" s="117" t="s">
        <v>3550</v>
      </c>
      <c r="D2026" s="69" t="s">
        <v>3615</v>
      </c>
      <c r="E2026" s="96" t="s">
        <v>3616</v>
      </c>
      <c r="F2026" s="123">
        <v>5.85</v>
      </c>
      <c r="G2026" s="222"/>
      <c r="H2026" s="186"/>
      <c r="I2026" s="186"/>
      <c r="J2026" s="308"/>
      <c r="K2026" s="227"/>
      <c r="L2026" s="82">
        <f t="shared" si="802"/>
        <v>0</v>
      </c>
      <c r="M2026" s="331"/>
      <c r="N2026" s="161">
        <f t="shared" si="797"/>
        <v>0</v>
      </c>
      <c r="O2026" s="161">
        <f t="shared" si="798"/>
        <v>0</v>
      </c>
      <c r="P2026" s="187">
        <f t="shared" si="799"/>
        <v>0</v>
      </c>
      <c r="Q2026" s="161">
        <f t="shared" si="800"/>
        <v>0</v>
      </c>
      <c r="R2026" s="85"/>
      <c r="S2026" s="86"/>
      <c r="T2026" s="87"/>
      <c r="V2026" s="88"/>
      <c r="AB2026" s="88"/>
      <c r="AD2026" s="17"/>
      <c r="AE2026" s="89"/>
    </row>
    <row r="2027" spans="2:31" ht="20.100000000000001" hidden="1" customHeight="1">
      <c r="B2027" s="77"/>
      <c r="C2027" s="117" t="s">
        <v>3550</v>
      </c>
      <c r="D2027" s="69" t="s">
        <v>3617</v>
      </c>
      <c r="E2027" s="96" t="s">
        <v>3618</v>
      </c>
      <c r="F2027" s="123">
        <v>1160.3499999999999</v>
      </c>
      <c r="G2027" s="222">
        <v>7</v>
      </c>
      <c r="H2027" s="186"/>
      <c r="I2027" s="186"/>
      <c r="J2027" s="308"/>
      <c r="K2027" s="227">
        <v>3</v>
      </c>
      <c r="L2027" s="82">
        <f t="shared" si="802"/>
        <v>4</v>
      </c>
      <c r="M2027" s="331">
        <v>4</v>
      </c>
      <c r="N2027" s="161">
        <f t="shared" si="797"/>
        <v>4641.3999999999996</v>
      </c>
      <c r="O2027" s="161">
        <f t="shared" si="798"/>
        <v>4641.3999999999996</v>
      </c>
      <c r="P2027" s="187">
        <f t="shared" ref="P2027:P2063" si="804">L2027-M2027</f>
        <v>0</v>
      </c>
      <c r="Q2027" s="161">
        <f t="shared" ref="Q2027:Q2063" si="805">N2027-O2027</f>
        <v>0</v>
      </c>
      <c r="R2027" s="85"/>
      <c r="S2027" s="86"/>
      <c r="T2027" s="87"/>
      <c r="V2027" s="88"/>
      <c r="AB2027" s="88"/>
      <c r="AD2027" s="17"/>
      <c r="AE2027" s="89"/>
    </row>
    <row r="2028" spans="2:31" ht="20.100000000000001" hidden="1" customHeight="1">
      <c r="B2028" s="77"/>
      <c r="C2028" s="117" t="s">
        <v>3550</v>
      </c>
      <c r="D2028" s="69" t="s">
        <v>3619</v>
      </c>
      <c r="E2028" s="96" t="s">
        <v>3620</v>
      </c>
      <c r="F2028" s="122">
        <v>25.75</v>
      </c>
      <c r="G2028" s="222">
        <v>12</v>
      </c>
      <c r="H2028" s="186"/>
      <c r="I2028" s="186"/>
      <c r="J2028" s="308"/>
      <c r="K2028" s="227"/>
      <c r="L2028" s="82">
        <f t="shared" si="802"/>
        <v>12</v>
      </c>
      <c r="M2028" s="331">
        <v>12</v>
      </c>
      <c r="N2028" s="161">
        <f t="shared" si="797"/>
        <v>309</v>
      </c>
      <c r="O2028" s="161">
        <f t="shared" si="798"/>
        <v>309</v>
      </c>
      <c r="P2028" s="187">
        <f t="shared" si="804"/>
        <v>0</v>
      </c>
      <c r="Q2028" s="161">
        <f t="shared" si="805"/>
        <v>0</v>
      </c>
      <c r="R2028" s="85"/>
      <c r="S2028" s="86"/>
      <c r="T2028" s="87"/>
      <c r="V2028" s="88"/>
      <c r="AB2028" s="88"/>
      <c r="AD2028" s="17"/>
      <c r="AE2028" s="89"/>
    </row>
    <row r="2029" spans="2:31" ht="20.100000000000001" hidden="1" customHeight="1">
      <c r="B2029" s="77"/>
      <c r="C2029" s="117" t="s">
        <v>3550</v>
      </c>
      <c r="D2029" s="69" t="s">
        <v>3621</v>
      </c>
      <c r="E2029" s="96" t="s">
        <v>3622</v>
      </c>
      <c r="F2029" s="123">
        <v>120.95</v>
      </c>
      <c r="G2029" s="222">
        <v>12</v>
      </c>
      <c r="H2029" s="186"/>
      <c r="I2029" s="186"/>
      <c r="J2029" s="308"/>
      <c r="K2029" s="227">
        <v>5</v>
      </c>
      <c r="L2029" s="82">
        <f t="shared" si="802"/>
        <v>7</v>
      </c>
      <c r="M2029" s="331">
        <v>7</v>
      </c>
      <c r="N2029" s="161">
        <f t="shared" ref="N2029:N2063" si="806">F2029*L2029</f>
        <v>846.65</v>
      </c>
      <c r="O2029" s="161">
        <f t="shared" ref="O2029:O2063" si="807">M2029*F2029</f>
        <v>846.65</v>
      </c>
      <c r="P2029" s="187">
        <f t="shared" si="804"/>
        <v>0</v>
      </c>
      <c r="Q2029" s="161">
        <f t="shared" si="805"/>
        <v>0</v>
      </c>
      <c r="R2029" s="85"/>
      <c r="S2029" s="86"/>
      <c r="T2029" s="87"/>
      <c r="V2029" s="88"/>
      <c r="AB2029" s="88"/>
      <c r="AD2029" s="17"/>
      <c r="AE2029" s="89"/>
    </row>
    <row r="2030" spans="2:31" ht="20.100000000000001" hidden="1" customHeight="1">
      <c r="B2030" s="77"/>
      <c r="C2030" s="117" t="s">
        <v>3550</v>
      </c>
      <c r="D2030" s="69" t="s">
        <v>3623</v>
      </c>
      <c r="E2030" s="96" t="s">
        <v>3624</v>
      </c>
      <c r="F2030" s="122">
        <v>89.91</v>
      </c>
      <c r="G2030" s="222">
        <v>6</v>
      </c>
      <c r="H2030" s="186"/>
      <c r="I2030" s="186"/>
      <c r="J2030" s="308"/>
      <c r="K2030" s="227">
        <v>1</v>
      </c>
      <c r="L2030" s="82">
        <f t="shared" si="802"/>
        <v>5</v>
      </c>
      <c r="M2030" s="331">
        <v>5</v>
      </c>
      <c r="N2030" s="161">
        <f t="shared" si="806"/>
        <v>449.54999999999995</v>
      </c>
      <c r="O2030" s="161">
        <f t="shared" si="807"/>
        <v>449.54999999999995</v>
      </c>
      <c r="P2030" s="187">
        <f t="shared" si="804"/>
        <v>0</v>
      </c>
      <c r="Q2030" s="161">
        <f t="shared" si="805"/>
        <v>0</v>
      </c>
      <c r="R2030" s="232"/>
      <c r="S2030" s="86"/>
      <c r="T2030" s="87"/>
      <c r="V2030" s="88"/>
      <c r="AB2030" s="88"/>
      <c r="AD2030" s="17"/>
      <c r="AE2030" s="89"/>
    </row>
    <row r="2031" spans="2:31" ht="20.100000000000001" hidden="1" customHeight="1">
      <c r="B2031" s="77"/>
      <c r="C2031" s="117" t="s">
        <v>3550</v>
      </c>
      <c r="D2031" s="69" t="s">
        <v>3625</v>
      </c>
      <c r="E2031" s="96" t="s">
        <v>3626</v>
      </c>
      <c r="F2031" s="277">
        <v>759.98</v>
      </c>
      <c r="G2031" s="222"/>
      <c r="H2031" s="186"/>
      <c r="I2031" s="186">
        <v>4</v>
      </c>
      <c r="J2031" s="308"/>
      <c r="K2031" s="227">
        <v>2</v>
      </c>
      <c r="L2031" s="82">
        <f t="shared" ref="L2031:L2063" si="808">G2031+I2031-J2031-K2031+H2031</f>
        <v>2</v>
      </c>
      <c r="M2031" s="331">
        <v>2</v>
      </c>
      <c r="N2031" s="161">
        <f t="shared" si="806"/>
        <v>1519.96</v>
      </c>
      <c r="O2031" s="161">
        <f t="shared" si="807"/>
        <v>1519.96</v>
      </c>
      <c r="P2031" s="187">
        <f t="shared" si="804"/>
        <v>0</v>
      </c>
      <c r="Q2031" s="161">
        <f t="shared" si="805"/>
        <v>0</v>
      </c>
      <c r="R2031" s="85"/>
      <c r="S2031" s="86"/>
      <c r="T2031" s="87"/>
      <c r="V2031" s="88"/>
      <c r="AB2031" s="88"/>
      <c r="AD2031" s="17"/>
      <c r="AE2031" s="89"/>
    </row>
    <row r="2032" spans="2:31" ht="20.100000000000001" hidden="1" customHeight="1">
      <c r="B2032" s="77"/>
      <c r="C2032" s="117" t="s">
        <v>3550</v>
      </c>
      <c r="D2032" s="69" t="s">
        <v>3627</v>
      </c>
      <c r="E2032" s="96" t="s">
        <v>3628</v>
      </c>
      <c r="F2032" s="123">
        <v>16.91</v>
      </c>
      <c r="G2032" s="222">
        <v>10</v>
      </c>
      <c r="H2032" s="186"/>
      <c r="I2032" s="186"/>
      <c r="J2032" s="308"/>
      <c r="K2032" s="227">
        <v>7</v>
      </c>
      <c r="L2032" s="82">
        <f t="shared" si="808"/>
        <v>3</v>
      </c>
      <c r="M2032" s="331">
        <v>3</v>
      </c>
      <c r="N2032" s="161">
        <f t="shared" si="806"/>
        <v>50.730000000000004</v>
      </c>
      <c r="O2032" s="161">
        <f t="shared" si="807"/>
        <v>50.730000000000004</v>
      </c>
      <c r="P2032" s="187">
        <f t="shared" si="804"/>
        <v>0</v>
      </c>
      <c r="Q2032" s="161">
        <f t="shared" si="805"/>
        <v>0</v>
      </c>
      <c r="R2032" s="85"/>
      <c r="S2032" s="86"/>
      <c r="T2032" s="87"/>
      <c r="V2032" s="88"/>
      <c r="AB2032" s="88"/>
      <c r="AD2032" s="17"/>
      <c r="AE2032" s="89"/>
    </row>
    <row r="2033" spans="2:31" ht="20.100000000000001" hidden="1" customHeight="1">
      <c r="B2033" s="77"/>
      <c r="C2033" s="117" t="s">
        <v>3550</v>
      </c>
      <c r="D2033" s="69" t="s">
        <v>3629</v>
      </c>
      <c r="E2033" s="96" t="s">
        <v>3630</v>
      </c>
      <c r="F2033" s="122">
        <v>8.15</v>
      </c>
      <c r="G2033" s="222"/>
      <c r="H2033" s="186"/>
      <c r="I2033" s="186"/>
      <c r="J2033" s="308"/>
      <c r="K2033" s="227"/>
      <c r="L2033" s="82">
        <f t="shared" si="808"/>
        <v>0</v>
      </c>
      <c r="M2033" s="331"/>
      <c r="N2033" s="161">
        <f t="shared" si="806"/>
        <v>0</v>
      </c>
      <c r="O2033" s="161">
        <f t="shared" si="807"/>
        <v>0</v>
      </c>
      <c r="P2033" s="187">
        <f t="shared" si="804"/>
        <v>0</v>
      </c>
      <c r="Q2033" s="161">
        <f t="shared" si="805"/>
        <v>0</v>
      </c>
      <c r="R2033" s="85"/>
      <c r="S2033" s="86"/>
      <c r="T2033" s="87"/>
      <c r="V2033" s="88"/>
      <c r="AB2033" s="88"/>
      <c r="AD2033" s="17"/>
      <c r="AE2033" s="89"/>
    </row>
    <row r="2034" spans="2:31" ht="20.100000000000001" hidden="1" customHeight="1">
      <c r="B2034" s="77"/>
      <c r="C2034" s="117" t="s">
        <v>3550</v>
      </c>
      <c r="D2034" s="69" t="s">
        <v>3631</v>
      </c>
      <c r="E2034" s="96" t="s">
        <v>3632</v>
      </c>
      <c r="F2034" s="122">
        <v>42.87</v>
      </c>
      <c r="G2034" s="222">
        <v>22</v>
      </c>
      <c r="H2034" s="186"/>
      <c r="I2034" s="186"/>
      <c r="J2034" s="308"/>
      <c r="K2034" s="227">
        <v>3</v>
      </c>
      <c r="L2034" s="82">
        <f t="shared" si="808"/>
        <v>19</v>
      </c>
      <c r="M2034" s="331">
        <v>19</v>
      </c>
      <c r="N2034" s="161">
        <f t="shared" si="806"/>
        <v>814.53</v>
      </c>
      <c r="O2034" s="161">
        <f t="shared" si="807"/>
        <v>814.53</v>
      </c>
      <c r="P2034" s="187">
        <f t="shared" si="804"/>
        <v>0</v>
      </c>
      <c r="Q2034" s="161">
        <f t="shared" si="805"/>
        <v>0</v>
      </c>
      <c r="R2034" s="85"/>
      <c r="S2034" s="86"/>
      <c r="T2034" s="87"/>
      <c r="V2034" s="88"/>
      <c r="AB2034" s="88"/>
      <c r="AD2034" s="17"/>
      <c r="AE2034" s="89"/>
    </row>
    <row r="2035" spans="2:31" ht="20.100000000000001" customHeight="1">
      <c r="B2035" s="77"/>
      <c r="C2035" s="117" t="s">
        <v>3550</v>
      </c>
      <c r="D2035" s="69" t="s">
        <v>3633</v>
      </c>
      <c r="E2035" s="96" t="s">
        <v>3634</v>
      </c>
      <c r="F2035" s="123">
        <v>6.03</v>
      </c>
      <c r="G2035" s="222">
        <v>4</v>
      </c>
      <c r="H2035" s="186"/>
      <c r="I2035" s="186"/>
      <c r="J2035" s="308"/>
      <c r="K2035" s="227">
        <v>3</v>
      </c>
      <c r="L2035" s="82">
        <f t="shared" si="808"/>
        <v>1</v>
      </c>
      <c r="M2035" s="331"/>
      <c r="N2035" s="161">
        <f t="shared" si="806"/>
        <v>6.03</v>
      </c>
      <c r="O2035" s="161">
        <f t="shared" si="807"/>
        <v>0</v>
      </c>
      <c r="P2035" s="187">
        <f t="shared" si="804"/>
        <v>1</v>
      </c>
      <c r="Q2035" s="161">
        <f t="shared" si="805"/>
        <v>6.03</v>
      </c>
      <c r="R2035" s="85"/>
      <c r="S2035" s="86"/>
      <c r="T2035" s="87"/>
      <c r="V2035" s="88"/>
      <c r="AB2035" s="88"/>
      <c r="AD2035" s="17"/>
      <c r="AE2035" s="89"/>
    </row>
    <row r="2036" spans="2:31" ht="20.100000000000001" hidden="1" customHeight="1">
      <c r="B2036" s="77"/>
      <c r="C2036" s="117" t="s">
        <v>3550</v>
      </c>
      <c r="D2036" s="124" t="s">
        <v>3633</v>
      </c>
      <c r="E2036" s="96" t="s">
        <v>3635</v>
      </c>
      <c r="F2036" s="122">
        <v>6.03</v>
      </c>
      <c r="G2036" s="222"/>
      <c r="H2036" s="186"/>
      <c r="I2036" s="186"/>
      <c r="J2036" s="308"/>
      <c r="K2036" s="227">
        <v>2</v>
      </c>
      <c r="L2036" s="82">
        <f t="shared" si="808"/>
        <v>-2</v>
      </c>
      <c r="M2036" s="331"/>
      <c r="N2036" s="161">
        <f t="shared" si="806"/>
        <v>-12.06</v>
      </c>
      <c r="O2036" s="161">
        <f t="shared" si="807"/>
        <v>0</v>
      </c>
      <c r="P2036" s="187">
        <f t="shared" si="804"/>
        <v>-2</v>
      </c>
      <c r="Q2036" s="161">
        <f t="shared" si="805"/>
        <v>-12.06</v>
      </c>
      <c r="R2036" s="85"/>
      <c r="S2036" s="86"/>
      <c r="T2036" s="87"/>
      <c r="V2036" s="88"/>
      <c r="AB2036" s="88"/>
      <c r="AD2036" s="17"/>
      <c r="AE2036" s="89"/>
    </row>
    <row r="2037" spans="2:31" ht="20.100000000000001" hidden="1" customHeight="1">
      <c r="B2037" s="77"/>
      <c r="C2037" s="117" t="s">
        <v>3550</v>
      </c>
      <c r="D2037" s="69" t="s">
        <v>3636</v>
      </c>
      <c r="E2037" s="96" t="s">
        <v>3637</v>
      </c>
      <c r="F2037" s="123">
        <v>0.76</v>
      </c>
      <c r="G2037" s="222"/>
      <c r="H2037" s="186">
        <v>50</v>
      </c>
      <c r="I2037" s="186"/>
      <c r="J2037" s="308"/>
      <c r="K2037" s="227">
        <v>50</v>
      </c>
      <c r="L2037" s="82">
        <f t="shared" si="808"/>
        <v>0</v>
      </c>
      <c r="M2037" s="331"/>
      <c r="N2037" s="161">
        <f t="shared" si="806"/>
        <v>0</v>
      </c>
      <c r="O2037" s="161">
        <f t="shared" si="807"/>
        <v>0</v>
      </c>
      <c r="P2037" s="187">
        <f t="shared" si="804"/>
        <v>0</v>
      </c>
      <c r="Q2037" s="161">
        <f t="shared" si="805"/>
        <v>0</v>
      </c>
      <c r="R2037" s="85"/>
      <c r="S2037" s="86"/>
      <c r="T2037" s="87"/>
      <c r="V2037" s="88"/>
      <c r="AB2037" s="88"/>
      <c r="AD2037" s="17"/>
      <c r="AE2037" s="89"/>
    </row>
    <row r="2038" spans="2:31" ht="20.100000000000001" hidden="1" customHeight="1">
      <c r="B2038" s="77"/>
      <c r="C2038" s="117" t="s">
        <v>3550</v>
      </c>
      <c r="D2038" s="69" t="s">
        <v>3638</v>
      </c>
      <c r="E2038" s="96" t="s">
        <v>3639</v>
      </c>
      <c r="F2038" s="123">
        <v>3500</v>
      </c>
      <c r="G2038" s="222"/>
      <c r="H2038" s="186"/>
      <c r="I2038" s="186"/>
      <c r="J2038" s="308"/>
      <c r="K2038" s="227"/>
      <c r="L2038" s="82">
        <f t="shared" si="808"/>
        <v>0</v>
      </c>
      <c r="M2038" s="331"/>
      <c r="N2038" s="161">
        <f t="shared" si="806"/>
        <v>0</v>
      </c>
      <c r="O2038" s="161">
        <f t="shared" si="807"/>
        <v>0</v>
      </c>
      <c r="P2038" s="187">
        <f t="shared" si="804"/>
        <v>0</v>
      </c>
      <c r="Q2038" s="161">
        <f t="shared" si="805"/>
        <v>0</v>
      </c>
      <c r="R2038" s="85"/>
      <c r="S2038" s="86"/>
      <c r="T2038" s="87"/>
      <c r="V2038" s="88"/>
      <c r="AB2038" s="88"/>
      <c r="AD2038" s="17"/>
      <c r="AE2038" s="89"/>
    </row>
    <row r="2039" spans="2:31" ht="20.100000000000001" hidden="1" customHeight="1">
      <c r="B2039" s="77"/>
      <c r="C2039" s="117" t="s">
        <v>3550</v>
      </c>
      <c r="D2039" s="69" t="s">
        <v>3640</v>
      </c>
      <c r="E2039" s="96" t="s">
        <v>3641</v>
      </c>
      <c r="F2039" s="123">
        <v>42000</v>
      </c>
      <c r="G2039" s="222"/>
      <c r="H2039" s="186"/>
      <c r="I2039" s="186"/>
      <c r="J2039" s="308"/>
      <c r="K2039" s="227"/>
      <c r="L2039" s="82">
        <f t="shared" si="808"/>
        <v>0</v>
      </c>
      <c r="M2039" s="331"/>
      <c r="N2039" s="161">
        <f t="shared" si="806"/>
        <v>0</v>
      </c>
      <c r="O2039" s="161">
        <f t="shared" si="807"/>
        <v>0</v>
      </c>
      <c r="P2039" s="187">
        <f t="shared" si="804"/>
        <v>0</v>
      </c>
      <c r="Q2039" s="161">
        <f t="shared" si="805"/>
        <v>0</v>
      </c>
      <c r="R2039" s="85"/>
      <c r="S2039" s="86"/>
      <c r="T2039" s="87"/>
      <c r="V2039" s="88"/>
      <c r="AB2039" s="88"/>
      <c r="AD2039" s="17"/>
      <c r="AE2039" s="89"/>
    </row>
    <row r="2040" spans="2:31" ht="20.100000000000001" hidden="1" customHeight="1">
      <c r="B2040" s="77"/>
      <c r="C2040" s="117" t="s">
        <v>3550</v>
      </c>
      <c r="D2040" s="69" t="s">
        <v>3642</v>
      </c>
      <c r="E2040" s="96" t="s">
        <v>3643</v>
      </c>
      <c r="F2040" s="123">
        <v>450</v>
      </c>
      <c r="G2040" s="222"/>
      <c r="H2040" s="186"/>
      <c r="I2040" s="186"/>
      <c r="J2040" s="308"/>
      <c r="K2040" s="227"/>
      <c r="L2040" s="82">
        <f t="shared" si="808"/>
        <v>0</v>
      </c>
      <c r="M2040" s="331"/>
      <c r="N2040" s="161">
        <f t="shared" si="806"/>
        <v>0</v>
      </c>
      <c r="O2040" s="161">
        <f t="shared" si="807"/>
        <v>0</v>
      </c>
      <c r="P2040" s="187">
        <f t="shared" si="804"/>
        <v>0</v>
      </c>
      <c r="Q2040" s="161">
        <f t="shared" si="805"/>
        <v>0</v>
      </c>
      <c r="R2040" s="85"/>
      <c r="S2040" s="86"/>
      <c r="T2040" s="87"/>
      <c r="V2040" s="88"/>
      <c r="AB2040" s="88"/>
      <c r="AD2040" s="17"/>
      <c r="AE2040" s="89"/>
    </row>
    <row r="2041" spans="2:31" ht="20.100000000000001" hidden="1" customHeight="1">
      <c r="B2041" s="77"/>
      <c r="C2041" s="117" t="s">
        <v>3550</v>
      </c>
      <c r="D2041" s="69" t="s">
        <v>3644</v>
      </c>
      <c r="E2041" s="96" t="s">
        <v>3645</v>
      </c>
      <c r="F2041" s="123">
        <v>6000</v>
      </c>
      <c r="G2041" s="222"/>
      <c r="H2041" s="186"/>
      <c r="I2041" s="186"/>
      <c r="J2041" s="308"/>
      <c r="K2041" s="227"/>
      <c r="L2041" s="82">
        <f t="shared" si="808"/>
        <v>0</v>
      </c>
      <c r="M2041" s="331"/>
      <c r="N2041" s="161">
        <f t="shared" si="806"/>
        <v>0</v>
      </c>
      <c r="O2041" s="161">
        <f t="shared" si="807"/>
        <v>0</v>
      </c>
      <c r="P2041" s="187">
        <f t="shared" si="804"/>
        <v>0</v>
      </c>
      <c r="Q2041" s="161">
        <f t="shared" si="805"/>
        <v>0</v>
      </c>
      <c r="R2041" s="85"/>
      <c r="S2041" s="86"/>
      <c r="T2041" s="87"/>
      <c r="V2041" s="88"/>
      <c r="AB2041" s="88"/>
      <c r="AD2041" s="17"/>
      <c r="AE2041" s="89"/>
    </row>
    <row r="2042" spans="2:31" ht="20.100000000000001" hidden="1" customHeight="1">
      <c r="B2042" s="77"/>
      <c r="C2042" s="117" t="s">
        <v>3550</v>
      </c>
      <c r="D2042" s="69" t="s">
        <v>3646</v>
      </c>
      <c r="E2042" s="96" t="s">
        <v>3647</v>
      </c>
      <c r="F2042" s="123">
        <v>32.76</v>
      </c>
      <c r="G2042" s="222">
        <v>12</v>
      </c>
      <c r="H2042" s="186"/>
      <c r="I2042" s="186"/>
      <c r="J2042" s="308"/>
      <c r="K2042" s="227">
        <v>9</v>
      </c>
      <c r="L2042" s="82">
        <f t="shared" si="808"/>
        <v>3</v>
      </c>
      <c r="M2042" s="331">
        <v>3</v>
      </c>
      <c r="N2042" s="161">
        <f t="shared" si="806"/>
        <v>98.28</v>
      </c>
      <c r="O2042" s="161">
        <f t="shared" si="807"/>
        <v>98.28</v>
      </c>
      <c r="P2042" s="187">
        <f t="shared" si="804"/>
        <v>0</v>
      </c>
      <c r="Q2042" s="161">
        <f t="shared" si="805"/>
        <v>0</v>
      </c>
      <c r="R2042" s="85"/>
      <c r="S2042" s="86"/>
      <c r="T2042" s="87"/>
      <c r="V2042" s="88"/>
      <c r="AB2042" s="88"/>
      <c r="AD2042" s="17"/>
      <c r="AE2042" s="89"/>
    </row>
    <row r="2043" spans="2:31" ht="20.100000000000001" hidden="1" customHeight="1">
      <c r="B2043" s="77"/>
      <c r="C2043" s="117" t="s">
        <v>3550</v>
      </c>
      <c r="D2043" s="69" t="s">
        <v>3648</v>
      </c>
      <c r="E2043" s="96" t="s">
        <v>3649</v>
      </c>
      <c r="F2043" s="123">
        <v>46</v>
      </c>
      <c r="G2043" s="222">
        <v>6</v>
      </c>
      <c r="H2043" s="186"/>
      <c r="I2043" s="186"/>
      <c r="J2043" s="308"/>
      <c r="K2043" s="227"/>
      <c r="L2043" s="82">
        <f t="shared" si="808"/>
        <v>6</v>
      </c>
      <c r="M2043" s="331">
        <v>6</v>
      </c>
      <c r="N2043" s="161">
        <f t="shared" si="806"/>
        <v>276</v>
      </c>
      <c r="O2043" s="161">
        <f t="shared" si="807"/>
        <v>276</v>
      </c>
      <c r="P2043" s="187">
        <f t="shared" si="804"/>
        <v>0</v>
      </c>
      <c r="Q2043" s="161">
        <f t="shared" si="805"/>
        <v>0</v>
      </c>
      <c r="R2043" s="85"/>
      <c r="S2043" s="86"/>
      <c r="T2043" s="87"/>
      <c r="V2043" s="88"/>
      <c r="AB2043" s="88"/>
      <c r="AD2043" s="17"/>
      <c r="AE2043" s="89"/>
    </row>
    <row r="2044" spans="2:31" ht="20.100000000000001" hidden="1" customHeight="1">
      <c r="B2044" s="77"/>
      <c r="C2044" s="117" t="s">
        <v>3550</v>
      </c>
      <c r="D2044" s="69" t="s">
        <v>3650</v>
      </c>
      <c r="E2044" s="96" t="s">
        <v>3651</v>
      </c>
      <c r="F2044" s="123">
        <v>127.18</v>
      </c>
      <c r="G2044" s="222">
        <v>4</v>
      </c>
      <c r="H2044" s="186"/>
      <c r="I2044" s="186"/>
      <c r="J2044" s="308"/>
      <c r="K2044" s="227">
        <v>1</v>
      </c>
      <c r="L2044" s="82">
        <f t="shared" si="808"/>
        <v>3</v>
      </c>
      <c r="M2044" s="331">
        <v>3</v>
      </c>
      <c r="N2044" s="161">
        <f t="shared" si="806"/>
        <v>381.54</v>
      </c>
      <c r="O2044" s="161">
        <f t="shared" si="807"/>
        <v>381.54</v>
      </c>
      <c r="P2044" s="187">
        <f t="shared" si="804"/>
        <v>0</v>
      </c>
      <c r="Q2044" s="161">
        <f t="shared" si="805"/>
        <v>0</v>
      </c>
      <c r="R2044" s="85"/>
      <c r="S2044" s="86"/>
      <c r="T2044" s="87"/>
      <c r="V2044" s="88"/>
      <c r="AB2044" s="88"/>
      <c r="AD2044" s="17"/>
      <c r="AE2044" s="89"/>
    </row>
    <row r="2045" spans="2:31" ht="20.100000000000001" hidden="1" customHeight="1">
      <c r="B2045" s="77"/>
      <c r="C2045" s="117" t="s">
        <v>3550</v>
      </c>
      <c r="D2045" s="69" t="s">
        <v>3652</v>
      </c>
      <c r="E2045" s="96" t="s">
        <v>3653</v>
      </c>
      <c r="F2045" s="123">
        <v>15</v>
      </c>
      <c r="G2045" s="222">
        <v>24</v>
      </c>
      <c r="H2045" s="186"/>
      <c r="I2045" s="186"/>
      <c r="J2045" s="308"/>
      <c r="K2045" s="227"/>
      <c r="L2045" s="82">
        <f t="shared" si="808"/>
        <v>24</v>
      </c>
      <c r="M2045" s="331">
        <v>24</v>
      </c>
      <c r="N2045" s="161">
        <f t="shared" si="806"/>
        <v>360</v>
      </c>
      <c r="O2045" s="161">
        <f t="shared" si="807"/>
        <v>360</v>
      </c>
      <c r="P2045" s="187">
        <f t="shared" si="804"/>
        <v>0</v>
      </c>
      <c r="Q2045" s="161">
        <f t="shared" si="805"/>
        <v>0</v>
      </c>
      <c r="R2045" s="85"/>
      <c r="S2045" s="86"/>
      <c r="T2045" s="87"/>
      <c r="V2045" s="88"/>
      <c r="AB2045" s="88"/>
      <c r="AD2045" s="17"/>
      <c r="AE2045" s="89"/>
    </row>
    <row r="2046" spans="2:31" ht="20.100000000000001" hidden="1" customHeight="1">
      <c r="B2046" s="77"/>
      <c r="C2046" s="117" t="s">
        <v>3550</v>
      </c>
      <c r="D2046" s="69" t="s">
        <v>3654</v>
      </c>
      <c r="E2046" s="96" t="s">
        <v>3655</v>
      </c>
      <c r="F2046" s="123">
        <v>13.15</v>
      </c>
      <c r="G2046" s="222">
        <v>24</v>
      </c>
      <c r="H2046" s="186"/>
      <c r="I2046" s="186"/>
      <c r="J2046" s="308"/>
      <c r="K2046" s="227"/>
      <c r="L2046" s="82">
        <f t="shared" si="808"/>
        <v>24</v>
      </c>
      <c r="M2046" s="331">
        <v>24</v>
      </c>
      <c r="N2046" s="161">
        <f t="shared" si="806"/>
        <v>315.60000000000002</v>
      </c>
      <c r="O2046" s="161">
        <f t="shared" si="807"/>
        <v>315.60000000000002</v>
      </c>
      <c r="P2046" s="187">
        <f t="shared" si="804"/>
        <v>0</v>
      </c>
      <c r="Q2046" s="161">
        <f t="shared" si="805"/>
        <v>0</v>
      </c>
      <c r="R2046" s="85"/>
      <c r="S2046" s="86"/>
      <c r="T2046" s="87"/>
      <c r="V2046" s="88"/>
      <c r="AB2046" s="88"/>
      <c r="AD2046" s="17"/>
      <c r="AE2046" s="89"/>
    </row>
    <row r="2047" spans="2:31" ht="20.100000000000001" hidden="1" customHeight="1">
      <c r="B2047" s="77"/>
      <c r="C2047" s="117" t="s">
        <v>3550</v>
      </c>
      <c r="D2047" s="69" t="s">
        <v>3656</v>
      </c>
      <c r="E2047" s="96" t="s">
        <v>3657</v>
      </c>
      <c r="F2047" s="123">
        <v>13.4</v>
      </c>
      <c r="G2047" s="222">
        <v>24</v>
      </c>
      <c r="H2047" s="186"/>
      <c r="I2047" s="186"/>
      <c r="J2047" s="308"/>
      <c r="K2047" s="227"/>
      <c r="L2047" s="82">
        <f t="shared" si="808"/>
        <v>24</v>
      </c>
      <c r="M2047" s="331">
        <v>24</v>
      </c>
      <c r="N2047" s="161">
        <f t="shared" si="806"/>
        <v>321.60000000000002</v>
      </c>
      <c r="O2047" s="161">
        <f t="shared" si="807"/>
        <v>321.60000000000002</v>
      </c>
      <c r="P2047" s="187">
        <f t="shared" si="804"/>
        <v>0</v>
      </c>
      <c r="Q2047" s="161">
        <f t="shared" si="805"/>
        <v>0</v>
      </c>
      <c r="R2047" s="85"/>
      <c r="S2047" s="86"/>
      <c r="T2047" s="87"/>
      <c r="V2047" s="88"/>
      <c r="AB2047" s="88"/>
      <c r="AD2047" s="17"/>
      <c r="AE2047" s="89"/>
    </row>
    <row r="2048" spans="2:31" ht="20.100000000000001" hidden="1" customHeight="1">
      <c r="B2048" s="77"/>
      <c r="C2048" s="117" t="s">
        <v>3550</v>
      </c>
      <c r="D2048" s="69" t="s">
        <v>3658</v>
      </c>
      <c r="E2048" s="96" t="s">
        <v>3659</v>
      </c>
      <c r="F2048" s="123">
        <v>13.122</v>
      </c>
      <c r="G2048" s="222">
        <v>83</v>
      </c>
      <c r="H2048" s="186"/>
      <c r="I2048" s="186"/>
      <c r="J2048" s="308"/>
      <c r="K2048" s="227">
        <v>14</v>
      </c>
      <c r="L2048" s="82">
        <f t="shared" si="808"/>
        <v>69</v>
      </c>
      <c r="M2048" s="331">
        <v>69</v>
      </c>
      <c r="N2048" s="161">
        <f t="shared" si="806"/>
        <v>905.41800000000001</v>
      </c>
      <c r="O2048" s="161">
        <f t="shared" si="807"/>
        <v>905.41800000000001</v>
      </c>
      <c r="P2048" s="187">
        <f t="shared" si="804"/>
        <v>0</v>
      </c>
      <c r="Q2048" s="161">
        <f t="shared" si="805"/>
        <v>0</v>
      </c>
      <c r="R2048" s="85"/>
      <c r="S2048" s="86"/>
      <c r="T2048" s="87"/>
      <c r="V2048" s="88"/>
      <c r="AB2048" s="88"/>
      <c r="AD2048" s="17"/>
      <c r="AE2048" s="89"/>
    </row>
    <row r="2049" spans="2:31" ht="20.100000000000001" hidden="1" customHeight="1">
      <c r="B2049" s="77"/>
      <c r="C2049" s="117" t="s">
        <v>3550</v>
      </c>
      <c r="D2049" s="69" t="s">
        <v>3660</v>
      </c>
      <c r="E2049" s="96" t="s">
        <v>3661</v>
      </c>
      <c r="F2049" s="123">
        <v>14.9184</v>
      </c>
      <c r="G2049" s="222">
        <v>12</v>
      </c>
      <c r="H2049" s="186"/>
      <c r="I2049" s="186"/>
      <c r="J2049" s="308"/>
      <c r="K2049" s="227"/>
      <c r="L2049" s="82">
        <f t="shared" si="808"/>
        <v>12</v>
      </c>
      <c r="M2049" s="331">
        <v>12</v>
      </c>
      <c r="N2049" s="161">
        <f t="shared" si="806"/>
        <v>179.02080000000001</v>
      </c>
      <c r="O2049" s="161">
        <f t="shared" si="807"/>
        <v>179.02080000000001</v>
      </c>
      <c r="P2049" s="187">
        <f t="shared" si="804"/>
        <v>0</v>
      </c>
      <c r="Q2049" s="161">
        <f t="shared" si="805"/>
        <v>0</v>
      </c>
      <c r="R2049" s="85"/>
      <c r="S2049" s="86"/>
      <c r="T2049" s="87"/>
      <c r="V2049" s="88"/>
      <c r="AB2049" s="88"/>
      <c r="AD2049" s="17"/>
      <c r="AE2049" s="89"/>
    </row>
    <row r="2050" spans="2:31" ht="20.100000000000001" hidden="1" customHeight="1">
      <c r="B2050" s="77"/>
      <c r="C2050" s="117" t="s">
        <v>3550</v>
      </c>
      <c r="D2050" s="69" t="s">
        <v>3662</v>
      </c>
      <c r="E2050" s="96" t="s">
        <v>3663</v>
      </c>
      <c r="F2050" s="123">
        <v>118.1579</v>
      </c>
      <c r="G2050" s="222">
        <v>4</v>
      </c>
      <c r="H2050" s="186"/>
      <c r="I2050" s="186"/>
      <c r="J2050" s="308"/>
      <c r="K2050" s="227">
        <v>1</v>
      </c>
      <c r="L2050" s="82">
        <f t="shared" si="808"/>
        <v>3</v>
      </c>
      <c r="M2050" s="331">
        <v>3</v>
      </c>
      <c r="N2050" s="161">
        <f t="shared" si="806"/>
        <v>354.47370000000001</v>
      </c>
      <c r="O2050" s="161">
        <f t="shared" si="807"/>
        <v>354.47370000000001</v>
      </c>
      <c r="P2050" s="187">
        <f t="shared" si="804"/>
        <v>0</v>
      </c>
      <c r="Q2050" s="161">
        <f t="shared" si="805"/>
        <v>0</v>
      </c>
      <c r="R2050" s="85"/>
      <c r="S2050" s="86"/>
      <c r="T2050" s="87"/>
      <c r="V2050" s="88"/>
      <c r="AB2050" s="88"/>
      <c r="AD2050" s="17"/>
      <c r="AE2050" s="89"/>
    </row>
    <row r="2051" spans="2:31" ht="20.100000000000001" hidden="1" customHeight="1">
      <c r="B2051" s="77"/>
      <c r="C2051" s="117" t="s">
        <v>3550</v>
      </c>
      <c r="D2051" s="69" t="s">
        <v>3664</v>
      </c>
      <c r="E2051" s="96" t="s">
        <v>3665</v>
      </c>
      <c r="F2051" s="123">
        <v>118.1579</v>
      </c>
      <c r="G2051" s="222">
        <v>4</v>
      </c>
      <c r="H2051" s="186"/>
      <c r="I2051" s="186"/>
      <c r="J2051" s="308"/>
      <c r="K2051" s="227"/>
      <c r="L2051" s="82">
        <f t="shared" si="808"/>
        <v>4</v>
      </c>
      <c r="M2051" s="331">
        <v>4</v>
      </c>
      <c r="N2051" s="161">
        <f t="shared" si="806"/>
        <v>472.63159999999999</v>
      </c>
      <c r="O2051" s="161">
        <f t="shared" si="807"/>
        <v>472.63159999999999</v>
      </c>
      <c r="P2051" s="187">
        <f t="shared" si="804"/>
        <v>0</v>
      </c>
      <c r="Q2051" s="161">
        <f t="shared" si="805"/>
        <v>0</v>
      </c>
      <c r="R2051" s="85"/>
      <c r="S2051" s="86"/>
      <c r="T2051" s="87"/>
      <c r="V2051" s="88"/>
      <c r="AB2051" s="88"/>
      <c r="AD2051" s="17"/>
      <c r="AE2051" s="89"/>
    </row>
    <row r="2052" spans="2:31" ht="20.100000000000001" hidden="1" customHeight="1">
      <c r="B2052" s="77"/>
      <c r="C2052" s="117" t="s">
        <v>3550</v>
      </c>
      <c r="D2052" s="69" t="s">
        <v>3666</v>
      </c>
      <c r="E2052" s="96" t="s">
        <v>3667</v>
      </c>
      <c r="F2052" s="123">
        <v>109.83</v>
      </c>
      <c r="G2052" s="222">
        <v>12</v>
      </c>
      <c r="H2052" s="186"/>
      <c r="I2052" s="186"/>
      <c r="J2052" s="308"/>
      <c r="K2052" s="227">
        <v>8</v>
      </c>
      <c r="L2052" s="82">
        <f t="shared" si="808"/>
        <v>4</v>
      </c>
      <c r="M2052" s="331">
        <v>4</v>
      </c>
      <c r="N2052" s="161">
        <f t="shared" si="806"/>
        <v>439.32</v>
      </c>
      <c r="O2052" s="161">
        <f t="shared" si="807"/>
        <v>439.32</v>
      </c>
      <c r="P2052" s="187">
        <f t="shared" si="804"/>
        <v>0</v>
      </c>
      <c r="Q2052" s="161">
        <f t="shared" si="805"/>
        <v>0</v>
      </c>
      <c r="R2052" s="85"/>
      <c r="S2052" s="86"/>
      <c r="T2052" s="87"/>
      <c r="V2052" s="88"/>
      <c r="AB2052" s="88"/>
      <c r="AD2052" s="17"/>
      <c r="AE2052" s="89"/>
    </row>
    <row r="2053" spans="2:31" ht="20.100000000000001" hidden="1" customHeight="1">
      <c r="B2053" s="77"/>
      <c r="C2053" s="117" t="s">
        <v>3550</v>
      </c>
      <c r="D2053" s="69" t="s">
        <v>3668</v>
      </c>
      <c r="E2053" s="96" t="s">
        <v>3669</v>
      </c>
      <c r="F2053" s="123">
        <v>109.83</v>
      </c>
      <c r="G2053" s="222">
        <v>12</v>
      </c>
      <c r="H2053" s="186"/>
      <c r="I2053" s="186"/>
      <c r="J2053" s="308"/>
      <c r="K2053" s="227"/>
      <c r="L2053" s="82">
        <f t="shared" si="808"/>
        <v>12</v>
      </c>
      <c r="M2053" s="331">
        <v>12</v>
      </c>
      <c r="N2053" s="161">
        <f t="shared" si="806"/>
        <v>1317.96</v>
      </c>
      <c r="O2053" s="161">
        <f t="shared" si="807"/>
        <v>1317.96</v>
      </c>
      <c r="P2053" s="187">
        <f t="shared" si="804"/>
        <v>0</v>
      </c>
      <c r="Q2053" s="161">
        <f t="shared" si="805"/>
        <v>0</v>
      </c>
      <c r="R2053" s="85"/>
      <c r="S2053" s="86"/>
      <c r="T2053" s="87"/>
      <c r="V2053" s="88"/>
      <c r="AB2053" s="88"/>
      <c r="AD2053" s="17"/>
      <c r="AE2053" s="89"/>
    </row>
    <row r="2054" spans="2:31" ht="20.100000000000001" hidden="1" customHeight="1">
      <c r="B2054" s="77"/>
      <c r="C2054" s="117" t="s">
        <v>3550</v>
      </c>
      <c r="D2054" s="69" t="s">
        <v>3670</v>
      </c>
      <c r="E2054" s="96" t="s">
        <v>3671</v>
      </c>
      <c r="F2054" s="123">
        <v>6.1180000000000003</v>
      </c>
      <c r="G2054" s="222">
        <v>12</v>
      </c>
      <c r="H2054" s="186"/>
      <c r="I2054" s="186"/>
      <c r="J2054" s="308"/>
      <c r="K2054" s="227"/>
      <c r="L2054" s="82">
        <f t="shared" si="808"/>
        <v>12</v>
      </c>
      <c r="M2054" s="331">
        <v>12</v>
      </c>
      <c r="N2054" s="161">
        <f t="shared" si="806"/>
        <v>73.415999999999997</v>
      </c>
      <c r="O2054" s="161">
        <f t="shared" si="807"/>
        <v>73.415999999999997</v>
      </c>
      <c r="P2054" s="187">
        <f t="shared" si="804"/>
        <v>0</v>
      </c>
      <c r="Q2054" s="161">
        <f t="shared" si="805"/>
        <v>0</v>
      </c>
      <c r="R2054" s="85"/>
      <c r="S2054" s="86"/>
      <c r="T2054" s="87"/>
      <c r="V2054" s="88"/>
      <c r="AB2054" s="88"/>
      <c r="AD2054" s="17"/>
      <c r="AE2054" s="89"/>
    </row>
    <row r="2055" spans="2:31" ht="20.100000000000001" hidden="1" customHeight="1">
      <c r="B2055" s="77"/>
      <c r="C2055" s="117" t="s">
        <v>3550</v>
      </c>
      <c r="D2055" s="69" t="s">
        <v>1956</v>
      </c>
      <c r="E2055" s="96" t="s">
        <v>1957</v>
      </c>
      <c r="F2055" s="123">
        <v>7.2995222222222198</v>
      </c>
      <c r="G2055" s="222">
        <v>144</v>
      </c>
      <c r="H2055" s="186"/>
      <c r="I2055" s="186"/>
      <c r="J2055" s="308"/>
      <c r="K2055" s="227"/>
      <c r="L2055" s="82">
        <f t="shared" si="808"/>
        <v>144</v>
      </c>
      <c r="M2055" s="331">
        <v>144</v>
      </c>
      <c r="N2055" s="161">
        <f t="shared" si="806"/>
        <v>1051.1311999999996</v>
      </c>
      <c r="O2055" s="161">
        <f t="shared" si="807"/>
        <v>1051.1311999999996</v>
      </c>
      <c r="P2055" s="187">
        <f t="shared" si="804"/>
        <v>0</v>
      </c>
      <c r="Q2055" s="161">
        <f t="shared" si="805"/>
        <v>0</v>
      </c>
      <c r="R2055" s="85"/>
      <c r="S2055" s="86"/>
      <c r="T2055" s="87"/>
      <c r="V2055" s="88"/>
      <c r="AB2055" s="88"/>
      <c r="AD2055" s="17"/>
      <c r="AE2055" s="89"/>
    </row>
    <row r="2056" spans="2:31" ht="20.100000000000001" hidden="1" customHeight="1">
      <c r="B2056" s="77"/>
      <c r="C2056" s="117" t="s">
        <v>3550</v>
      </c>
      <c r="D2056" s="69" t="s">
        <v>3672</v>
      </c>
      <c r="E2056" s="96" t="s">
        <v>3673</v>
      </c>
      <c r="F2056" s="123">
        <v>28.85</v>
      </c>
      <c r="G2056" s="222">
        <v>5</v>
      </c>
      <c r="H2056" s="186"/>
      <c r="I2056" s="186"/>
      <c r="J2056" s="308"/>
      <c r="K2056" s="227">
        <v>1</v>
      </c>
      <c r="L2056" s="82">
        <f t="shared" si="808"/>
        <v>4</v>
      </c>
      <c r="M2056" s="331">
        <v>4</v>
      </c>
      <c r="N2056" s="161">
        <f t="shared" si="806"/>
        <v>115.4</v>
      </c>
      <c r="O2056" s="161">
        <f t="shared" si="807"/>
        <v>115.4</v>
      </c>
      <c r="P2056" s="187">
        <f t="shared" si="804"/>
        <v>0</v>
      </c>
      <c r="Q2056" s="161">
        <f t="shared" si="805"/>
        <v>0</v>
      </c>
      <c r="R2056" s="85"/>
      <c r="S2056" s="86"/>
      <c r="T2056" s="87"/>
      <c r="V2056" s="88"/>
      <c r="AB2056" s="88"/>
      <c r="AD2056" s="17"/>
      <c r="AE2056" s="89"/>
    </row>
    <row r="2057" spans="2:31" ht="20.100000000000001" hidden="1" customHeight="1">
      <c r="B2057" s="77"/>
      <c r="C2057" s="117" t="s">
        <v>3550</v>
      </c>
      <c r="D2057" s="69" t="s">
        <v>3674</v>
      </c>
      <c r="E2057" s="96" t="s">
        <v>3675</v>
      </c>
      <c r="F2057" s="123">
        <v>28.85</v>
      </c>
      <c r="G2057" s="222">
        <v>5</v>
      </c>
      <c r="H2057" s="186"/>
      <c r="I2057" s="186"/>
      <c r="J2057" s="308"/>
      <c r="K2057" s="227"/>
      <c r="L2057" s="82">
        <f t="shared" si="808"/>
        <v>5</v>
      </c>
      <c r="M2057" s="331">
        <v>5</v>
      </c>
      <c r="N2057" s="161">
        <f t="shared" si="806"/>
        <v>144.25</v>
      </c>
      <c r="O2057" s="161">
        <f t="shared" si="807"/>
        <v>144.25</v>
      </c>
      <c r="P2057" s="187">
        <f t="shared" si="804"/>
        <v>0</v>
      </c>
      <c r="Q2057" s="161">
        <f t="shared" si="805"/>
        <v>0</v>
      </c>
      <c r="R2057" s="85"/>
      <c r="S2057" s="86"/>
      <c r="T2057" s="87"/>
      <c r="V2057" s="88"/>
      <c r="AB2057" s="88"/>
      <c r="AD2057" s="17"/>
      <c r="AE2057" s="89"/>
    </row>
    <row r="2058" spans="2:31" ht="20.100000000000001" hidden="1" customHeight="1">
      <c r="B2058" s="77"/>
      <c r="C2058" s="117" t="s">
        <v>3550</v>
      </c>
      <c r="D2058" s="69" t="s">
        <v>3676</v>
      </c>
      <c r="E2058" s="96" t="s">
        <v>3677</v>
      </c>
      <c r="F2058" s="123">
        <v>55.95</v>
      </c>
      <c r="G2058" s="222"/>
      <c r="H2058" s="186"/>
      <c r="I2058" s="186"/>
      <c r="J2058" s="308"/>
      <c r="K2058" s="227"/>
      <c r="L2058" s="82">
        <f t="shared" si="808"/>
        <v>0</v>
      </c>
      <c r="M2058" s="331"/>
      <c r="N2058" s="161">
        <f t="shared" si="806"/>
        <v>0</v>
      </c>
      <c r="O2058" s="161">
        <f t="shared" si="807"/>
        <v>0</v>
      </c>
      <c r="P2058" s="187">
        <f t="shared" si="804"/>
        <v>0</v>
      </c>
      <c r="Q2058" s="161">
        <f t="shared" si="805"/>
        <v>0</v>
      </c>
      <c r="R2058" s="85"/>
      <c r="S2058" s="86"/>
      <c r="T2058" s="87"/>
      <c r="V2058" s="88"/>
      <c r="AB2058" s="88"/>
      <c r="AD2058" s="17"/>
      <c r="AE2058" s="89"/>
    </row>
    <row r="2059" spans="2:31" ht="20.100000000000001" hidden="1" customHeight="1">
      <c r="B2059" s="77"/>
      <c r="C2059" s="117" t="s">
        <v>3550</v>
      </c>
      <c r="D2059" s="69" t="s">
        <v>3678</v>
      </c>
      <c r="E2059" s="96" t="s">
        <v>3679</v>
      </c>
      <c r="F2059" s="123">
        <v>72.45</v>
      </c>
      <c r="G2059" s="222">
        <v>2</v>
      </c>
      <c r="H2059" s="186"/>
      <c r="I2059" s="186"/>
      <c r="J2059" s="308"/>
      <c r="K2059" s="227"/>
      <c r="L2059" s="82">
        <f t="shared" si="808"/>
        <v>2</v>
      </c>
      <c r="M2059" s="331">
        <v>2</v>
      </c>
      <c r="N2059" s="161">
        <f t="shared" si="806"/>
        <v>144.9</v>
      </c>
      <c r="O2059" s="161">
        <f t="shared" si="807"/>
        <v>144.9</v>
      </c>
      <c r="P2059" s="187">
        <f t="shared" si="804"/>
        <v>0</v>
      </c>
      <c r="Q2059" s="161">
        <f t="shared" si="805"/>
        <v>0</v>
      </c>
      <c r="R2059" s="85"/>
      <c r="S2059" s="86"/>
      <c r="T2059" s="87"/>
      <c r="V2059" s="88"/>
      <c r="AB2059" s="88"/>
      <c r="AD2059" s="17"/>
      <c r="AE2059" s="89"/>
    </row>
    <row r="2060" spans="2:31" ht="20.100000000000001" hidden="1" customHeight="1">
      <c r="B2060" s="77"/>
      <c r="C2060" s="117" t="s">
        <v>3550</v>
      </c>
      <c r="D2060" s="69" t="s">
        <v>3680</v>
      </c>
      <c r="E2060" s="96" t="s">
        <v>3681</v>
      </c>
      <c r="F2060" s="123">
        <v>140.66999999999999</v>
      </c>
      <c r="G2060" s="222">
        <v>2</v>
      </c>
      <c r="H2060" s="186"/>
      <c r="I2060" s="186"/>
      <c r="J2060" s="308"/>
      <c r="K2060" s="227"/>
      <c r="L2060" s="82">
        <f t="shared" si="808"/>
        <v>2</v>
      </c>
      <c r="M2060" s="331">
        <v>2</v>
      </c>
      <c r="N2060" s="161">
        <f t="shared" si="806"/>
        <v>281.33999999999997</v>
      </c>
      <c r="O2060" s="161">
        <f t="shared" si="807"/>
        <v>281.33999999999997</v>
      </c>
      <c r="P2060" s="187">
        <f>L2060-M2060</f>
        <v>0</v>
      </c>
      <c r="Q2060" s="161">
        <f t="shared" si="805"/>
        <v>0</v>
      </c>
      <c r="R2060" s="85"/>
      <c r="S2060" s="86"/>
      <c r="T2060" s="87"/>
      <c r="V2060" s="88"/>
      <c r="AB2060" s="88"/>
      <c r="AD2060" s="17"/>
      <c r="AE2060" s="89"/>
    </row>
    <row r="2061" spans="2:31" ht="20.100000000000001" hidden="1" customHeight="1">
      <c r="B2061" s="77"/>
      <c r="C2061" s="117" t="s">
        <v>3550</v>
      </c>
      <c r="D2061" s="69" t="s">
        <v>3682</v>
      </c>
      <c r="E2061" s="96" t="s">
        <v>3683</v>
      </c>
      <c r="F2061" s="123">
        <v>140.66999999999999</v>
      </c>
      <c r="G2061" s="222">
        <v>2</v>
      </c>
      <c r="H2061" s="186"/>
      <c r="I2061" s="186"/>
      <c r="J2061" s="308"/>
      <c r="K2061" s="227"/>
      <c r="L2061" s="82">
        <f t="shared" si="808"/>
        <v>2</v>
      </c>
      <c r="M2061" s="331">
        <v>2</v>
      </c>
      <c r="N2061" s="161">
        <f t="shared" si="806"/>
        <v>281.33999999999997</v>
      </c>
      <c r="O2061" s="161">
        <f t="shared" si="807"/>
        <v>281.33999999999997</v>
      </c>
      <c r="P2061" s="187">
        <f t="shared" si="804"/>
        <v>0</v>
      </c>
      <c r="Q2061" s="161">
        <f t="shared" si="805"/>
        <v>0</v>
      </c>
      <c r="R2061" s="85"/>
      <c r="S2061" s="86"/>
      <c r="T2061" s="87"/>
      <c r="V2061" s="88"/>
      <c r="AB2061" s="88"/>
      <c r="AD2061" s="17"/>
      <c r="AE2061" s="89"/>
    </row>
    <row r="2062" spans="2:31" ht="20.100000000000001" customHeight="1">
      <c r="B2062" s="77"/>
      <c r="C2062" s="78" t="s">
        <v>3684</v>
      </c>
      <c r="D2062" s="79" t="s">
        <v>3685</v>
      </c>
      <c r="E2062" s="80" t="s">
        <v>3686</v>
      </c>
      <c r="F2062" s="81">
        <v>3.6</v>
      </c>
      <c r="G2062" s="222">
        <v>23</v>
      </c>
      <c r="H2062" s="186"/>
      <c r="I2062" s="186"/>
      <c r="J2062" s="308"/>
      <c r="K2062" s="227"/>
      <c r="L2062" s="82">
        <f t="shared" si="808"/>
        <v>23</v>
      </c>
      <c r="M2062" s="331">
        <v>22</v>
      </c>
      <c r="N2062" s="161">
        <f t="shared" si="806"/>
        <v>82.8</v>
      </c>
      <c r="O2062" s="161">
        <f t="shared" si="807"/>
        <v>79.2</v>
      </c>
      <c r="P2062" s="187">
        <f t="shared" si="804"/>
        <v>1</v>
      </c>
      <c r="Q2062" s="161">
        <f t="shared" si="805"/>
        <v>3.5999999999999943</v>
      </c>
      <c r="R2062" s="85"/>
      <c r="S2062" s="86">
        <f t="shared" ref="S2062:S2063" si="809">U2062+Y2062+W2062+AA2062</f>
        <v>22</v>
      </c>
      <c r="T2062" s="87">
        <f t="shared" si="801"/>
        <v>0</v>
      </c>
      <c r="U2062">
        <v>22</v>
      </c>
    </row>
    <row r="2063" spans="2:31" ht="20.100000000000001" hidden="1" customHeight="1">
      <c r="B2063" s="77"/>
      <c r="C2063" s="78" t="s">
        <v>3684</v>
      </c>
      <c r="D2063" s="79">
        <v>721567</v>
      </c>
      <c r="E2063" s="80" t="s">
        <v>698</v>
      </c>
      <c r="F2063" s="81">
        <v>3.6</v>
      </c>
      <c r="G2063" s="222">
        <v>12</v>
      </c>
      <c r="H2063" s="186"/>
      <c r="I2063" s="186"/>
      <c r="J2063" s="308"/>
      <c r="K2063" s="227"/>
      <c r="L2063" s="82">
        <f t="shared" si="808"/>
        <v>12</v>
      </c>
      <c r="M2063" s="331">
        <v>12</v>
      </c>
      <c r="N2063" s="161">
        <f t="shared" si="806"/>
        <v>43.2</v>
      </c>
      <c r="O2063" s="161">
        <f t="shared" si="807"/>
        <v>43.2</v>
      </c>
      <c r="P2063" s="187">
        <f t="shared" si="804"/>
        <v>0</v>
      </c>
      <c r="Q2063" s="161">
        <f t="shared" si="805"/>
        <v>0</v>
      </c>
      <c r="R2063" s="85"/>
      <c r="S2063" s="86">
        <f t="shared" si="809"/>
        <v>12</v>
      </c>
      <c r="T2063" s="87">
        <f t="shared" si="801"/>
        <v>0</v>
      </c>
      <c r="U2063">
        <v>12</v>
      </c>
    </row>
    <row r="2064" spans="2:31" s="88" customFormat="1" hidden="1">
      <c r="B2064" s="19" t="s">
        <v>12</v>
      </c>
      <c r="C2064" s="20"/>
      <c r="D2064" s="325"/>
      <c r="E2064" s="126"/>
      <c r="F2064" s="127"/>
      <c r="G2064" s="231">
        <f t="shared" ref="G2064:Q2064" si="810">SUM(G7:G2063)</f>
        <v>44544</v>
      </c>
      <c r="H2064" s="231">
        <f t="shared" si="810"/>
        <v>308</v>
      </c>
      <c r="I2064" s="231">
        <f t="shared" si="810"/>
        <v>5589</v>
      </c>
      <c r="J2064" s="231">
        <f t="shared" si="810"/>
        <v>143</v>
      </c>
      <c r="K2064" s="128">
        <f>SUM(K6:K2063)</f>
        <v>3332</v>
      </c>
      <c r="L2064" s="128">
        <f t="shared" si="810"/>
        <v>46967</v>
      </c>
      <c r="M2064" s="337">
        <f t="shared" si="810"/>
        <v>47073</v>
      </c>
      <c r="N2064" s="128">
        <f t="shared" si="810"/>
        <v>1015308.3144499996</v>
      </c>
      <c r="O2064" s="128">
        <f t="shared" si="810"/>
        <v>1016197.1526166662</v>
      </c>
      <c r="P2064" s="128">
        <f t="shared" si="810"/>
        <v>-106</v>
      </c>
      <c r="Q2064" s="128">
        <f t="shared" si="810"/>
        <v>-888.83816666666632</v>
      </c>
      <c r="R2064" s="125"/>
      <c r="S2064" s="76"/>
      <c r="T2064" s="76"/>
    </row>
    <row r="2065" spans="1:31">
      <c r="E2065" s="385" t="s">
        <v>4839</v>
      </c>
      <c r="F2065" s="385"/>
      <c r="I2065" s="294" t="s">
        <v>4834</v>
      </c>
      <c r="K2065" s="323">
        <f>3347-K2064</f>
        <v>15</v>
      </c>
      <c r="AD2065" s="129">
        <f>SUBTOTAL(9,AD18:AD2024)</f>
        <v>159</v>
      </c>
      <c r="AE2065" s="130">
        <f>SUBTOTAL(9,AE18:AE2024)</f>
        <v>975.24000000000012</v>
      </c>
    </row>
    <row r="2066" spans="1:31" s="67" customFormat="1">
      <c r="A2066"/>
      <c r="B2066" s="21" t="s">
        <v>13</v>
      </c>
      <c r="C2066" s="21"/>
      <c r="D2066" s="131" t="s">
        <v>14</v>
      </c>
      <c r="E2066" s="132" t="s">
        <v>15</v>
      </c>
      <c r="F2066" s="180" t="s">
        <v>16</v>
      </c>
      <c r="G2066" s="180"/>
      <c r="H2066" s="180"/>
      <c r="I2066" s="180"/>
      <c r="J2066" s="180"/>
      <c r="K2066" s="180"/>
      <c r="L2066" s="180"/>
      <c r="M2066" s="338"/>
      <c r="N2066" s="396"/>
      <c r="O2066" s="393"/>
      <c r="P2066" s="294"/>
      <c r="Q2066" s="393"/>
      <c r="R2066"/>
      <c r="S2066" s="68"/>
      <c r="T2066" s="68"/>
      <c r="U2066"/>
      <c r="V2066"/>
      <c r="W2066"/>
      <c r="X2066"/>
      <c r="Y2066"/>
      <c r="Z2066"/>
      <c r="AA2066"/>
      <c r="AB2066"/>
    </row>
    <row r="2067" spans="1:31" s="67" customFormat="1" ht="15.75" customHeight="1">
      <c r="A2067"/>
      <c r="B2067" s="133" t="s">
        <v>17</v>
      </c>
      <c r="C2067" s="134"/>
      <c r="D2067" s="326">
        <f>N2064</f>
        <v>1015308.3144499996</v>
      </c>
      <c r="E2067" s="135">
        <f>G2064</f>
        <v>44544</v>
      </c>
      <c r="F2067" s="181" t="s">
        <v>3688</v>
      </c>
      <c r="G2067" s="181"/>
      <c r="H2067" s="181"/>
      <c r="I2067" s="296"/>
      <c r="J2067" s="181"/>
      <c r="K2067" s="181"/>
      <c r="L2067" s="181"/>
      <c r="M2067" s="339"/>
      <c r="N2067" s="397"/>
      <c r="O2067" s="393"/>
      <c r="P2067" s="294"/>
      <c r="Q2067" s="393"/>
      <c r="R2067"/>
      <c r="S2067" s="68"/>
      <c r="T2067" s="68"/>
      <c r="U2067"/>
      <c r="V2067"/>
      <c r="W2067"/>
      <c r="X2067"/>
      <c r="Y2067"/>
      <c r="Z2067"/>
      <c r="AA2067"/>
      <c r="AB2067"/>
    </row>
    <row r="2068" spans="1:31" s="67" customFormat="1">
      <c r="A2068"/>
      <c r="B2068" s="136" t="s">
        <v>6</v>
      </c>
      <c r="C2068" s="137"/>
      <c r="D2068" s="326">
        <f>O2064</f>
        <v>1016197.1526166662</v>
      </c>
      <c r="E2068" s="135">
        <f>M2064</f>
        <v>47073</v>
      </c>
      <c r="F2068" s="182"/>
      <c r="G2068" s="182"/>
      <c r="H2068" s="182"/>
      <c r="I2068" s="297"/>
      <c r="J2068" s="182"/>
      <c r="K2068" s="182"/>
      <c r="L2068" s="182"/>
      <c r="M2068" s="340"/>
      <c r="N2068" s="398"/>
      <c r="O2068" s="393"/>
      <c r="P2068" s="294"/>
      <c r="Q2068" s="393"/>
      <c r="R2068"/>
      <c r="S2068" s="68"/>
      <c r="T2068" s="68"/>
      <c r="U2068"/>
      <c r="V2068"/>
      <c r="W2068"/>
      <c r="X2068"/>
      <c r="Y2068"/>
      <c r="Z2068"/>
      <c r="AA2068"/>
      <c r="AB2068"/>
    </row>
    <row r="2069" spans="1:31" s="67" customFormat="1">
      <c r="A2069"/>
      <c r="B2069" s="138" t="s">
        <v>18</v>
      </c>
      <c r="C2069" s="139"/>
      <c r="D2069" s="327">
        <f>D2067-D2068</f>
        <v>-888.83816666656639</v>
      </c>
      <c r="E2069" s="140">
        <f>E2067-E2068</f>
        <v>-2529</v>
      </c>
      <c r="F2069" s="183"/>
      <c r="G2069" s="183"/>
      <c r="H2069" s="183"/>
      <c r="I2069" s="298"/>
      <c r="J2069" s="183"/>
      <c r="K2069" s="183"/>
      <c r="L2069" s="183"/>
      <c r="M2069" s="341"/>
      <c r="N2069" s="399"/>
      <c r="O2069" s="393"/>
      <c r="P2069" s="294"/>
      <c r="Q2069" s="393"/>
      <c r="R2069"/>
      <c r="S2069" s="68"/>
      <c r="T2069" s="68"/>
      <c r="U2069"/>
      <c r="V2069"/>
      <c r="W2069"/>
      <c r="X2069"/>
      <c r="Y2069"/>
      <c r="Z2069"/>
      <c r="AA2069"/>
      <c r="AB2069"/>
    </row>
    <row r="2071" spans="1:31" s="67" customFormat="1">
      <c r="A2071"/>
      <c r="B2071" s="2" t="s">
        <v>19</v>
      </c>
      <c r="C2071" s="2"/>
      <c r="D2071" s="328"/>
      <c r="E2071" s="141" t="s">
        <v>20</v>
      </c>
      <c r="F2071" s="142"/>
      <c r="G2071" s="143" t="s">
        <v>21</v>
      </c>
      <c r="H2071" s="143"/>
      <c r="I2071" s="299"/>
      <c r="J2071" s="143"/>
      <c r="K2071" s="143"/>
      <c r="L2071" s="40" t="s">
        <v>21</v>
      </c>
      <c r="M2071" s="342"/>
      <c r="N2071" s="393"/>
      <c r="O2071" s="393"/>
      <c r="P2071" s="294"/>
      <c r="Q2071" s="393" t="s">
        <v>3838</v>
      </c>
      <c r="R2071"/>
      <c r="S2071" s="68"/>
      <c r="T2071" s="68"/>
      <c r="U2071"/>
      <c r="V2071"/>
      <c r="W2071"/>
      <c r="X2071"/>
      <c r="Y2071"/>
      <c r="Z2071"/>
      <c r="AA2071"/>
      <c r="AB2071"/>
    </row>
    <row r="2072" spans="1:31" s="67" customFormat="1">
      <c r="A2072"/>
      <c r="B2072" s="2"/>
      <c r="C2072" s="2"/>
      <c r="D2072" s="328"/>
      <c r="E2072" s="141"/>
      <c r="F2072" s="142"/>
      <c r="G2072" s="143"/>
      <c r="H2072" s="143"/>
      <c r="I2072" s="299"/>
      <c r="J2072" s="143"/>
      <c r="K2072" s="143"/>
      <c r="L2072" s="40"/>
      <c r="M2072" s="342"/>
      <c r="N2072" s="393"/>
      <c r="O2072" s="393"/>
      <c r="P2072" s="294"/>
      <c r="Q2072" s="393"/>
      <c r="R2072"/>
      <c r="S2072" s="68"/>
      <c r="T2072" s="68"/>
      <c r="U2072"/>
      <c r="V2072"/>
      <c r="W2072"/>
      <c r="X2072"/>
      <c r="Y2072"/>
      <c r="Z2072"/>
      <c r="AA2072"/>
      <c r="AB2072"/>
    </row>
    <row r="2073" spans="1:31" s="67" customFormat="1">
      <c r="A2073"/>
      <c r="B2073" s="371" t="s">
        <v>3839</v>
      </c>
      <c r="C2073" s="371"/>
      <c r="D2073" s="4"/>
      <c r="E2073" s="144" t="s">
        <v>3689</v>
      </c>
      <c r="F2073" s="145"/>
      <c r="G2073" s="3" t="s">
        <v>3690</v>
      </c>
      <c r="H2073" s="3"/>
      <c r="I2073" s="300"/>
      <c r="J2073" s="3"/>
      <c r="K2073" s="3"/>
      <c r="L2073" s="371" t="s">
        <v>3844</v>
      </c>
      <c r="M2073" s="371"/>
      <c r="N2073" s="300"/>
      <c r="O2073" s="393"/>
      <c r="P2073" s="294"/>
      <c r="Q2073" s="393"/>
      <c r="R2073"/>
      <c r="S2073" s="68"/>
      <c r="T2073" s="68"/>
      <c r="U2073"/>
      <c r="V2073"/>
      <c r="W2073"/>
      <c r="X2073"/>
      <c r="Y2073"/>
      <c r="Z2073"/>
      <c r="AA2073"/>
      <c r="AB2073"/>
    </row>
    <row r="2074" spans="1:31" s="67" customFormat="1">
      <c r="A2074"/>
      <c r="B2074" s="370" t="s">
        <v>3691</v>
      </c>
      <c r="C2074" s="370"/>
      <c r="D2074" s="4"/>
      <c r="E2074" s="146" t="s">
        <v>3692</v>
      </c>
      <c r="F2074" s="6"/>
      <c r="G2074" s="179" t="s">
        <v>23</v>
      </c>
      <c r="H2074" s="179"/>
      <c r="I2074" s="301"/>
      <c r="J2074" s="179"/>
      <c r="K2074" s="179"/>
      <c r="L2074" s="370" t="s">
        <v>23</v>
      </c>
      <c r="M2074" s="370"/>
      <c r="N2074" s="301"/>
      <c r="O2074" s="393"/>
      <c r="P2074" s="294"/>
      <c r="Q2074" s="393"/>
      <c r="R2074"/>
      <c r="S2074" s="68"/>
      <c r="T2074" s="68"/>
      <c r="U2074"/>
      <c r="V2074"/>
      <c r="W2074"/>
      <c r="X2074"/>
      <c r="Y2074"/>
      <c r="Z2074"/>
      <c r="AA2074"/>
      <c r="AB2074"/>
    </row>
    <row r="2075" spans="1:31" s="67" customFormat="1">
      <c r="A2075"/>
      <c r="B2075"/>
      <c r="C2075"/>
      <c r="D2075" s="4"/>
      <c r="E2075" s="11"/>
      <c r="F2075" s="6"/>
      <c r="G2075" s="18"/>
      <c r="H2075" s="18"/>
      <c r="I2075" s="302"/>
      <c r="J2075" s="18"/>
      <c r="K2075" s="18"/>
      <c r="L2075" s="27"/>
      <c r="M2075" s="342"/>
      <c r="N2075" s="393"/>
      <c r="O2075" s="393"/>
      <c r="P2075" s="294"/>
      <c r="Q2075" s="393"/>
      <c r="R2075"/>
      <c r="S2075" s="68"/>
      <c r="T2075" s="68"/>
      <c r="U2075"/>
      <c r="V2075"/>
      <c r="W2075"/>
      <c r="X2075"/>
      <c r="Y2075"/>
      <c r="Z2075"/>
      <c r="AA2075"/>
      <c r="AB2075"/>
    </row>
    <row r="2076" spans="1:31" s="67" customFormat="1">
      <c r="A2076"/>
      <c r="B2076"/>
      <c r="C2076"/>
      <c r="D2076" s="4"/>
      <c r="E2076" s="11"/>
      <c r="F2076" s="6"/>
      <c r="G2076" s="18"/>
      <c r="H2076" s="18"/>
      <c r="I2076" s="302"/>
      <c r="J2076" s="18"/>
      <c r="K2076" s="18"/>
      <c r="L2076" s="27"/>
      <c r="M2076" s="342"/>
      <c r="N2076" s="393"/>
      <c r="O2076" s="393"/>
      <c r="P2076" s="294"/>
      <c r="Q2076" s="393"/>
      <c r="R2076"/>
      <c r="S2076" s="68"/>
      <c r="T2076" s="68"/>
      <c r="U2076"/>
      <c r="V2076"/>
      <c r="W2076"/>
      <c r="X2076"/>
      <c r="Y2076"/>
      <c r="Z2076"/>
      <c r="AA2076"/>
      <c r="AB2076"/>
    </row>
    <row r="2077" spans="1:31" s="67" customFormat="1">
      <c r="A2077"/>
      <c r="B2077" s="2" t="s">
        <v>24</v>
      </c>
      <c r="C2077" s="5"/>
      <c r="D2077" s="4"/>
      <c r="E2077" s="11"/>
      <c r="F2077" s="6"/>
      <c r="G2077" s="143" t="s">
        <v>25</v>
      </c>
      <c r="H2077" s="143"/>
      <c r="I2077" s="299"/>
      <c r="J2077" s="143"/>
      <c r="K2077" s="143"/>
      <c r="L2077" s="40" t="s">
        <v>25</v>
      </c>
      <c r="M2077" s="342"/>
      <c r="N2077" s="393"/>
      <c r="O2077" s="393"/>
      <c r="P2077" s="294"/>
      <c r="Q2077" s="393"/>
      <c r="R2077"/>
      <c r="S2077" s="68"/>
      <c r="T2077" s="68"/>
      <c r="U2077"/>
      <c r="V2077"/>
      <c r="W2077"/>
      <c r="X2077"/>
      <c r="Y2077"/>
      <c r="Z2077"/>
      <c r="AA2077"/>
      <c r="AB2077"/>
    </row>
    <row r="2078" spans="1:31" s="67" customFormat="1">
      <c r="A2078"/>
      <c r="B2078" s="2"/>
      <c r="C2078" s="5"/>
      <c r="D2078" s="4"/>
      <c r="E2078" s="11"/>
      <c r="F2078" s="6"/>
      <c r="G2078" s="143"/>
      <c r="H2078" s="143"/>
      <c r="I2078" s="299"/>
      <c r="J2078" s="143"/>
      <c r="K2078" s="143"/>
      <c r="L2078" s="40"/>
      <c r="M2078" s="342"/>
      <c r="N2078" s="393"/>
      <c r="O2078" s="393"/>
      <c r="P2078" s="294"/>
      <c r="Q2078" s="393"/>
      <c r="R2078"/>
      <c r="S2078" s="68"/>
      <c r="T2078" s="68"/>
      <c r="U2078"/>
      <c r="V2078"/>
      <c r="W2078"/>
      <c r="X2078"/>
      <c r="Y2078"/>
      <c r="Z2078"/>
      <c r="AA2078"/>
      <c r="AB2078"/>
    </row>
    <row r="2079" spans="1:31" s="67" customFormat="1">
      <c r="A2079"/>
      <c r="B2079" s="371" t="s">
        <v>3843</v>
      </c>
      <c r="C2079" s="371"/>
      <c r="D2079" s="371"/>
      <c r="E2079" s="147"/>
      <c r="F2079" s="6"/>
      <c r="G2079" s="3" t="s">
        <v>26</v>
      </c>
      <c r="H2079" s="3"/>
      <c r="I2079" s="300"/>
      <c r="J2079" s="3"/>
      <c r="K2079" s="3"/>
      <c r="L2079" s="371" t="s">
        <v>26</v>
      </c>
      <c r="M2079" s="371"/>
      <c r="N2079" s="300"/>
      <c r="O2079" s="393"/>
      <c r="P2079" s="294"/>
      <c r="Q2079" s="393"/>
      <c r="R2079"/>
      <c r="S2079" s="68"/>
      <c r="T2079" s="68"/>
      <c r="U2079"/>
      <c r="V2079"/>
      <c r="W2079"/>
      <c r="X2079"/>
      <c r="Y2079"/>
      <c r="Z2079"/>
      <c r="AA2079"/>
      <c r="AB2079"/>
    </row>
    <row r="2080" spans="1:31" s="67" customFormat="1">
      <c r="A2080"/>
      <c r="B2080" s="370" t="s">
        <v>3693</v>
      </c>
      <c r="C2080" s="370"/>
      <c r="D2080" s="370"/>
      <c r="E2080" s="11"/>
      <c r="F2080" s="6"/>
      <c r="G2080" s="179" t="s">
        <v>27</v>
      </c>
      <c r="H2080" s="179"/>
      <c r="I2080" s="301"/>
      <c r="J2080" s="179"/>
      <c r="K2080" s="179"/>
      <c r="L2080" s="370" t="s">
        <v>27</v>
      </c>
      <c r="M2080" s="370"/>
      <c r="N2080" s="301"/>
      <c r="O2080" s="393"/>
      <c r="P2080" s="294"/>
      <c r="Q2080" s="393"/>
      <c r="R2080"/>
      <c r="S2080" s="68"/>
      <c r="T2080" s="68"/>
      <c r="U2080"/>
      <c r="V2080"/>
      <c r="W2080"/>
      <c r="X2080"/>
      <c r="Y2080"/>
      <c r="Z2080"/>
      <c r="AA2080"/>
      <c r="AB2080"/>
    </row>
    <row r="2081" spans="12:13">
      <c r="L2081" s="27"/>
      <c r="M2081" s="342"/>
    </row>
  </sheetData>
  <autoFilter ref="A5:AE2069" xr:uid="{FF53589D-7AB8-46BD-8DD3-0091F11C2218}">
    <filterColumn colId="15">
      <filters blank="1">
        <filter val="1"/>
        <filter val="11"/>
        <filter val="13"/>
        <filter val="14"/>
        <filter val="2"/>
        <filter val="21"/>
        <filter val="24"/>
        <filter val="3"/>
        <filter val="4"/>
        <filter val="5"/>
        <filter val="6"/>
      </filters>
    </filterColumn>
  </autoFilter>
  <mergeCells count="14">
    <mergeCell ref="W4:X4"/>
    <mergeCell ref="Y4:Z4"/>
    <mergeCell ref="AA4:AB4"/>
    <mergeCell ref="R1197:R1198"/>
    <mergeCell ref="B2080:D2080"/>
    <mergeCell ref="B2073:C2073"/>
    <mergeCell ref="B2074:C2074"/>
    <mergeCell ref="B2079:D2079"/>
    <mergeCell ref="U4:V4"/>
    <mergeCell ref="L2073:M2073"/>
    <mergeCell ref="L2074:M2074"/>
    <mergeCell ref="L2079:M2079"/>
    <mergeCell ref="L2080:M2080"/>
    <mergeCell ref="E2065:F2065"/>
  </mergeCells>
  <pageMargins left="0.7" right="0.7" top="0.5" bottom="0.5" header="0.3" footer="0.3"/>
  <pageSetup paperSize="14" scale="52" fitToHeight="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EA39-DED6-4975-8251-2FBAE85EC7A3}">
  <sheetPr>
    <tabColor rgb="FFFFFF00"/>
    <pageSetUpPr fitToPage="1"/>
  </sheetPr>
  <dimension ref="A1:M88"/>
  <sheetViews>
    <sheetView tabSelected="1" view="pageBreakPreview" topLeftCell="A52" zoomScale="70" zoomScaleNormal="100" zoomScaleSheetLayoutView="70" workbookViewId="0">
      <selection activeCell="A33" sqref="A33:M88"/>
    </sheetView>
  </sheetViews>
  <sheetFormatPr defaultColWidth="9" defaultRowHeight="15"/>
  <cols>
    <col min="1" max="1" width="13.85546875" customWidth="1"/>
    <col min="2" max="2" width="41.85546875" customWidth="1"/>
    <col min="3" max="4" width="10.7109375" customWidth="1"/>
    <col min="5" max="8" width="10.7109375" style="4" hidden="1" customWidth="1"/>
    <col min="9" max="9" width="12.5703125" customWidth="1"/>
    <col min="10" max="11" width="10.7109375" customWidth="1"/>
    <col min="12" max="12" width="14.5703125" customWidth="1"/>
    <col min="13" max="13" width="19.42578125" customWidth="1"/>
  </cols>
  <sheetData>
    <row r="1" spans="1:13">
      <c r="A1" s="2" t="s">
        <v>3694</v>
      </c>
    </row>
    <row r="2" spans="1:13">
      <c r="A2" s="177" t="str">
        <f>PRINTING!B2</f>
        <v>AS OF JULY 2026</v>
      </c>
    </row>
    <row r="3" spans="1:13">
      <c r="A3" s="7" t="s">
        <v>28</v>
      </c>
    </row>
    <row r="4" spans="1:13" s="149" customFormat="1" ht="24">
      <c r="A4" s="74" t="s">
        <v>3</v>
      </c>
      <c r="B4" s="73" t="s">
        <v>4</v>
      </c>
      <c r="C4" s="9" t="s">
        <v>5</v>
      </c>
      <c r="D4" s="75" t="s">
        <v>3845</v>
      </c>
      <c r="E4" s="48" t="s">
        <v>3710</v>
      </c>
      <c r="F4" s="226" t="s">
        <v>3773</v>
      </c>
      <c r="G4" s="226" t="s">
        <v>3711</v>
      </c>
      <c r="H4" s="226" t="s">
        <v>46</v>
      </c>
      <c r="I4" s="75" t="s">
        <v>12</v>
      </c>
      <c r="J4" s="226" t="s">
        <v>6</v>
      </c>
      <c r="K4" s="75" t="s">
        <v>9</v>
      </c>
      <c r="L4" s="9" t="s">
        <v>10</v>
      </c>
      <c r="M4" s="73" t="s">
        <v>11</v>
      </c>
    </row>
    <row r="5" spans="1:13" s="150" customFormat="1" ht="15" customHeight="1">
      <c r="A5" s="160" t="s">
        <v>77</v>
      </c>
      <c r="B5" s="178" t="s">
        <v>78</v>
      </c>
      <c r="C5" s="185">
        <v>26.09</v>
      </c>
      <c r="D5" s="186">
        <v>17</v>
      </c>
      <c r="E5" s="187"/>
      <c r="F5" s="187"/>
      <c r="G5" s="161"/>
      <c r="H5" s="171">
        <v>1</v>
      </c>
      <c r="I5" s="354">
        <v>16</v>
      </c>
      <c r="J5" s="354">
        <v>17</v>
      </c>
      <c r="K5" s="354">
        <v>-1</v>
      </c>
      <c r="L5" s="354">
        <v>-26.089999999999975</v>
      </c>
      <c r="M5" s="354"/>
    </row>
    <row r="6" spans="1:13" s="150" customFormat="1" ht="15" customHeight="1">
      <c r="A6" s="160" t="s">
        <v>200</v>
      </c>
      <c r="B6" s="178" t="s">
        <v>201</v>
      </c>
      <c r="C6" s="185">
        <v>11.78</v>
      </c>
      <c r="D6" s="186"/>
      <c r="E6" s="187"/>
      <c r="F6" s="187"/>
      <c r="G6" s="161"/>
      <c r="H6" s="171"/>
      <c r="I6" s="354">
        <v>0</v>
      </c>
      <c r="J6" s="354">
        <v>1</v>
      </c>
      <c r="K6" s="354">
        <v>-1</v>
      </c>
      <c r="L6" s="354">
        <v>-11.78</v>
      </c>
      <c r="M6" s="354"/>
    </row>
    <row r="7" spans="1:13" s="150" customFormat="1" ht="15" customHeight="1">
      <c r="A7" s="160" t="s">
        <v>285</v>
      </c>
      <c r="B7" s="178" t="s">
        <v>286</v>
      </c>
      <c r="C7" s="185">
        <v>15.65</v>
      </c>
      <c r="D7" s="186">
        <v>77</v>
      </c>
      <c r="E7" s="187"/>
      <c r="F7" s="187"/>
      <c r="G7" s="161"/>
      <c r="H7" s="171">
        <v>10</v>
      </c>
      <c r="I7" s="354">
        <v>67</v>
      </c>
      <c r="J7" s="354">
        <v>68</v>
      </c>
      <c r="K7" s="354">
        <v>-1</v>
      </c>
      <c r="L7" s="354">
        <v>-15.650000000000091</v>
      </c>
      <c r="M7" s="354"/>
    </row>
    <row r="8" spans="1:13" s="150" customFormat="1" ht="15" customHeight="1">
      <c r="A8" s="160" t="s">
        <v>296</v>
      </c>
      <c r="B8" s="178" t="s">
        <v>297</v>
      </c>
      <c r="C8" s="185">
        <v>7.06</v>
      </c>
      <c r="D8" s="186">
        <v>98</v>
      </c>
      <c r="E8" s="187"/>
      <c r="F8" s="187"/>
      <c r="G8" s="161"/>
      <c r="H8" s="171">
        <v>20</v>
      </c>
      <c r="I8" s="354">
        <v>78</v>
      </c>
      <c r="J8" s="354">
        <v>84</v>
      </c>
      <c r="K8" s="354">
        <v>-6</v>
      </c>
      <c r="L8" s="354">
        <v>-42.360000000000014</v>
      </c>
      <c r="M8" s="354"/>
    </row>
    <row r="9" spans="1:13" s="150" customFormat="1" ht="15" customHeight="1">
      <c r="A9" s="160" t="s">
        <v>1162</v>
      </c>
      <c r="B9" s="178" t="s">
        <v>1163</v>
      </c>
      <c r="C9" s="185">
        <v>21.88</v>
      </c>
      <c r="D9" s="186">
        <v>7</v>
      </c>
      <c r="E9" s="187"/>
      <c r="F9" s="187"/>
      <c r="G9" s="161"/>
      <c r="H9" s="171">
        <v>9</v>
      </c>
      <c r="I9" s="354">
        <v>-2</v>
      </c>
      <c r="J9" s="354">
        <v>49</v>
      </c>
      <c r="K9" s="354">
        <v>-51</v>
      </c>
      <c r="L9" s="354">
        <v>-1115.8799999999999</v>
      </c>
      <c r="M9" s="354"/>
    </row>
    <row r="10" spans="1:13" s="150" customFormat="1" ht="15" customHeight="1">
      <c r="A10" s="160" t="s">
        <v>1380</v>
      </c>
      <c r="B10" s="178" t="s">
        <v>1381</v>
      </c>
      <c r="C10" s="185">
        <v>26</v>
      </c>
      <c r="D10" s="186"/>
      <c r="E10" s="187"/>
      <c r="F10" s="187"/>
      <c r="G10" s="161"/>
      <c r="H10" s="171">
        <v>5</v>
      </c>
      <c r="I10" s="354">
        <v>-5</v>
      </c>
      <c r="J10" s="354">
        <v>0</v>
      </c>
      <c r="K10" s="354">
        <v>-5</v>
      </c>
      <c r="L10" s="354">
        <v>-130</v>
      </c>
      <c r="M10" s="354"/>
    </row>
    <row r="11" spans="1:13" s="150" customFormat="1" ht="15" customHeight="1">
      <c r="A11" s="160" t="s">
        <v>1396</v>
      </c>
      <c r="B11" s="178" t="s">
        <v>1397</v>
      </c>
      <c r="C11" s="185">
        <v>25.03</v>
      </c>
      <c r="D11" s="186"/>
      <c r="E11" s="187"/>
      <c r="F11" s="187"/>
      <c r="G11" s="161"/>
      <c r="H11" s="171">
        <v>1</v>
      </c>
      <c r="I11" s="354">
        <v>-1</v>
      </c>
      <c r="J11" s="354">
        <v>0</v>
      </c>
      <c r="K11" s="354">
        <v>-1</v>
      </c>
      <c r="L11" s="354">
        <v>-25.03</v>
      </c>
      <c r="M11" s="354"/>
    </row>
    <row r="12" spans="1:13" s="150" customFormat="1" ht="15" customHeight="1">
      <c r="A12" s="160" t="s">
        <v>1487</v>
      </c>
      <c r="B12" s="178" t="s">
        <v>1488</v>
      </c>
      <c r="C12" s="185">
        <v>13.85</v>
      </c>
      <c r="D12" s="186">
        <v>42</v>
      </c>
      <c r="E12" s="187"/>
      <c r="F12" s="187"/>
      <c r="G12" s="161"/>
      <c r="H12" s="171">
        <v>28</v>
      </c>
      <c r="I12" s="354">
        <v>14</v>
      </c>
      <c r="J12" s="354">
        <v>42</v>
      </c>
      <c r="K12" s="354">
        <v>-28</v>
      </c>
      <c r="L12" s="354">
        <v>-387.79999999999995</v>
      </c>
      <c r="M12" s="354"/>
    </row>
    <row r="13" spans="1:13" s="150" customFormat="1" ht="15" customHeight="1">
      <c r="A13" s="160" t="s">
        <v>1527</v>
      </c>
      <c r="B13" s="178" t="s">
        <v>1528</v>
      </c>
      <c r="C13" s="185">
        <v>94.76</v>
      </c>
      <c r="D13" s="186"/>
      <c r="E13" s="187"/>
      <c r="F13" s="187"/>
      <c r="G13" s="161"/>
      <c r="H13" s="171">
        <v>2</v>
      </c>
      <c r="I13" s="354">
        <v>-2</v>
      </c>
      <c r="J13" s="354">
        <v>0</v>
      </c>
      <c r="K13" s="354">
        <v>-2</v>
      </c>
      <c r="L13" s="354">
        <v>-189.52</v>
      </c>
      <c r="M13" s="354"/>
    </row>
    <row r="14" spans="1:13" s="150" customFormat="1" ht="15" customHeight="1">
      <c r="A14" s="160" t="s">
        <v>3891</v>
      </c>
      <c r="B14" s="178" t="s">
        <v>4379</v>
      </c>
      <c r="C14" s="185">
        <v>6.89</v>
      </c>
      <c r="D14" s="186"/>
      <c r="E14" s="187"/>
      <c r="F14" s="187"/>
      <c r="G14" s="161"/>
      <c r="H14" s="171">
        <v>23</v>
      </c>
      <c r="I14" s="354">
        <v>-23</v>
      </c>
      <c r="J14" s="354">
        <v>17</v>
      </c>
      <c r="K14" s="354">
        <v>-40</v>
      </c>
      <c r="L14" s="354">
        <v>-275.60000000000002</v>
      </c>
      <c r="M14" s="354"/>
    </row>
    <row r="15" spans="1:13" s="150" customFormat="1" ht="15" customHeight="1">
      <c r="A15" s="160" t="s">
        <v>1586</v>
      </c>
      <c r="B15" s="178" t="s">
        <v>1587</v>
      </c>
      <c r="C15" s="185">
        <v>7.14</v>
      </c>
      <c r="D15" s="186">
        <v>4</v>
      </c>
      <c r="E15" s="187"/>
      <c r="F15" s="187"/>
      <c r="G15" s="161"/>
      <c r="H15" s="171">
        <v>11</v>
      </c>
      <c r="I15" s="354">
        <v>-7</v>
      </c>
      <c r="J15" s="354">
        <v>37</v>
      </c>
      <c r="K15" s="354">
        <v>-44</v>
      </c>
      <c r="L15" s="354">
        <v>-314.16000000000003</v>
      </c>
      <c r="M15" s="354"/>
    </row>
    <row r="16" spans="1:13" s="150" customFormat="1" ht="15" customHeight="1">
      <c r="A16" s="160" t="s">
        <v>1590</v>
      </c>
      <c r="B16" s="178" t="s">
        <v>1591</v>
      </c>
      <c r="C16" s="185">
        <v>14.38</v>
      </c>
      <c r="D16" s="186">
        <v>5</v>
      </c>
      <c r="E16" s="187"/>
      <c r="F16" s="187"/>
      <c r="G16" s="161"/>
      <c r="H16" s="171">
        <v>17</v>
      </c>
      <c r="I16" s="354">
        <v>-12</v>
      </c>
      <c r="J16" s="354">
        <v>12</v>
      </c>
      <c r="K16" s="354">
        <v>-24</v>
      </c>
      <c r="L16" s="354">
        <v>-345.12</v>
      </c>
      <c r="M16" s="354"/>
    </row>
    <row r="17" spans="1:13" s="150" customFormat="1" ht="15" customHeight="1">
      <c r="A17" s="160" t="s">
        <v>1594</v>
      </c>
      <c r="B17" s="178" t="s">
        <v>1595</v>
      </c>
      <c r="C17" s="185">
        <v>27.84</v>
      </c>
      <c r="D17" s="186"/>
      <c r="E17" s="187"/>
      <c r="F17" s="187"/>
      <c r="G17" s="161"/>
      <c r="H17" s="171">
        <v>25</v>
      </c>
      <c r="I17" s="354">
        <v>-25</v>
      </c>
      <c r="J17" s="354"/>
      <c r="K17" s="354">
        <v>-25</v>
      </c>
      <c r="L17" s="354">
        <v>-696</v>
      </c>
      <c r="M17" s="354"/>
    </row>
    <row r="18" spans="1:13" s="150" customFormat="1" ht="15" customHeight="1">
      <c r="A18" s="160" t="s">
        <v>1778</v>
      </c>
      <c r="B18" s="178" t="s">
        <v>1779</v>
      </c>
      <c r="C18" s="185">
        <v>7.75</v>
      </c>
      <c r="D18" s="186">
        <v>167</v>
      </c>
      <c r="E18" s="187"/>
      <c r="F18" s="187"/>
      <c r="G18" s="161"/>
      <c r="H18" s="171"/>
      <c r="I18" s="354">
        <v>167</v>
      </c>
      <c r="J18" s="354">
        <v>169</v>
      </c>
      <c r="K18" s="354">
        <v>-2</v>
      </c>
      <c r="L18" s="354">
        <v>-15.5</v>
      </c>
      <c r="M18" s="354"/>
    </row>
    <row r="19" spans="1:13" s="150" customFormat="1" ht="15" customHeight="1">
      <c r="A19" s="160" t="s">
        <v>1796</v>
      </c>
      <c r="B19" s="178" t="s">
        <v>1797</v>
      </c>
      <c r="C19" s="185">
        <v>30.2</v>
      </c>
      <c r="D19" s="186"/>
      <c r="E19" s="187"/>
      <c r="F19" s="187"/>
      <c r="G19" s="161"/>
      <c r="H19" s="171">
        <v>1</v>
      </c>
      <c r="I19" s="354">
        <v>-1</v>
      </c>
      <c r="J19" s="354"/>
      <c r="K19" s="354">
        <v>-1</v>
      </c>
      <c r="L19" s="354">
        <v>-30.2</v>
      </c>
      <c r="M19" s="354"/>
    </row>
    <row r="20" spans="1:13" s="150" customFormat="1" ht="15" customHeight="1">
      <c r="A20" s="160" t="s">
        <v>1948</v>
      </c>
      <c r="B20" s="178" t="s">
        <v>1949</v>
      </c>
      <c r="C20" s="185">
        <v>6.82</v>
      </c>
      <c r="D20" s="186">
        <v>5</v>
      </c>
      <c r="E20" s="187"/>
      <c r="F20" s="187"/>
      <c r="G20" s="161"/>
      <c r="H20" s="171">
        <v>12</v>
      </c>
      <c r="I20" s="354">
        <v>-7</v>
      </c>
      <c r="J20" s="354">
        <v>5</v>
      </c>
      <c r="K20" s="354">
        <v>-12</v>
      </c>
      <c r="L20" s="354">
        <v>-81.84</v>
      </c>
      <c r="M20" s="354"/>
    </row>
    <row r="21" spans="1:13" s="150" customFormat="1" ht="15" customHeight="1">
      <c r="A21" s="160" t="s">
        <v>3052</v>
      </c>
      <c r="B21" s="178" t="s">
        <v>3053</v>
      </c>
      <c r="C21" s="185">
        <v>37.869999999999997</v>
      </c>
      <c r="D21" s="186">
        <v>30</v>
      </c>
      <c r="E21" s="187"/>
      <c r="F21" s="187"/>
      <c r="G21" s="161"/>
      <c r="H21" s="171"/>
      <c r="I21" s="354">
        <v>30</v>
      </c>
      <c r="J21" s="354">
        <v>31</v>
      </c>
      <c r="K21" s="354">
        <v>-1</v>
      </c>
      <c r="L21" s="354">
        <v>-37.870000000000118</v>
      </c>
      <c r="M21" s="354"/>
    </row>
    <row r="22" spans="1:13" s="150" customFormat="1" ht="15" customHeight="1">
      <c r="A22" s="160" t="s">
        <v>3080</v>
      </c>
      <c r="B22" s="178" t="s">
        <v>3081</v>
      </c>
      <c r="C22" s="185">
        <v>20.399999999999999</v>
      </c>
      <c r="D22" s="186">
        <v>34</v>
      </c>
      <c r="E22" s="187"/>
      <c r="F22" s="187"/>
      <c r="G22" s="161"/>
      <c r="H22" s="171">
        <v>8</v>
      </c>
      <c r="I22" s="354">
        <v>26</v>
      </c>
      <c r="J22" s="354">
        <v>34</v>
      </c>
      <c r="K22" s="354">
        <v>-8</v>
      </c>
      <c r="L22" s="354">
        <v>-163.19999999999993</v>
      </c>
      <c r="M22" s="354"/>
    </row>
    <row r="23" spans="1:13" s="150" customFormat="1" ht="15" customHeight="1">
      <c r="A23" s="160" t="s">
        <v>3082</v>
      </c>
      <c r="B23" s="178" t="s">
        <v>3083</v>
      </c>
      <c r="C23" s="185">
        <v>20.399999999999999</v>
      </c>
      <c r="D23" s="186">
        <v>54</v>
      </c>
      <c r="E23" s="187"/>
      <c r="F23" s="187"/>
      <c r="G23" s="161"/>
      <c r="H23" s="171">
        <v>5</v>
      </c>
      <c r="I23" s="354">
        <v>49</v>
      </c>
      <c r="J23" s="354">
        <v>57</v>
      </c>
      <c r="K23" s="354">
        <v>-8</v>
      </c>
      <c r="L23" s="354">
        <v>-163.20000000000005</v>
      </c>
      <c r="M23" s="354"/>
    </row>
    <row r="24" spans="1:13" s="150" customFormat="1" ht="15" customHeight="1">
      <c r="A24" s="160" t="s">
        <v>3366</v>
      </c>
      <c r="B24" s="178" t="s">
        <v>3367</v>
      </c>
      <c r="C24" s="185">
        <v>0.74</v>
      </c>
      <c r="D24" s="186"/>
      <c r="E24" s="187"/>
      <c r="F24" s="187"/>
      <c r="G24" s="161"/>
      <c r="H24" s="171">
        <v>17</v>
      </c>
      <c r="I24" s="354">
        <v>-17</v>
      </c>
      <c r="J24" s="354"/>
      <c r="K24" s="354">
        <v>-17</v>
      </c>
      <c r="L24" s="354">
        <v>-12.58</v>
      </c>
      <c r="M24" s="354"/>
    </row>
    <row r="25" spans="1:13" s="150" customFormat="1" ht="15" customHeight="1">
      <c r="A25" s="160" t="s">
        <v>3743</v>
      </c>
      <c r="B25" s="178" t="s">
        <v>3744</v>
      </c>
      <c r="C25" s="185">
        <v>0.76</v>
      </c>
      <c r="D25" s="186">
        <v>8</v>
      </c>
      <c r="E25" s="187"/>
      <c r="F25" s="187"/>
      <c r="G25" s="161"/>
      <c r="H25" s="171">
        <v>9</v>
      </c>
      <c r="I25" s="354">
        <v>-1</v>
      </c>
      <c r="J25" s="354"/>
      <c r="K25" s="354">
        <v>-1</v>
      </c>
      <c r="L25" s="354">
        <v>-0.76</v>
      </c>
      <c r="M25" s="354"/>
    </row>
    <row r="26" spans="1:13" s="150" customFormat="1" ht="15" customHeight="1">
      <c r="A26" s="160" t="s">
        <v>3633</v>
      </c>
      <c r="B26" s="178" t="s">
        <v>3635</v>
      </c>
      <c r="C26" s="185">
        <v>6.03</v>
      </c>
      <c r="D26" s="186"/>
      <c r="E26" s="187"/>
      <c r="F26" s="187"/>
      <c r="G26" s="161"/>
      <c r="H26" s="171">
        <v>2</v>
      </c>
      <c r="I26" s="354">
        <v>-2</v>
      </c>
      <c r="J26" s="354"/>
      <c r="K26" s="354">
        <v>-2</v>
      </c>
      <c r="L26" s="354">
        <v>-12.06</v>
      </c>
      <c r="M26" s="354"/>
    </row>
    <row r="27" spans="1:13">
      <c r="A27" s="350"/>
      <c r="B27" s="351"/>
      <c r="C27" s="352"/>
      <c r="D27" s="353">
        <f t="shared" ref="D27:M27" si="0">SUM(D5:D26)</f>
        <v>548</v>
      </c>
      <c r="E27" s="353">
        <f t="shared" si="0"/>
        <v>0</v>
      </c>
      <c r="F27" s="353">
        <f t="shared" si="0"/>
        <v>0</v>
      </c>
      <c r="G27" s="353">
        <f t="shared" si="0"/>
        <v>0</v>
      </c>
      <c r="H27" s="353">
        <f t="shared" si="0"/>
        <v>206</v>
      </c>
      <c r="I27" s="353">
        <f t="shared" si="0"/>
        <v>342</v>
      </c>
      <c r="J27" s="353">
        <f t="shared" si="0"/>
        <v>623</v>
      </c>
      <c r="K27" s="353">
        <f t="shared" si="0"/>
        <v>-281</v>
      </c>
      <c r="L27" s="353">
        <f t="shared" si="0"/>
        <v>-4092.1999999999994</v>
      </c>
      <c r="M27" s="353">
        <f t="shared" si="0"/>
        <v>0</v>
      </c>
    </row>
    <row r="28" spans="1:13" hidden="1">
      <c r="A28" s="7" t="s">
        <v>29</v>
      </c>
    </row>
    <row r="29" spans="1:13" s="151" customFormat="1" ht="36" hidden="1">
      <c r="A29" s="74" t="s">
        <v>3</v>
      </c>
      <c r="B29" s="73" t="s">
        <v>4</v>
      </c>
      <c r="C29" s="148" t="s">
        <v>5</v>
      </c>
      <c r="D29" s="148"/>
      <c r="E29" s="148"/>
      <c r="F29" s="73" t="s">
        <v>9</v>
      </c>
      <c r="G29" s="73" t="s">
        <v>10</v>
      </c>
      <c r="H29" s="73" t="s">
        <v>11</v>
      </c>
    </row>
    <row r="30" spans="1:13" hidden="1">
      <c r="A30" s="152"/>
      <c r="B30" s="153"/>
      <c r="C30" s="154"/>
      <c r="D30" s="154"/>
      <c r="E30" s="355"/>
      <c r="F30" s="83"/>
      <c r="G30" s="84"/>
      <c r="H30" s="356"/>
    </row>
    <row r="31" spans="1:13" hidden="1">
      <c r="A31" s="155"/>
      <c r="B31" s="156"/>
      <c r="C31" s="157"/>
      <c r="D31" s="157"/>
      <c r="E31" s="155"/>
      <c r="F31" s="158">
        <f>SUM(F30:F30)</f>
        <v>0</v>
      </c>
      <c r="G31" s="159">
        <f>SUM(G30:G30)</f>
        <v>0</v>
      </c>
      <c r="H31" s="357"/>
    </row>
    <row r="33" spans="1:13">
      <c r="A33" s="29" t="s">
        <v>30</v>
      </c>
    </row>
    <row r="34" spans="1:13" s="149" customFormat="1" ht="35.25" customHeight="1">
      <c r="A34" s="74" t="s">
        <v>3</v>
      </c>
      <c r="B34" s="73" t="s">
        <v>4</v>
      </c>
      <c r="C34" s="9" t="s">
        <v>5</v>
      </c>
      <c r="D34" s="75" t="s">
        <v>3845</v>
      </c>
      <c r="E34" s="48" t="s">
        <v>3710</v>
      </c>
      <c r="F34" s="226" t="s">
        <v>3773</v>
      </c>
      <c r="G34" s="226" t="s">
        <v>3711</v>
      </c>
      <c r="H34" s="226" t="s">
        <v>46</v>
      </c>
      <c r="I34" s="75" t="s">
        <v>12</v>
      </c>
      <c r="J34" s="226" t="s">
        <v>6</v>
      </c>
      <c r="K34" s="75" t="s">
        <v>9</v>
      </c>
      <c r="L34" s="9" t="s">
        <v>10</v>
      </c>
      <c r="M34" s="73" t="s">
        <v>11</v>
      </c>
    </row>
    <row r="35" spans="1:13" ht="15" customHeight="1">
      <c r="A35" s="160" t="s">
        <v>61</v>
      </c>
      <c r="B35" s="178" t="s">
        <v>62</v>
      </c>
      <c r="C35" s="185">
        <v>16.03</v>
      </c>
      <c r="D35" s="186">
        <v>56</v>
      </c>
      <c r="E35" s="187"/>
      <c r="F35" s="187"/>
      <c r="G35" s="161"/>
      <c r="H35" s="171">
        <v>2</v>
      </c>
      <c r="I35" s="303">
        <v>54</v>
      </c>
      <c r="J35" s="303">
        <v>53</v>
      </c>
      <c r="K35" s="303">
        <v>1</v>
      </c>
      <c r="L35" s="303">
        <v>16.030000000000086</v>
      </c>
      <c r="M35" s="303"/>
    </row>
    <row r="36" spans="1:13" ht="15" customHeight="1">
      <c r="A36" s="160" t="s">
        <v>77</v>
      </c>
      <c r="B36" s="178" t="s">
        <v>78</v>
      </c>
      <c r="C36" s="185">
        <v>28.196000000000002</v>
      </c>
      <c r="D36" s="186"/>
      <c r="E36" s="187"/>
      <c r="F36" s="187">
        <v>15</v>
      </c>
      <c r="G36" s="161"/>
      <c r="H36" s="171"/>
      <c r="I36" s="303">
        <v>15</v>
      </c>
      <c r="J36" s="303">
        <v>14</v>
      </c>
      <c r="K36" s="303">
        <v>1</v>
      </c>
      <c r="L36" s="303">
        <v>28.19599999999997</v>
      </c>
      <c r="M36" s="359"/>
    </row>
    <row r="37" spans="1:13" ht="15" customHeight="1">
      <c r="A37" s="160" t="s">
        <v>180</v>
      </c>
      <c r="B37" s="178" t="s">
        <v>181</v>
      </c>
      <c r="C37" s="185">
        <v>16.579999999999998</v>
      </c>
      <c r="D37" s="186">
        <v>94</v>
      </c>
      <c r="E37" s="187"/>
      <c r="F37" s="187"/>
      <c r="G37" s="161"/>
      <c r="H37" s="171">
        <v>16</v>
      </c>
      <c r="I37" s="303">
        <v>78</v>
      </c>
      <c r="J37" s="303">
        <v>77</v>
      </c>
      <c r="K37" s="303">
        <v>1</v>
      </c>
      <c r="L37" s="303">
        <v>16.579999999999927</v>
      </c>
      <c r="M37" s="359"/>
    </row>
    <row r="38" spans="1:13" ht="15" customHeight="1">
      <c r="A38" s="160" t="s">
        <v>182</v>
      </c>
      <c r="B38" s="178" t="s">
        <v>183</v>
      </c>
      <c r="C38" s="185">
        <v>39.479999999999997</v>
      </c>
      <c r="D38" s="186">
        <v>15</v>
      </c>
      <c r="E38" s="187"/>
      <c r="F38" s="187"/>
      <c r="G38" s="161"/>
      <c r="H38" s="171"/>
      <c r="I38" s="303">
        <v>15</v>
      </c>
      <c r="J38" s="303">
        <v>14</v>
      </c>
      <c r="K38" s="303">
        <v>1</v>
      </c>
      <c r="L38" s="303">
        <v>39.480000000000018</v>
      </c>
      <c r="M38" s="359"/>
    </row>
    <row r="39" spans="1:13" ht="15" customHeight="1">
      <c r="A39" s="160" t="s">
        <v>207</v>
      </c>
      <c r="B39" s="178" t="s">
        <v>208</v>
      </c>
      <c r="C39" s="185">
        <v>6.18</v>
      </c>
      <c r="D39" s="186">
        <v>87</v>
      </c>
      <c r="E39" s="187"/>
      <c r="F39" s="187"/>
      <c r="G39" s="161"/>
      <c r="H39" s="171"/>
      <c r="I39" s="303">
        <v>87</v>
      </c>
      <c r="J39" s="303">
        <v>86</v>
      </c>
      <c r="K39" s="303">
        <v>1</v>
      </c>
      <c r="L39" s="303">
        <v>6.17999999999995</v>
      </c>
      <c r="M39" s="359" t="s">
        <v>209</v>
      </c>
    </row>
    <row r="40" spans="1:13" ht="15" customHeight="1">
      <c r="A40" s="160" t="s">
        <v>254</v>
      </c>
      <c r="B40" s="178" t="s">
        <v>255</v>
      </c>
      <c r="C40" s="185">
        <v>6.18</v>
      </c>
      <c r="D40" s="186">
        <v>129</v>
      </c>
      <c r="E40" s="187"/>
      <c r="F40" s="187"/>
      <c r="G40" s="161"/>
      <c r="H40" s="171"/>
      <c r="I40" s="303">
        <v>129</v>
      </c>
      <c r="J40" s="303">
        <v>128</v>
      </c>
      <c r="K40" s="303">
        <v>1</v>
      </c>
      <c r="L40" s="303">
        <v>6.17999999999995</v>
      </c>
      <c r="M40" s="359"/>
    </row>
    <row r="41" spans="1:13" ht="15" customHeight="1">
      <c r="A41" s="160" t="s">
        <v>287</v>
      </c>
      <c r="B41" s="178" t="s">
        <v>288</v>
      </c>
      <c r="C41" s="185">
        <v>34.47</v>
      </c>
      <c r="D41" s="186">
        <v>45</v>
      </c>
      <c r="E41" s="187"/>
      <c r="F41" s="187"/>
      <c r="G41" s="161"/>
      <c r="H41" s="171">
        <v>3</v>
      </c>
      <c r="I41" s="303">
        <v>42</v>
      </c>
      <c r="J41" s="303">
        <v>41</v>
      </c>
      <c r="K41" s="303">
        <v>1</v>
      </c>
      <c r="L41" s="303">
        <v>34.470000000000027</v>
      </c>
      <c r="M41" s="359"/>
    </row>
    <row r="42" spans="1:13" ht="15" customHeight="1">
      <c r="A42" s="160" t="s">
        <v>359</v>
      </c>
      <c r="B42" s="178" t="s">
        <v>360</v>
      </c>
      <c r="C42" s="185">
        <v>59.5</v>
      </c>
      <c r="D42" s="186">
        <v>10</v>
      </c>
      <c r="E42" s="187"/>
      <c r="F42" s="187"/>
      <c r="G42" s="161"/>
      <c r="H42" s="171">
        <v>1</v>
      </c>
      <c r="I42" s="303">
        <v>9</v>
      </c>
      <c r="J42" s="303">
        <v>8</v>
      </c>
      <c r="K42" s="303">
        <v>1</v>
      </c>
      <c r="L42" s="303">
        <v>59.5</v>
      </c>
      <c r="M42" s="359"/>
    </row>
    <row r="43" spans="1:13" ht="15" customHeight="1">
      <c r="A43" s="160" t="s">
        <v>377</v>
      </c>
      <c r="B43" s="178" t="s">
        <v>378</v>
      </c>
      <c r="C43" s="185">
        <v>44.8</v>
      </c>
      <c r="D43" s="186">
        <v>8</v>
      </c>
      <c r="E43" s="187"/>
      <c r="F43" s="187">
        <v>10</v>
      </c>
      <c r="G43" s="161"/>
      <c r="H43" s="171">
        <v>8</v>
      </c>
      <c r="I43" s="303">
        <v>10</v>
      </c>
      <c r="J43" s="303">
        <v>9</v>
      </c>
      <c r="K43" s="303">
        <v>1</v>
      </c>
      <c r="L43" s="303">
        <v>44.800000000000011</v>
      </c>
      <c r="M43" s="359"/>
    </row>
    <row r="44" spans="1:13" ht="15" customHeight="1">
      <c r="A44" s="160" t="s">
        <v>394</v>
      </c>
      <c r="B44" s="178" t="s">
        <v>395</v>
      </c>
      <c r="C44" s="185">
        <v>7.48</v>
      </c>
      <c r="D44" s="186">
        <v>22</v>
      </c>
      <c r="E44" s="187"/>
      <c r="F44" s="187"/>
      <c r="G44" s="161"/>
      <c r="H44" s="171">
        <v>4</v>
      </c>
      <c r="I44" s="303">
        <v>18</v>
      </c>
      <c r="J44" s="303">
        <v>16</v>
      </c>
      <c r="K44" s="303">
        <v>2</v>
      </c>
      <c r="L44" s="303">
        <v>14.960000000000008</v>
      </c>
      <c r="M44" s="359"/>
    </row>
    <row r="45" spans="1:13" ht="15" customHeight="1">
      <c r="A45" s="160" t="s">
        <v>902</v>
      </c>
      <c r="B45" s="178" t="s">
        <v>903</v>
      </c>
      <c r="C45" s="185">
        <v>24.35</v>
      </c>
      <c r="D45" s="186">
        <v>62</v>
      </c>
      <c r="E45" s="187"/>
      <c r="F45" s="187"/>
      <c r="G45" s="161"/>
      <c r="H45" s="171"/>
      <c r="I45" s="303">
        <v>62</v>
      </c>
      <c r="J45" s="303">
        <v>49</v>
      </c>
      <c r="K45" s="303">
        <v>13</v>
      </c>
      <c r="L45" s="303">
        <v>316.54999999999995</v>
      </c>
      <c r="M45" s="359"/>
    </row>
    <row r="46" spans="1:13" ht="15" customHeight="1">
      <c r="A46" s="160" t="s">
        <v>923</v>
      </c>
      <c r="B46" s="178" t="s">
        <v>924</v>
      </c>
      <c r="C46" s="185">
        <v>12.56</v>
      </c>
      <c r="D46" s="186">
        <v>53</v>
      </c>
      <c r="E46" s="187"/>
      <c r="F46" s="187"/>
      <c r="G46" s="161"/>
      <c r="H46" s="171">
        <v>2</v>
      </c>
      <c r="I46" s="303">
        <v>51</v>
      </c>
      <c r="J46" s="303">
        <v>50</v>
      </c>
      <c r="K46" s="303">
        <v>1</v>
      </c>
      <c r="L46" s="303">
        <v>12.560000000000059</v>
      </c>
      <c r="M46" s="359"/>
    </row>
    <row r="47" spans="1:13" ht="15" customHeight="1">
      <c r="A47" s="160" t="s">
        <v>1024</v>
      </c>
      <c r="B47" s="178" t="s">
        <v>1025</v>
      </c>
      <c r="C47" s="185">
        <v>8.58</v>
      </c>
      <c r="D47" s="186">
        <v>480</v>
      </c>
      <c r="E47" s="187"/>
      <c r="F47" s="187"/>
      <c r="G47" s="161"/>
      <c r="H47" s="171">
        <v>91</v>
      </c>
      <c r="I47" s="303">
        <v>389</v>
      </c>
      <c r="J47" s="303">
        <v>383</v>
      </c>
      <c r="K47" s="303">
        <v>6</v>
      </c>
      <c r="L47" s="303">
        <v>51.480000000000018</v>
      </c>
      <c r="M47" s="359"/>
    </row>
    <row r="48" spans="1:13" ht="15" customHeight="1">
      <c r="A48" s="160" t="s">
        <v>1123</v>
      </c>
      <c r="B48" s="178" t="s">
        <v>1124</v>
      </c>
      <c r="C48" s="185">
        <v>14</v>
      </c>
      <c r="D48" s="186">
        <v>46</v>
      </c>
      <c r="E48" s="187"/>
      <c r="F48" s="187"/>
      <c r="G48" s="161"/>
      <c r="H48" s="171"/>
      <c r="I48" s="303">
        <v>46</v>
      </c>
      <c r="J48" s="303">
        <v>45</v>
      </c>
      <c r="K48" s="303">
        <v>1</v>
      </c>
      <c r="L48" s="303">
        <v>14</v>
      </c>
      <c r="M48" s="359" t="s">
        <v>1125</v>
      </c>
    </row>
    <row r="49" spans="1:13" ht="15" customHeight="1">
      <c r="A49" s="160" t="s">
        <v>1131</v>
      </c>
      <c r="B49" s="178" t="s">
        <v>1132</v>
      </c>
      <c r="C49" s="185">
        <v>18.5</v>
      </c>
      <c r="D49" s="186">
        <v>1</v>
      </c>
      <c r="E49" s="187"/>
      <c r="F49" s="187"/>
      <c r="G49" s="161"/>
      <c r="H49" s="171"/>
      <c r="I49" s="303">
        <v>1</v>
      </c>
      <c r="J49" s="303"/>
      <c r="K49" s="303">
        <v>1</v>
      </c>
      <c r="L49" s="303">
        <v>18.5</v>
      </c>
      <c r="M49" s="359"/>
    </row>
    <row r="50" spans="1:13" ht="15" customHeight="1">
      <c r="A50" s="160" t="s">
        <v>1133</v>
      </c>
      <c r="B50" s="178" t="s">
        <v>1134</v>
      </c>
      <c r="C50" s="185">
        <v>14.75</v>
      </c>
      <c r="D50" s="186"/>
      <c r="E50" s="187"/>
      <c r="F50" s="187">
        <v>24</v>
      </c>
      <c r="G50" s="161"/>
      <c r="H50" s="171"/>
      <c r="I50" s="303">
        <v>24</v>
      </c>
      <c r="J50" s="303">
        <v>23</v>
      </c>
      <c r="K50" s="303">
        <v>1</v>
      </c>
      <c r="L50" s="303">
        <v>14.75</v>
      </c>
      <c r="M50" s="359"/>
    </row>
    <row r="51" spans="1:13" ht="15" customHeight="1">
      <c r="A51" s="160" t="s">
        <v>1415</v>
      </c>
      <c r="B51" s="178" t="s">
        <v>1416</v>
      </c>
      <c r="C51" s="185">
        <v>27.57</v>
      </c>
      <c r="D51" s="186">
        <v>27</v>
      </c>
      <c r="E51" s="187"/>
      <c r="F51" s="187"/>
      <c r="G51" s="161"/>
      <c r="H51" s="171"/>
      <c r="I51" s="303">
        <v>27</v>
      </c>
      <c r="J51" s="303">
        <v>26</v>
      </c>
      <c r="K51" s="303">
        <v>1</v>
      </c>
      <c r="L51" s="303">
        <v>27.569999999999936</v>
      </c>
      <c r="M51" s="359"/>
    </row>
    <row r="52" spans="1:13" ht="15" customHeight="1">
      <c r="A52" s="160" t="s">
        <v>1689</v>
      </c>
      <c r="B52" s="178" t="s">
        <v>1690</v>
      </c>
      <c r="C52" s="185">
        <v>17.899999999999999</v>
      </c>
      <c r="D52" s="186">
        <v>25</v>
      </c>
      <c r="E52" s="187"/>
      <c r="F52" s="187"/>
      <c r="G52" s="161"/>
      <c r="H52" s="171">
        <v>2</v>
      </c>
      <c r="I52" s="303">
        <v>23</v>
      </c>
      <c r="J52" s="303">
        <v>22</v>
      </c>
      <c r="K52" s="303">
        <v>1</v>
      </c>
      <c r="L52" s="303">
        <v>17.900000000000034</v>
      </c>
      <c r="M52" s="359"/>
    </row>
    <row r="53" spans="1:13" ht="15" customHeight="1">
      <c r="A53" s="160" t="s">
        <v>1770</v>
      </c>
      <c r="B53" s="178" t="s">
        <v>1771</v>
      </c>
      <c r="C53" s="185">
        <v>5.46</v>
      </c>
      <c r="D53" s="186">
        <v>36</v>
      </c>
      <c r="E53" s="187"/>
      <c r="F53" s="187"/>
      <c r="G53" s="161"/>
      <c r="H53" s="171"/>
      <c r="I53" s="303">
        <v>36</v>
      </c>
      <c r="J53" s="303">
        <v>34</v>
      </c>
      <c r="K53" s="303">
        <v>2</v>
      </c>
      <c r="L53" s="303">
        <v>10.920000000000016</v>
      </c>
      <c r="M53" s="359"/>
    </row>
    <row r="54" spans="1:13" ht="15" customHeight="1">
      <c r="A54" s="160" t="s">
        <v>1792</v>
      </c>
      <c r="B54" s="178" t="s">
        <v>1793</v>
      </c>
      <c r="C54" s="185">
        <v>15.5</v>
      </c>
      <c r="D54" s="186">
        <v>7</v>
      </c>
      <c r="E54" s="187"/>
      <c r="F54" s="187"/>
      <c r="G54" s="161"/>
      <c r="H54" s="171">
        <v>1</v>
      </c>
      <c r="I54" s="303">
        <v>6</v>
      </c>
      <c r="J54" s="303">
        <v>5</v>
      </c>
      <c r="K54" s="303">
        <v>1</v>
      </c>
      <c r="L54" s="303">
        <v>15.5</v>
      </c>
      <c r="M54" s="359"/>
    </row>
    <row r="55" spans="1:13" ht="15" customHeight="1">
      <c r="A55" s="160" t="s">
        <v>1826</v>
      </c>
      <c r="B55" s="178" t="s">
        <v>1827</v>
      </c>
      <c r="C55" s="185">
        <v>8.3000000000000007</v>
      </c>
      <c r="D55" s="186">
        <v>2</v>
      </c>
      <c r="E55" s="187"/>
      <c r="F55" s="187"/>
      <c r="G55" s="161"/>
      <c r="H55" s="171"/>
      <c r="I55" s="303">
        <v>2</v>
      </c>
      <c r="J55" s="303">
        <v>1</v>
      </c>
      <c r="K55" s="303">
        <v>1</v>
      </c>
      <c r="L55" s="303">
        <v>8.3000000000000007</v>
      </c>
      <c r="M55" s="359"/>
    </row>
    <row r="56" spans="1:13" ht="15" customHeight="1">
      <c r="A56" s="160" t="s">
        <v>1869</v>
      </c>
      <c r="B56" s="178" t="s">
        <v>1870</v>
      </c>
      <c r="C56" s="185">
        <v>4.8</v>
      </c>
      <c r="D56" s="186">
        <v>5</v>
      </c>
      <c r="E56" s="187"/>
      <c r="F56" s="187"/>
      <c r="G56" s="161"/>
      <c r="H56" s="171"/>
      <c r="I56" s="303">
        <v>5</v>
      </c>
      <c r="J56" s="303">
        <v>1</v>
      </c>
      <c r="K56" s="303">
        <v>4</v>
      </c>
      <c r="L56" s="303">
        <v>19.2</v>
      </c>
      <c r="M56" s="359"/>
    </row>
    <row r="57" spans="1:13" ht="15" customHeight="1">
      <c r="A57" s="160" t="s">
        <v>1871</v>
      </c>
      <c r="B57" s="178" t="s">
        <v>1872</v>
      </c>
      <c r="C57" s="185">
        <v>5.3</v>
      </c>
      <c r="D57" s="186">
        <v>20</v>
      </c>
      <c r="E57" s="187"/>
      <c r="F57" s="187"/>
      <c r="G57" s="161"/>
      <c r="H57" s="171"/>
      <c r="I57" s="303">
        <v>20</v>
      </c>
      <c r="J57" s="303">
        <v>19</v>
      </c>
      <c r="K57" s="303">
        <v>1</v>
      </c>
      <c r="L57" s="303">
        <v>5.2999999999999972</v>
      </c>
      <c r="M57" s="359"/>
    </row>
    <row r="58" spans="1:13" ht="15" customHeight="1">
      <c r="A58" s="160" t="s">
        <v>1877</v>
      </c>
      <c r="B58" s="178" t="s">
        <v>1878</v>
      </c>
      <c r="C58" s="185">
        <v>6.35</v>
      </c>
      <c r="D58" s="186">
        <v>220</v>
      </c>
      <c r="E58" s="187"/>
      <c r="F58" s="187"/>
      <c r="G58" s="161"/>
      <c r="H58" s="171"/>
      <c r="I58" s="303">
        <v>220</v>
      </c>
      <c r="J58" s="303">
        <v>216</v>
      </c>
      <c r="K58" s="303">
        <v>4</v>
      </c>
      <c r="L58" s="303">
        <v>25.400000000000091</v>
      </c>
      <c r="M58" s="359"/>
    </row>
    <row r="59" spans="1:13" ht="15" customHeight="1">
      <c r="A59" s="160" t="s">
        <v>1887</v>
      </c>
      <c r="B59" s="178" t="s">
        <v>1888</v>
      </c>
      <c r="C59" s="185">
        <v>4.3</v>
      </c>
      <c r="D59" s="186">
        <v>2</v>
      </c>
      <c r="E59" s="187"/>
      <c r="F59" s="187"/>
      <c r="G59" s="161"/>
      <c r="H59" s="171"/>
      <c r="I59" s="303">
        <v>2</v>
      </c>
      <c r="J59" s="303">
        <v>1</v>
      </c>
      <c r="K59" s="303">
        <v>1</v>
      </c>
      <c r="L59" s="303">
        <v>4.3</v>
      </c>
      <c r="M59" s="359"/>
    </row>
    <row r="60" spans="1:13" ht="15" customHeight="1">
      <c r="A60" s="160" t="s">
        <v>1950</v>
      </c>
      <c r="B60" s="178" t="s">
        <v>1951</v>
      </c>
      <c r="C60" s="185">
        <v>5.43</v>
      </c>
      <c r="D60" s="186">
        <v>3</v>
      </c>
      <c r="E60" s="187"/>
      <c r="F60" s="187"/>
      <c r="G60" s="161"/>
      <c r="H60" s="171"/>
      <c r="I60" s="303">
        <v>3</v>
      </c>
      <c r="J60" s="303"/>
      <c r="K60" s="303">
        <v>3</v>
      </c>
      <c r="L60" s="303">
        <v>16.29</v>
      </c>
      <c r="M60" s="359"/>
    </row>
    <row r="61" spans="1:13" ht="15" customHeight="1">
      <c r="A61" s="160" t="s">
        <v>2157</v>
      </c>
      <c r="B61" s="178" t="s">
        <v>2158</v>
      </c>
      <c r="C61" s="185">
        <v>6.73</v>
      </c>
      <c r="D61" s="186">
        <v>29</v>
      </c>
      <c r="E61" s="187"/>
      <c r="F61" s="187"/>
      <c r="G61" s="161"/>
      <c r="H61" s="171"/>
      <c r="I61" s="303">
        <v>29</v>
      </c>
      <c r="J61" s="303">
        <v>28</v>
      </c>
      <c r="K61" s="303">
        <v>1</v>
      </c>
      <c r="L61" s="303">
        <v>6.7300000000000182</v>
      </c>
      <c r="M61" s="359"/>
    </row>
    <row r="62" spans="1:13" ht="15" customHeight="1">
      <c r="A62" s="160" t="s">
        <v>2366</v>
      </c>
      <c r="B62" s="178" t="s">
        <v>2367</v>
      </c>
      <c r="C62" s="185">
        <v>14.42</v>
      </c>
      <c r="D62" s="186">
        <v>293</v>
      </c>
      <c r="E62" s="187"/>
      <c r="F62" s="187"/>
      <c r="G62" s="161"/>
      <c r="H62" s="171">
        <v>6</v>
      </c>
      <c r="I62" s="303">
        <v>287</v>
      </c>
      <c r="J62" s="303">
        <v>284</v>
      </c>
      <c r="K62" s="303">
        <v>3</v>
      </c>
      <c r="L62" s="303">
        <v>43.259999999999764</v>
      </c>
      <c r="M62" s="359" t="s">
        <v>3841</v>
      </c>
    </row>
    <row r="63" spans="1:13" ht="15" customHeight="1">
      <c r="A63" s="160" t="s">
        <v>2370</v>
      </c>
      <c r="B63" s="178" t="s">
        <v>2371</v>
      </c>
      <c r="C63" s="185">
        <v>19.47</v>
      </c>
      <c r="D63" s="186">
        <v>26</v>
      </c>
      <c r="E63" s="187"/>
      <c r="F63" s="187"/>
      <c r="G63" s="161"/>
      <c r="H63" s="171"/>
      <c r="I63" s="303">
        <v>26</v>
      </c>
      <c r="J63" s="303">
        <v>25</v>
      </c>
      <c r="K63" s="303">
        <v>1</v>
      </c>
      <c r="L63" s="303">
        <v>19.46999999999997</v>
      </c>
      <c r="M63" s="359"/>
    </row>
    <row r="64" spans="1:13" ht="15" customHeight="1">
      <c r="A64" s="160" t="s">
        <v>2439</v>
      </c>
      <c r="B64" s="178" t="s">
        <v>2440</v>
      </c>
      <c r="C64" s="185">
        <v>3.72</v>
      </c>
      <c r="D64" s="186">
        <v>534</v>
      </c>
      <c r="E64" s="187"/>
      <c r="F64" s="187"/>
      <c r="G64" s="161"/>
      <c r="H64" s="171">
        <v>4</v>
      </c>
      <c r="I64" s="303">
        <v>530</v>
      </c>
      <c r="J64" s="303">
        <v>517</v>
      </c>
      <c r="K64" s="303">
        <v>13</v>
      </c>
      <c r="L64" s="303">
        <v>48.360000000000127</v>
      </c>
      <c r="M64" s="359" t="s">
        <v>3830</v>
      </c>
    </row>
    <row r="65" spans="1:13" ht="15" customHeight="1">
      <c r="A65" s="160" t="s">
        <v>2445</v>
      </c>
      <c r="B65" s="178" t="s">
        <v>2446</v>
      </c>
      <c r="C65" s="185">
        <v>4.7</v>
      </c>
      <c r="D65" s="186">
        <v>410</v>
      </c>
      <c r="E65" s="187"/>
      <c r="F65" s="187"/>
      <c r="G65" s="161"/>
      <c r="H65" s="171"/>
      <c r="I65" s="303">
        <v>410</v>
      </c>
      <c r="J65" s="303">
        <v>409</v>
      </c>
      <c r="K65" s="303">
        <v>1</v>
      </c>
      <c r="L65" s="303">
        <v>4.6999999999998181</v>
      </c>
      <c r="M65" s="359"/>
    </row>
    <row r="66" spans="1:13" ht="15" customHeight="1">
      <c r="A66" s="160" t="s">
        <v>2599</v>
      </c>
      <c r="B66" s="178" t="s">
        <v>2600</v>
      </c>
      <c r="C66" s="185">
        <v>6.37</v>
      </c>
      <c r="D66" s="186">
        <v>648</v>
      </c>
      <c r="E66" s="187"/>
      <c r="F66" s="187"/>
      <c r="G66" s="161"/>
      <c r="H66" s="171"/>
      <c r="I66" s="303">
        <v>648</v>
      </c>
      <c r="J66" s="303">
        <v>642</v>
      </c>
      <c r="K66" s="303">
        <v>6</v>
      </c>
      <c r="L66" s="303">
        <v>38.220000000000255</v>
      </c>
      <c r="M66" s="359"/>
    </row>
    <row r="67" spans="1:13" ht="15" customHeight="1">
      <c r="A67" s="160" t="s">
        <v>2648</v>
      </c>
      <c r="B67" s="178" t="s">
        <v>2649</v>
      </c>
      <c r="C67" s="185">
        <v>18.98</v>
      </c>
      <c r="D67" s="186">
        <v>50</v>
      </c>
      <c r="E67" s="187"/>
      <c r="F67" s="187"/>
      <c r="G67" s="161"/>
      <c r="H67" s="171">
        <v>5</v>
      </c>
      <c r="I67" s="303">
        <v>45</v>
      </c>
      <c r="J67" s="303">
        <v>44</v>
      </c>
      <c r="K67" s="303">
        <v>1</v>
      </c>
      <c r="L67" s="303">
        <v>18.980000000000018</v>
      </c>
      <c r="M67" s="359"/>
    </row>
    <row r="68" spans="1:13" ht="15" customHeight="1">
      <c r="A68" s="160" t="s">
        <v>3056</v>
      </c>
      <c r="B68" s="178" t="s">
        <v>3057</v>
      </c>
      <c r="C68" s="185">
        <v>68.150000000000006</v>
      </c>
      <c r="D68" s="186">
        <v>27</v>
      </c>
      <c r="E68" s="187"/>
      <c r="F68" s="187"/>
      <c r="G68" s="161"/>
      <c r="H68" s="171">
        <v>15</v>
      </c>
      <c r="I68" s="303">
        <v>12</v>
      </c>
      <c r="J68" s="303">
        <v>8</v>
      </c>
      <c r="K68" s="303">
        <v>4</v>
      </c>
      <c r="L68" s="303">
        <v>272.60000000000002</v>
      </c>
      <c r="M68" s="359"/>
    </row>
    <row r="69" spans="1:13" ht="15" customHeight="1">
      <c r="A69" s="160" t="s">
        <v>3068</v>
      </c>
      <c r="B69" s="178" t="s">
        <v>3069</v>
      </c>
      <c r="C69" s="185">
        <v>54.56</v>
      </c>
      <c r="D69" s="186">
        <v>3</v>
      </c>
      <c r="E69" s="187"/>
      <c r="F69" s="187"/>
      <c r="G69" s="161"/>
      <c r="H69" s="171"/>
      <c r="I69" s="303">
        <v>3</v>
      </c>
      <c r="J69" s="303">
        <v>2</v>
      </c>
      <c r="K69" s="303">
        <v>1</v>
      </c>
      <c r="L69" s="303">
        <v>54.56</v>
      </c>
      <c r="M69" s="359"/>
    </row>
    <row r="70" spans="1:13" ht="15" customHeight="1">
      <c r="A70" s="160" t="s">
        <v>3100</v>
      </c>
      <c r="B70" s="178" t="s">
        <v>3101</v>
      </c>
      <c r="C70" s="185">
        <v>23.15</v>
      </c>
      <c r="D70" s="186">
        <v>39</v>
      </c>
      <c r="E70" s="187"/>
      <c r="F70" s="187"/>
      <c r="G70" s="161"/>
      <c r="H70" s="171">
        <v>4</v>
      </c>
      <c r="I70" s="303">
        <v>35</v>
      </c>
      <c r="J70" s="303">
        <v>21</v>
      </c>
      <c r="K70" s="303">
        <v>14</v>
      </c>
      <c r="L70" s="303">
        <v>324.10000000000002</v>
      </c>
      <c r="M70" s="359"/>
    </row>
    <row r="71" spans="1:13" ht="15" customHeight="1">
      <c r="A71" s="160" t="s">
        <v>3713</v>
      </c>
      <c r="B71" s="178" t="s">
        <v>3714</v>
      </c>
      <c r="C71" s="185">
        <v>9.27</v>
      </c>
      <c r="D71" s="186">
        <v>28</v>
      </c>
      <c r="E71" s="187"/>
      <c r="F71" s="187"/>
      <c r="G71" s="161"/>
      <c r="H71" s="171">
        <v>5</v>
      </c>
      <c r="I71" s="303">
        <v>23</v>
      </c>
      <c r="J71" s="303">
        <v>18</v>
      </c>
      <c r="K71" s="303">
        <v>5</v>
      </c>
      <c r="L71" s="303">
        <v>46.349999999999994</v>
      </c>
      <c r="M71" s="359"/>
    </row>
    <row r="72" spans="1:13" ht="15" customHeight="1">
      <c r="A72" s="160" t="s">
        <v>3336</v>
      </c>
      <c r="B72" s="178" t="s">
        <v>3337</v>
      </c>
      <c r="C72" s="185">
        <v>3.6</v>
      </c>
      <c r="D72" s="186"/>
      <c r="E72" s="187">
        <v>20</v>
      </c>
      <c r="F72" s="187"/>
      <c r="G72" s="161"/>
      <c r="H72" s="171">
        <v>11</v>
      </c>
      <c r="I72" s="303">
        <v>9</v>
      </c>
      <c r="J72" s="303">
        <v>8</v>
      </c>
      <c r="K72" s="303">
        <v>1</v>
      </c>
      <c r="L72" s="303">
        <v>3.5999999999999979</v>
      </c>
      <c r="M72" s="359"/>
    </row>
    <row r="73" spans="1:13" ht="15" customHeight="1">
      <c r="A73" s="160" t="s">
        <v>3342</v>
      </c>
      <c r="B73" s="178" t="s">
        <v>3343</v>
      </c>
      <c r="C73" s="185">
        <v>0.76</v>
      </c>
      <c r="D73" s="186">
        <v>50</v>
      </c>
      <c r="E73" s="187">
        <v>50</v>
      </c>
      <c r="F73" s="187"/>
      <c r="G73" s="161"/>
      <c r="H73" s="171">
        <v>98</v>
      </c>
      <c r="I73" s="303">
        <v>2</v>
      </c>
      <c r="J73" s="303">
        <v>0</v>
      </c>
      <c r="K73" s="303">
        <v>2</v>
      </c>
      <c r="L73" s="303">
        <v>1.52</v>
      </c>
      <c r="M73" s="359"/>
    </row>
    <row r="74" spans="1:13" ht="15" customHeight="1">
      <c r="A74" s="160" t="s">
        <v>3889</v>
      </c>
      <c r="B74" s="178" t="s">
        <v>4372</v>
      </c>
      <c r="C74" s="185">
        <v>5.61</v>
      </c>
      <c r="D74" s="186"/>
      <c r="E74" s="187">
        <v>12</v>
      </c>
      <c r="F74" s="187"/>
      <c r="G74" s="161"/>
      <c r="H74" s="171">
        <v>8</v>
      </c>
      <c r="I74" s="303">
        <v>4</v>
      </c>
      <c r="J74" s="303">
        <v>2</v>
      </c>
      <c r="K74" s="303">
        <v>2</v>
      </c>
      <c r="L74" s="303">
        <v>11.22</v>
      </c>
      <c r="M74" s="360"/>
    </row>
    <row r="75" spans="1:13" ht="15" customHeight="1">
      <c r="A75" s="160" t="s">
        <v>3906</v>
      </c>
      <c r="B75" s="178" t="s">
        <v>4519</v>
      </c>
      <c r="C75" s="185">
        <v>5.74</v>
      </c>
      <c r="D75" s="186"/>
      <c r="E75" s="187">
        <v>10</v>
      </c>
      <c r="F75" s="187"/>
      <c r="G75" s="161"/>
      <c r="H75" s="171">
        <v>9</v>
      </c>
      <c r="I75" s="303">
        <v>1</v>
      </c>
      <c r="J75" s="303">
        <v>0</v>
      </c>
      <c r="K75" s="303">
        <v>1</v>
      </c>
      <c r="L75" s="303">
        <v>5.74</v>
      </c>
      <c r="M75" s="360"/>
    </row>
    <row r="76" spans="1:13" ht="15" customHeight="1">
      <c r="A76" s="160" t="s">
        <v>3726</v>
      </c>
      <c r="B76" s="178" t="s">
        <v>3727</v>
      </c>
      <c r="C76" s="185">
        <v>6.0250000000000004</v>
      </c>
      <c r="D76" s="186">
        <v>3</v>
      </c>
      <c r="E76" s="187"/>
      <c r="F76" s="187"/>
      <c r="G76" s="161"/>
      <c r="H76" s="171">
        <v>1</v>
      </c>
      <c r="I76" s="303">
        <v>2</v>
      </c>
      <c r="J76" s="303">
        <v>0</v>
      </c>
      <c r="K76" s="303">
        <v>2</v>
      </c>
      <c r="L76" s="303">
        <v>12.05</v>
      </c>
      <c r="M76" s="360"/>
    </row>
    <row r="77" spans="1:13" ht="15" customHeight="1">
      <c r="A77" s="160" t="s">
        <v>3724</v>
      </c>
      <c r="B77" s="178" t="s">
        <v>3725</v>
      </c>
      <c r="C77" s="185">
        <v>14.8158333333333</v>
      </c>
      <c r="D77" s="186">
        <v>5</v>
      </c>
      <c r="E77" s="187"/>
      <c r="F77" s="187"/>
      <c r="G77" s="161"/>
      <c r="H77" s="171">
        <v>4</v>
      </c>
      <c r="I77" s="303">
        <v>1</v>
      </c>
      <c r="J77" s="303">
        <v>0</v>
      </c>
      <c r="K77" s="303">
        <v>1</v>
      </c>
      <c r="L77" s="303">
        <v>14.8158333333333</v>
      </c>
      <c r="M77" s="360"/>
    </row>
    <row r="78" spans="1:13" ht="15" customHeight="1">
      <c r="A78" s="160" t="s">
        <v>3737</v>
      </c>
      <c r="B78" s="178" t="s">
        <v>3738</v>
      </c>
      <c r="C78" s="185">
        <v>6.15</v>
      </c>
      <c r="D78" s="186">
        <v>1</v>
      </c>
      <c r="E78" s="187"/>
      <c r="F78" s="187"/>
      <c r="G78" s="161"/>
      <c r="H78" s="171"/>
      <c r="I78" s="303">
        <v>1</v>
      </c>
      <c r="J78" s="303">
        <v>0</v>
      </c>
      <c r="K78" s="303">
        <v>1</v>
      </c>
      <c r="L78" s="303">
        <v>6.15</v>
      </c>
      <c r="M78" s="360"/>
    </row>
    <row r="79" spans="1:13" ht="15" customHeight="1">
      <c r="A79" s="160" t="s">
        <v>3366</v>
      </c>
      <c r="B79" s="178" t="s">
        <v>3367</v>
      </c>
      <c r="C79" s="185">
        <v>0.76</v>
      </c>
      <c r="D79" s="186">
        <v>21</v>
      </c>
      <c r="E79" s="187"/>
      <c r="F79" s="187"/>
      <c r="G79" s="161"/>
      <c r="H79" s="171"/>
      <c r="I79" s="303">
        <v>21</v>
      </c>
      <c r="J79" s="303">
        <v>0</v>
      </c>
      <c r="K79" s="303">
        <v>21</v>
      </c>
      <c r="L79" s="303">
        <v>15.96</v>
      </c>
      <c r="M79" s="359"/>
    </row>
    <row r="80" spans="1:13" ht="15" customHeight="1">
      <c r="A80" s="160" t="s">
        <v>3515</v>
      </c>
      <c r="B80" s="178" t="s">
        <v>3516</v>
      </c>
      <c r="C80" s="185">
        <v>13</v>
      </c>
      <c r="D80" s="186">
        <v>8</v>
      </c>
      <c r="E80" s="187"/>
      <c r="F80" s="187"/>
      <c r="G80" s="161"/>
      <c r="H80" s="171"/>
      <c r="I80" s="303">
        <v>8</v>
      </c>
      <c r="J80" s="303">
        <v>7</v>
      </c>
      <c r="K80" s="303">
        <v>1</v>
      </c>
      <c r="L80" s="303">
        <v>13</v>
      </c>
      <c r="M80" s="359"/>
    </row>
    <row r="81" spans="1:13" ht="15" customHeight="1">
      <c r="A81" s="160" t="s">
        <v>3633</v>
      </c>
      <c r="B81" s="178" t="s">
        <v>3634</v>
      </c>
      <c r="C81" s="185">
        <v>6.03</v>
      </c>
      <c r="D81" s="186">
        <v>4</v>
      </c>
      <c r="E81" s="187"/>
      <c r="F81" s="187"/>
      <c r="G81" s="161"/>
      <c r="H81" s="171">
        <v>3</v>
      </c>
      <c r="I81" s="303">
        <v>1</v>
      </c>
      <c r="J81" s="303"/>
      <c r="K81" s="303">
        <v>1</v>
      </c>
      <c r="L81" s="303">
        <v>6.03</v>
      </c>
      <c r="M81" s="359"/>
    </row>
    <row r="82" spans="1:13" ht="15" customHeight="1">
      <c r="A82" s="160" t="s">
        <v>3685</v>
      </c>
      <c r="B82" s="178" t="s">
        <v>3686</v>
      </c>
      <c r="C82" s="185">
        <v>3.6</v>
      </c>
      <c r="D82" s="186">
        <v>23</v>
      </c>
      <c r="E82" s="187"/>
      <c r="F82" s="187"/>
      <c r="G82" s="161"/>
      <c r="H82" s="171"/>
      <c r="I82" s="303">
        <v>23</v>
      </c>
      <c r="J82" s="303">
        <v>22</v>
      </c>
      <c r="K82" s="303">
        <v>1</v>
      </c>
      <c r="L82" s="303">
        <v>3.5999999999999943</v>
      </c>
      <c r="M82" s="359"/>
    </row>
    <row r="83" spans="1:13" ht="15" hidden="1" customHeight="1">
      <c r="A83" s="160"/>
      <c r="B83" s="178"/>
      <c r="C83" s="185"/>
      <c r="D83" s="186"/>
      <c r="E83" s="187"/>
      <c r="F83" s="187"/>
      <c r="G83" s="161"/>
      <c r="H83" s="171"/>
      <c r="I83" s="303"/>
      <c r="J83" s="303"/>
      <c r="K83" s="303"/>
      <c r="L83" s="303"/>
      <c r="M83" s="359"/>
    </row>
    <row r="84" spans="1:13" ht="15" hidden="1" customHeight="1">
      <c r="A84" s="160"/>
      <c r="B84" s="178"/>
      <c r="C84" s="185"/>
      <c r="D84" s="186"/>
      <c r="E84" s="187"/>
      <c r="F84" s="187"/>
      <c r="G84" s="161"/>
      <c r="H84" s="171"/>
      <c r="I84" s="303"/>
      <c r="J84" s="303"/>
      <c r="K84" s="303"/>
      <c r="L84" s="303"/>
      <c r="M84" s="359"/>
    </row>
    <row r="85" spans="1:13" ht="15" hidden="1" customHeight="1">
      <c r="A85" s="160"/>
      <c r="B85" s="178"/>
      <c r="C85" s="185"/>
      <c r="D85" s="186"/>
      <c r="E85" s="187"/>
      <c r="F85" s="187"/>
      <c r="G85" s="161"/>
      <c r="H85" s="171"/>
      <c r="I85" s="303"/>
      <c r="J85" s="303"/>
      <c r="K85" s="303"/>
      <c r="L85" s="303"/>
      <c r="M85" s="359"/>
    </row>
    <row r="86" spans="1:13" ht="15" hidden="1" customHeight="1">
      <c r="A86" s="160"/>
      <c r="B86" s="178"/>
      <c r="C86" s="185"/>
      <c r="D86" s="186"/>
      <c r="E86" s="187"/>
      <c r="F86" s="187"/>
      <c r="G86" s="161"/>
      <c r="H86" s="171"/>
      <c r="I86" s="303"/>
      <c r="J86" s="303"/>
      <c r="K86" s="303"/>
      <c r="L86" s="303"/>
      <c r="M86" s="359"/>
    </row>
    <row r="87" spans="1:13" ht="15" hidden="1" customHeight="1">
      <c r="A87" s="160"/>
      <c r="B87" s="178"/>
      <c r="C87" s="185"/>
      <c r="D87" s="186"/>
      <c r="E87" s="187"/>
      <c r="F87" s="187"/>
      <c r="G87" s="161"/>
      <c r="H87" s="171"/>
      <c r="I87" s="303"/>
      <c r="J87" s="303"/>
      <c r="K87" s="303"/>
      <c r="L87" s="303"/>
      <c r="M87" s="359"/>
    </row>
    <row r="88" spans="1:13">
      <c r="A88" s="15"/>
      <c r="B88" s="15"/>
      <c r="C88" s="15">
        <f>SUM(C35:C82)</f>
        <v>748.15683333333322</v>
      </c>
      <c r="D88" s="15">
        <f t="shared" ref="D88:L88" si="1">SUM(D35:D82)</f>
        <v>3657</v>
      </c>
      <c r="E88" s="15">
        <f t="shared" si="1"/>
        <v>92</v>
      </c>
      <c r="F88" s="15">
        <f t="shared" si="1"/>
        <v>49</v>
      </c>
      <c r="G88" s="15">
        <f t="shared" si="1"/>
        <v>0</v>
      </c>
      <c r="H88" s="15">
        <f t="shared" si="1"/>
        <v>303</v>
      </c>
      <c r="I88" s="15">
        <f t="shared" si="1"/>
        <v>3495</v>
      </c>
      <c r="J88" s="15">
        <f t="shared" si="1"/>
        <v>3358</v>
      </c>
      <c r="K88" s="15">
        <f t="shared" si="1"/>
        <v>137</v>
      </c>
      <c r="L88" s="15">
        <f t="shared" si="1"/>
        <v>1815.9118333333329</v>
      </c>
      <c r="M88" s="15"/>
    </row>
  </sheetData>
  <pageMargins left="0.7" right="0.7" top="0.75" bottom="0.75" header="0.3" footer="0.3"/>
  <pageSetup paperSize="14" fitToHeight="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FDF2-204D-4983-9D53-CADEF4D25B09}">
  <sheetPr>
    <tabColor rgb="FFFFFF00"/>
    <pageSetUpPr fitToPage="1"/>
  </sheetPr>
  <dimension ref="A1:M12"/>
  <sheetViews>
    <sheetView view="pageBreakPreview" zoomScaleNormal="100" zoomScaleSheetLayoutView="100" workbookViewId="0">
      <selection activeCell="E18" sqref="E18"/>
    </sheetView>
  </sheetViews>
  <sheetFormatPr defaultColWidth="9" defaultRowHeight="15"/>
  <cols>
    <col min="1" max="1" width="13.85546875" customWidth="1"/>
    <col min="2" max="2" width="41.85546875" customWidth="1"/>
    <col min="3" max="4" width="10.7109375" customWidth="1"/>
    <col min="5" max="8" width="10.7109375" style="4" customWidth="1"/>
    <col min="9" max="11" width="10.7109375" customWidth="1"/>
    <col min="12" max="12" width="11.28515625" customWidth="1"/>
    <col min="13" max="13" width="60.140625" customWidth="1"/>
  </cols>
  <sheetData>
    <row r="1" spans="1:13">
      <c r="A1" s="2" t="s">
        <v>3694</v>
      </c>
    </row>
    <row r="2" spans="1:13">
      <c r="A2" s="177" t="str">
        <f>PRINTING!B2</f>
        <v>AS OF JULY 2026</v>
      </c>
    </row>
    <row r="3" spans="1:13" hidden="1">
      <c r="A3" s="152"/>
      <c r="B3" s="153"/>
      <c r="C3" s="154"/>
      <c r="D3" s="154"/>
      <c r="E3" s="355"/>
      <c r="F3" s="83"/>
      <c r="G3" s="84"/>
      <c r="H3" s="356"/>
    </row>
    <row r="4" spans="1:13" hidden="1">
      <c r="A4" s="155"/>
      <c r="B4" s="156"/>
      <c r="C4" s="157"/>
      <c r="D4" s="157"/>
      <c r="E4" s="155"/>
      <c r="F4" s="158">
        <f>SUM(F3:F3)</f>
        <v>0</v>
      </c>
      <c r="G4" s="159">
        <f>SUM(G3:G3)</f>
        <v>0</v>
      </c>
      <c r="H4" s="357"/>
    </row>
    <row r="6" spans="1:13">
      <c r="A6" s="29" t="s">
        <v>30</v>
      </c>
    </row>
    <row r="7" spans="1:13" s="149" customFormat="1" ht="35.25" customHeight="1">
      <c r="A7" s="74" t="s">
        <v>3</v>
      </c>
      <c r="B7" s="73" t="s">
        <v>4</v>
      </c>
      <c r="C7" s="9" t="s">
        <v>5</v>
      </c>
      <c r="D7" s="75" t="s">
        <v>3845</v>
      </c>
      <c r="E7" s="48" t="s">
        <v>3710</v>
      </c>
      <c r="F7" s="226" t="s">
        <v>3773</v>
      </c>
      <c r="G7" s="226" t="s">
        <v>3711</v>
      </c>
      <c r="H7" s="226" t="s">
        <v>46</v>
      </c>
      <c r="I7" s="75" t="s">
        <v>12</v>
      </c>
      <c r="J7" s="226" t="s">
        <v>6</v>
      </c>
      <c r="K7" s="75" t="s">
        <v>9</v>
      </c>
      <c r="L7" s="9" t="s">
        <v>10</v>
      </c>
      <c r="M7" s="73" t="s">
        <v>11</v>
      </c>
    </row>
    <row r="8" spans="1:13" ht="15" customHeight="1">
      <c r="A8" s="361" t="s">
        <v>1372</v>
      </c>
      <c r="B8" s="362" t="s">
        <v>1373</v>
      </c>
      <c r="C8" s="363">
        <v>116</v>
      </c>
      <c r="D8" s="364">
        <v>2</v>
      </c>
      <c r="E8" s="365"/>
      <c r="F8" s="365"/>
      <c r="G8" s="366"/>
      <c r="H8" s="367"/>
      <c r="I8" s="368">
        <v>2</v>
      </c>
      <c r="J8" s="368"/>
      <c r="K8" s="368">
        <v>2</v>
      </c>
      <c r="L8" s="368">
        <v>232</v>
      </c>
      <c r="M8" s="369" t="s">
        <v>5543</v>
      </c>
    </row>
    <row r="9" spans="1:13" ht="15" customHeight="1">
      <c r="A9" s="361" t="s">
        <v>3088</v>
      </c>
      <c r="B9" s="362" t="s">
        <v>3089</v>
      </c>
      <c r="C9" s="363">
        <v>27.3</v>
      </c>
      <c r="D9" s="364">
        <v>73</v>
      </c>
      <c r="E9" s="365"/>
      <c r="F9" s="365"/>
      <c r="G9" s="366"/>
      <c r="H9" s="367">
        <v>2</v>
      </c>
      <c r="I9" s="368">
        <v>71</v>
      </c>
      <c r="J9" s="368">
        <v>47</v>
      </c>
      <c r="K9" s="368">
        <v>24</v>
      </c>
      <c r="L9" s="368">
        <v>655.19999999999982</v>
      </c>
      <c r="M9" s="369" t="s">
        <v>5546</v>
      </c>
    </row>
    <row r="10" spans="1:13" ht="15" customHeight="1">
      <c r="A10" s="361" t="s">
        <v>3102</v>
      </c>
      <c r="B10" s="362" t="s">
        <v>3103</v>
      </c>
      <c r="C10" s="363">
        <v>250</v>
      </c>
      <c r="D10" s="364">
        <v>1</v>
      </c>
      <c r="E10" s="365"/>
      <c r="F10" s="365"/>
      <c r="G10" s="366"/>
      <c r="H10" s="367"/>
      <c r="I10" s="368">
        <v>1</v>
      </c>
      <c r="J10" s="368">
        <v>0</v>
      </c>
      <c r="K10" s="368">
        <v>1</v>
      </c>
      <c r="L10" s="368">
        <v>250</v>
      </c>
      <c r="M10" s="369" t="s">
        <v>5544</v>
      </c>
    </row>
    <row r="11" spans="1:13" ht="15" customHeight="1">
      <c r="A11" s="361" t="s">
        <v>3140</v>
      </c>
      <c r="B11" s="362" t="s">
        <v>3141</v>
      </c>
      <c r="C11" s="363">
        <v>22.75</v>
      </c>
      <c r="D11" s="364">
        <v>11</v>
      </c>
      <c r="E11" s="365"/>
      <c r="F11" s="365"/>
      <c r="G11" s="366"/>
      <c r="H11" s="367"/>
      <c r="I11" s="368">
        <v>11</v>
      </c>
      <c r="J11" s="368">
        <v>0</v>
      </c>
      <c r="K11" s="368">
        <v>11</v>
      </c>
      <c r="L11" s="368">
        <v>250.25</v>
      </c>
      <c r="M11" s="369" t="s">
        <v>5545</v>
      </c>
    </row>
    <row r="12" spans="1:13">
      <c r="A12" s="15"/>
      <c r="B12" s="15"/>
      <c r="C12" s="15"/>
      <c r="D12" s="15">
        <f t="shared" ref="D12:L12" si="0">SUM(D8:D11)</f>
        <v>87</v>
      </c>
      <c r="E12" s="358">
        <f t="shared" si="0"/>
        <v>0</v>
      </c>
      <c r="F12" s="358">
        <f t="shared" si="0"/>
        <v>0</v>
      </c>
      <c r="G12" s="358">
        <f t="shared" si="0"/>
        <v>0</v>
      </c>
      <c r="H12" s="358">
        <f t="shared" si="0"/>
        <v>2</v>
      </c>
      <c r="I12" s="15">
        <f t="shared" si="0"/>
        <v>85</v>
      </c>
      <c r="J12" s="15">
        <f t="shared" si="0"/>
        <v>47</v>
      </c>
      <c r="K12" s="15">
        <f t="shared" si="0"/>
        <v>38</v>
      </c>
      <c r="L12" s="15">
        <f t="shared" si="0"/>
        <v>1387.4499999999998</v>
      </c>
      <c r="M12" s="15"/>
    </row>
  </sheetData>
  <pageMargins left="0.7" right="0.7" top="0.75" bottom="0.75" header="0.3" footer="0.3"/>
  <pageSetup paperSize="14" scale="66" fitToHeight="0" orientation="landscape" horizontalDpi="0" verticalDpi="0" r:id="rId1"/>
  <rowBreaks count="1" manualBreakCount="1">
    <brk id="5" max="12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6592-C0C8-46DF-B5B3-23E811E2FE2D}">
  <dimension ref="A1:N565"/>
  <sheetViews>
    <sheetView topLeftCell="C521" workbookViewId="0">
      <selection activeCell="C529" sqref="C529"/>
    </sheetView>
  </sheetViews>
  <sheetFormatPr defaultRowHeight="15"/>
  <cols>
    <col min="2" max="2" width="20.42578125" customWidth="1"/>
    <col min="3" max="3" width="38.42578125" customWidth="1"/>
    <col min="13" max="13" width="12.140625" customWidth="1"/>
    <col min="14" max="14" width="26.42578125" customWidth="1"/>
  </cols>
  <sheetData>
    <row r="1" spans="1:14">
      <c r="A1" s="346" t="s">
        <v>28</v>
      </c>
    </row>
    <row r="2" spans="1:14" ht="36">
      <c r="B2" s="74" t="s">
        <v>3</v>
      </c>
      <c r="C2" s="73" t="s">
        <v>4</v>
      </c>
      <c r="D2" s="9" t="s">
        <v>5</v>
      </c>
      <c r="E2" s="75" t="s">
        <v>3845</v>
      </c>
      <c r="F2" s="48" t="s">
        <v>3710</v>
      </c>
      <c r="G2" s="226" t="s">
        <v>3773</v>
      </c>
      <c r="H2" s="226" t="s">
        <v>3711</v>
      </c>
      <c r="I2" s="226" t="s">
        <v>46</v>
      </c>
      <c r="J2" s="75" t="s">
        <v>12</v>
      </c>
      <c r="K2" s="330" t="s">
        <v>6</v>
      </c>
      <c r="L2" s="75" t="s">
        <v>9</v>
      </c>
      <c r="M2" s="9" t="s">
        <v>10</v>
      </c>
      <c r="N2" s="73" t="s">
        <v>11</v>
      </c>
    </row>
    <row r="3" spans="1:14" ht="20.100000000000001" customHeight="1">
      <c r="B3" s="79" t="s">
        <v>50</v>
      </c>
      <c r="C3" s="80" t="s">
        <v>51</v>
      </c>
      <c r="D3" s="316">
        <v>19.100000000000001</v>
      </c>
      <c r="E3" s="222"/>
      <c r="F3" s="186"/>
      <c r="G3" s="186">
        <v>40</v>
      </c>
      <c r="H3" s="308"/>
      <c r="I3" s="227">
        <v>15</v>
      </c>
      <c r="J3" s="82">
        <v>25</v>
      </c>
      <c r="K3" s="331">
        <v>31</v>
      </c>
      <c r="L3" s="83">
        <v>-6</v>
      </c>
      <c r="M3" s="84">
        <v>-114.59999999999997</v>
      </c>
      <c r="N3" s="232"/>
    </row>
    <row r="4" spans="1:14" ht="20.100000000000001" customHeight="1">
      <c r="B4" s="79" t="s">
        <v>3812</v>
      </c>
      <c r="C4" s="80" t="s">
        <v>52</v>
      </c>
      <c r="D4" s="81">
        <v>16.03</v>
      </c>
      <c r="E4" s="222">
        <v>15</v>
      </c>
      <c r="F4" s="186"/>
      <c r="G4" s="186"/>
      <c r="H4" s="308"/>
      <c r="I4" s="227">
        <v>3</v>
      </c>
      <c r="J4" s="82">
        <v>12</v>
      </c>
      <c r="K4" s="331">
        <v>13</v>
      </c>
      <c r="L4" s="83">
        <v>-1</v>
      </c>
      <c r="M4" s="84">
        <v>-16.03</v>
      </c>
      <c r="N4" s="85"/>
    </row>
    <row r="5" spans="1:14" ht="20.100000000000001" customHeight="1">
      <c r="B5" s="79" t="s">
        <v>65</v>
      </c>
      <c r="C5" s="80" t="s">
        <v>66</v>
      </c>
      <c r="D5" s="81">
        <v>32.130000000000003</v>
      </c>
      <c r="E5" s="222">
        <v>30</v>
      </c>
      <c r="F5" s="186"/>
      <c r="G5" s="186"/>
      <c r="H5" s="308"/>
      <c r="I5" s="227"/>
      <c r="J5" s="82">
        <v>30</v>
      </c>
      <c r="K5" s="331">
        <v>44</v>
      </c>
      <c r="L5" s="83">
        <v>-14</v>
      </c>
      <c r="M5" s="84">
        <v>-449.81999999999994</v>
      </c>
      <c r="N5" s="85" t="s">
        <v>67</v>
      </c>
    </row>
    <row r="6" spans="1:14" ht="20.100000000000001" customHeight="1">
      <c r="B6" s="79" t="s">
        <v>77</v>
      </c>
      <c r="C6" s="80" t="s">
        <v>78</v>
      </c>
      <c r="D6" s="81">
        <v>26.09</v>
      </c>
      <c r="E6" s="222">
        <v>17</v>
      </c>
      <c r="F6" s="186"/>
      <c r="G6" s="186"/>
      <c r="H6" s="308"/>
      <c r="I6" s="227">
        <v>1</v>
      </c>
      <c r="J6" s="82">
        <v>16</v>
      </c>
      <c r="K6" s="331">
        <v>17</v>
      </c>
      <c r="L6" s="83">
        <v>-1</v>
      </c>
      <c r="M6" s="84">
        <v>-26.089999999999975</v>
      </c>
      <c r="N6" s="85"/>
    </row>
    <row r="7" spans="1:14" ht="20.100000000000001" customHeight="1">
      <c r="B7" s="79" t="s">
        <v>87</v>
      </c>
      <c r="C7" s="80" t="s">
        <v>88</v>
      </c>
      <c r="D7" s="81">
        <v>19.399999999999999</v>
      </c>
      <c r="E7" s="222"/>
      <c r="F7" s="186"/>
      <c r="G7" s="186"/>
      <c r="H7" s="308"/>
      <c r="I7" s="227"/>
      <c r="J7" s="82">
        <v>0</v>
      </c>
      <c r="K7" s="331">
        <v>74</v>
      </c>
      <c r="L7" s="83">
        <v>-74</v>
      </c>
      <c r="M7" s="84">
        <v>-1435.6</v>
      </c>
      <c r="N7" s="85"/>
    </row>
    <row r="8" spans="1:14" ht="20.100000000000001" customHeight="1">
      <c r="B8" s="79" t="s">
        <v>165</v>
      </c>
      <c r="C8" s="80" t="s">
        <v>166</v>
      </c>
      <c r="D8" s="81">
        <v>90.42</v>
      </c>
      <c r="E8" s="222">
        <v>13</v>
      </c>
      <c r="F8" s="186"/>
      <c r="G8" s="186"/>
      <c r="H8" s="308"/>
      <c r="I8" s="227">
        <v>1</v>
      </c>
      <c r="J8" s="82">
        <v>12</v>
      </c>
      <c r="K8" s="331">
        <v>14</v>
      </c>
      <c r="L8" s="83">
        <v>-2</v>
      </c>
      <c r="M8" s="84">
        <v>-180.84000000000015</v>
      </c>
      <c r="N8" s="232"/>
    </row>
    <row r="9" spans="1:14" ht="20.100000000000001" customHeight="1">
      <c r="B9" s="79" t="s">
        <v>169</v>
      </c>
      <c r="C9" s="80" t="s">
        <v>170</v>
      </c>
      <c r="D9" s="81">
        <v>114.79</v>
      </c>
      <c r="E9" s="222">
        <v>22</v>
      </c>
      <c r="F9" s="186"/>
      <c r="G9" s="186"/>
      <c r="H9" s="308"/>
      <c r="I9" s="227"/>
      <c r="J9" s="82">
        <v>22</v>
      </c>
      <c r="K9" s="331">
        <v>27</v>
      </c>
      <c r="L9" s="83">
        <v>-5</v>
      </c>
      <c r="M9" s="84">
        <v>-573.95000000000027</v>
      </c>
      <c r="N9" s="85"/>
    </row>
    <row r="10" spans="1:14" ht="20.100000000000001" customHeight="1">
      <c r="B10" s="79" t="s">
        <v>200</v>
      </c>
      <c r="C10" s="80" t="s">
        <v>201</v>
      </c>
      <c r="D10" s="81">
        <v>11.78</v>
      </c>
      <c r="E10" s="222"/>
      <c r="F10" s="186"/>
      <c r="G10" s="186"/>
      <c r="H10" s="308"/>
      <c r="I10" s="227"/>
      <c r="J10" s="82">
        <v>0</v>
      </c>
      <c r="K10" s="331">
        <v>1</v>
      </c>
      <c r="L10" s="83">
        <v>-1</v>
      </c>
      <c r="M10" s="84">
        <v>-11.78</v>
      </c>
      <c r="N10" s="85"/>
    </row>
    <row r="11" spans="1:14" ht="20.100000000000001" customHeight="1">
      <c r="B11" s="79" t="s">
        <v>205</v>
      </c>
      <c r="C11" s="80" t="s">
        <v>206</v>
      </c>
      <c r="D11" s="315">
        <v>33.1</v>
      </c>
      <c r="E11" s="222">
        <v>39</v>
      </c>
      <c r="F11" s="186"/>
      <c r="G11" s="186"/>
      <c r="H11" s="308"/>
      <c r="I11" s="227">
        <v>8</v>
      </c>
      <c r="J11" s="82">
        <v>31</v>
      </c>
      <c r="K11" s="331">
        <v>32</v>
      </c>
      <c r="L11" s="83">
        <v>-1</v>
      </c>
      <c r="M11" s="84">
        <v>-33.099999999999909</v>
      </c>
      <c r="N11" s="232"/>
    </row>
    <row r="12" spans="1:14" ht="20.100000000000001" customHeight="1">
      <c r="B12" s="79" t="s">
        <v>213</v>
      </c>
      <c r="C12" s="80" t="s">
        <v>214</v>
      </c>
      <c r="D12" s="81">
        <v>6.18</v>
      </c>
      <c r="E12" s="222">
        <v>132</v>
      </c>
      <c r="F12" s="186"/>
      <c r="G12" s="186"/>
      <c r="H12" s="308"/>
      <c r="I12" s="227"/>
      <c r="J12" s="82">
        <v>132</v>
      </c>
      <c r="K12" s="331">
        <v>133</v>
      </c>
      <c r="L12" s="83">
        <v>-1</v>
      </c>
      <c r="M12" s="84">
        <v>-6.17999999999995</v>
      </c>
      <c r="N12" s="85" t="s">
        <v>215</v>
      </c>
    </row>
    <row r="13" spans="1:14" ht="20.100000000000001" customHeight="1">
      <c r="B13" s="79" t="s">
        <v>219</v>
      </c>
      <c r="C13" s="80" t="s">
        <v>220</v>
      </c>
      <c r="D13" s="81">
        <v>6.18</v>
      </c>
      <c r="E13" s="222">
        <v>49</v>
      </c>
      <c r="F13" s="186"/>
      <c r="G13" s="186"/>
      <c r="H13" s="308"/>
      <c r="I13" s="227"/>
      <c r="J13" s="82">
        <v>49</v>
      </c>
      <c r="K13" s="331">
        <v>50</v>
      </c>
      <c r="L13" s="83">
        <v>-1</v>
      </c>
      <c r="M13" s="84">
        <v>-6.1800000000000068</v>
      </c>
      <c r="N13" s="232"/>
    </row>
    <row r="14" spans="1:14" ht="20.100000000000001" customHeight="1">
      <c r="B14" s="79" t="s">
        <v>257</v>
      </c>
      <c r="C14" s="80" t="s">
        <v>258</v>
      </c>
      <c r="D14" s="81">
        <v>21.97</v>
      </c>
      <c r="E14" s="222">
        <v>16</v>
      </c>
      <c r="F14" s="186"/>
      <c r="G14" s="186"/>
      <c r="H14" s="308"/>
      <c r="I14" s="227"/>
      <c r="J14" s="82">
        <v>16</v>
      </c>
      <c r="K14" s="331">
        <v>17</v>
      </c>
      <c r="L14" s="83">
        <v>-1</v>
      </c>
      <c r="M14" s="84">
        <v>-21.970000000000027</v>
      </c>
      <c r="N14" s="85" t="s">
        <v>259</v>
      </c>
    </row>
    <row r="15" spans="1:14" ht="20.100000000000001" customHeight="1">
      <c r="B15" s="79" t="s">
        <v>269</v>
      </c>
      <c r="C15" s="80" t="s">
        <v>270</v>
      </c>
      <c r="D15" s="81">
        <v>15.512</v>
      </c>
      <c r="E15" s="222"/>
      <c r="F15" s="186"/>
      <c r="G15" s="186">
        <v>24</v>
      </c>
      <c r="H15" s="308"/>
      <c r="I15" s="227">
        <v>4</v>
      </c>
      <c r="J15" s="82">
        <v>20</v>
      </c>
      <c r="K15" s="331">
        <v>23</v>
      </c>
      <c r="L15" s="83">
        <v>-3</v>
      </c>
      <c r="M15" s="84">
        <v>-46.536000000000001</v>
      </c>
      <c r="N15" s="232"/>
    </row>
    <row r="16" spans="1:14" ht="20.100000000000001" customHeight="1">
      <c r="B16" s="79" t="s">
        <v>285</v>
      </c>
      <c r="C16" s="80" t="s">
        <v>286</v>
      </c>
      <c r="D16" s="81">
        <v>15.65</v>
      </c>
      <c r="E16" s="222">
        <v>77</v>
      </c>
      <c r="F16" s="186"/>
      <c r="G16" s="186"/>
      <c r="H16" s="308"/>
      <c r="I16" s="227">
        <v>10</v>
      </c>
      <c r="J16" s="82">
        <v>67</v>
      </c>
      <c r="K16" s="331">
        <v>68</v>
      </c>
      <c r="L16" s="83">
        <v>-1</v>
      </c>
      <c r="M16" s="84">
        <v>-15.650000000000091</v>
      </c>
      <c r="N16" s="232"/>
    </row>
    <row r="17" spans="2:14" ht="20.100000000000001" customHeight="1">
      <c r="B17" s="79" t="s">
        <v>289</v>
      </c>
      <c r="C17" s="80" t="s">
        <v>290</v>
      </c>
      <c r="D17" s="81">
        <v>6.18</v>
      </c>
      <c r="E17" s="222">
        <v>97</v>
      </c>
      <c r="F17" s="186"/>
      <c r="G17" s="186"/>
      <c r="H17" s="308"/>
      <c r="I17" s="227"/>
      <c r="J17" s="82">
        <v>97</v>
      </c>
      <c r="K17" s="331">
        <v>100</v>
      </c>
      <c r="L17" s="83">
        <v>-3</v>
      </c>
      <c r="M17" s="84">
        <v>-18.540000000000077</v>
      </c>
      <c r="N17" s="232"/>
    </row>
    <row r="18" spans="2:14" ht="20.100000000000001" customHeight="1">
      <c r="B18" s="79" t="s">
        <v>296</v>
      </c>
      <c r="C18" s="80" t="s">
        <v>297</v>
      </c>
      <c r="D18" s="315">
        <v>7.06</v>
      </c>
      <c r="E18" s="222">
        <v>98</v>
      </c>
      <c r="F18" s="186"/>
      <c r="G18" s="186"/>
      <c r="H18" s="308"/>
      <c r="I18" s="227">
        <v>20</v>
      </c>
      <c r="J18" s="82">
        <v>78</v>
      </c>
      <c r="K18" s="331">
        <v>84</v>
      </c>
      <c r="L18" s="83">
        <v>-6</v>
      </c>
      <c r="M18" s="84">
        <v>-42.360000000000014</v>
      </c>
      <c r="N18" s="232"/>
    </row>
    <row r="19" spans="2:14" ht="20.100000000000001" customHeight="1">
      <c r="B19" s="79" t="s">
        <v>326</v>
      </c>
      <c r="C19" s="80" t="s">
        <v>327</v>
      </c>
      <c r="D19" s="81">
        <v>117.5</v>
      </c>
      <c r="E19" s="222">
        <v>72</v>
      </c>
      <c r="F19" s="186"/>
      <c r="G19" s="186"/>
      <c r="H19" s="308"/>
      <c r="I19" s="227"/>
      <c r="J19" s="82">
        <v>72</v>
      </c>
      <c r="K19" s="331">
        <v>73</v>
      </c>
      <c r="L19" s="83">
        <v>-1</v>
      </c>
      <c r="M19" s="84">
        <v>-117.5</v>
      </c>
      <c r="N19" s="85"/>
    </row>
    <row r="20" spans="2:14" ht="20.100000000000001" customHeight="1">
      <c r="B20" s="79" t="s">
        <v>332</v>
      </c>
      <c r="C20" s="80" t="s">
        <v>333</v>
      </c>
      <c r="D20" s="81">
        <v>121.5</v>
      </c>
      <c r="E20" s="222">
        <v>27</v>
      </c>
      <c r="F20" s="186"/>
      <c r="G20" s="186"/>
      <c r="H20" s="308"/>
      <c r="I20" s="227"/>
      <c r="J20" s="82">
        <v>27</v>
      </c>
      <c r="K20" s="331">
        <v>28</v>
      </c>
      <c r="L20" s="83">
        <v>-1</v>
      </c>
      <c r="M20" s="84">
        <v>-121.5</v>
      </c>
      <c r="N20" s="85"/>
    </row>
    <row r="21" spans="2:14" ht="20.100000000000001" customHeight="1">
      <c r="B21" s="79" t="s">
        <v>375</v>
      </c>
      <c r="C21" s="80" t="s">
        <v>376</v>
      </c>
      <c r="D21" s="81">
        <v>44.8</v>
      </c>
      <c r="E21" s="222">
        <v>16</v>
      </c>
      <c r="F21" s="186"/>
      <c r="G21" s="186">
        <v>15</v>
      </c>
      <c r="H21" s="308">
        <v>1</v>
      </c>
      <c r="I21" s="227">
        <v>8</v>
      </c>
      <c r="J21" s="82">
        <v>22</v>
      </c>
      <c r="K21" s="331">
        <v>23</v>
      </c>
      <c r="L21" s="83">
        <v>-1</v>
      </c>
      <c r="M21" s="84">
        <v>-44.799999999999955</v>
      </c>
      <c r="N21" s="232"/>
    </row>
    <row r="22" spans="2:14" ht="20.100000000000001" customHeight="1">
      <c r="B22" s="79" t="s">
        <v>400</v>
      </c>
      <c r="C22" s="80" t="s">
        <v>401</v>
      </c>
      <c r="D22" s="81">
        <v>68.540000000000006</v>
      </c>
      <c r="E22" s="222"/>
      <c r="F22" s="186"/>
      <c r="G22" s="186"/>
      <c r="H22" s="308"/>
      <c r="I22" s="227"/>
      <c r="J22" s="82">
        <v>0</v>
      </c>
      <c r="K22" s="331">
        <v>1</v>
      </c>
      <c r="L22" s="83">
        <v>-1</v>
      </c>
      <c r="M22" s="84">
        <v>-68.540000000000006</v>
      </c>
      <c r="N22" s="85"/>
    </row>
    <row r="23" spans="2:14" ht="20.100000000000001" customHeight="1">
      <c r="B23" s="79" t="s">
        <v>505</v>
      </c>
      <c r="C23" s="80" t="s">
        <v>506</v>
      </c>
      <c r="D23" s="81">
        <v>78.290000000000006</v>
      </c>
      <c r="E23" s="222"/>
      <c r="F23" s="186"/>
      <c r="G23" s="186"/>
      <c r="H23" s="308"/>
      <c r="I23" s="227"/>
      <c r="J23" s="82">
        <v>0</v>
      </c>
      <c r="K23" s="331">
        <v>2</v>
      </c>
      <c r="L23" s="83">
        <v>-2</v>
      </c>
      <c r="M23" s="84">
        <v>-156.58000000000001</v>
      </c>
      <c r="N23" s="85"/>
    </row>
    <row r="24" spans="2:14" ht="20.100000000000001" customHeight="1">
      <c r="B24" s="79" t="s">
        <v>536</v>
      </c>
      <c r="C24" s="80" t="s">
        <v>537</v>
      </c>
      <c r="D24" s="81">
        <v>6.8</v>
      </c>
      <c r="E24" s="222"/>
      <c r="F24" s="186"/>
      <c r="G24" s="186"/>
      <c r="H24" s="308"/>
      <c r="I24" s="227"/>
      <c r="J24" s="82">
        <v>0</v>
      </c>
      <c r="K24" s="331">
        <v>1</v>
      </c>
      <c r="L24" s="83">
        <v>-1</v>
      </c>
      <c r="M24" s="84">
        <v>-6.8</v>
      </c>
      <c r="N24" s="232" t="s">
        <v>3822</v>
      </c>
    </row>
    <row r="25" spans="2:14" ht="20.100000000000001" customHeight="1">
      <c r="B25" s="79" t="s">
        <v>538</v>
      </c>
      <c r="C25" s="80" t="s">
        <v>539</v>
      </c>
      <c r="D25" s="81">
        <v>6.8</v>
      </c>
      <c r="E25" s="222"/>
      <c r="F25" s="186"/>
      <c r="G25" s="186"/>
      <c r="H25" s="308"/>
      <c r="I25" s="227"/>
      <c r="J25" s="82">
        <v>0</v>
      </c>
      <c r="K25" s="331">
        <v>3</v>
      </c>
      <c r="L25" s="83">
        <v>-3</v>
      </c>
      <c r="M25" s="84">
        <v>-20.399999999999999</v>
      </c>
      <c r="N25" s="232" t="s">
        <v>3823</v>
      </c>
    </row>
    <row r="26" spans="2:14" ht="20.100000000000001" customHeight="1">
      <c r="B26" s="79" t="s">
        <v>552</v>
      </c>
      <c r="C26" s="80" t="s">
        <v>553</v>
      </c>
      <c r="D26" s="81">
        <v>7.41</v>
      </c>
      <c r="E26" s="222">
        <v>16</v>
      </c>
      <c r="F26" s="186"/>
      <c r="G26" s="186"/>
      <c r="H26" s="308"/>
      <c r="I26" s="227">
        <v>14</v>
      </c>
      <c r="J26" s="82">
        <v>2</v>
      </c>
      <c r="K26" s="331">
        <v>7</v>
      </c>
      <c r="L26" s="83">
        <v>-5</v>
      </c>
      <c r="M26" s="84">
        <v>-37.050000000000004</v>
      </c>
      <c r="N26" s="85"/>
    </row>
    <row r="27" spans="2:14" ht="20.100000000000001" customHeight="1">
      <c r="B27" s="79" t="s">
        <v>564</v>
      </c>
      <c r="C27" s="80" t="s">
        <v>565</v>
      </c>
      <c r="D27" s="81">
        <v>96</v>
      </c>
      <c r="E27" s="222"/>
      <c r="F27" s="186"/>
      <c r="G27" s="186"/>
      <c r="H27" s="308"/>
      <c r="I27" s="227"/>
      <c r="J27" s="82">
        <v>0</v>
      </c>
      <c r="K27" s="331">
        <v>1</v>
      </c>
      <c r="L27" s="83">
        <v>-1</v>
      </c>
      <c r="M27" s="84">
        <v>-96</v>
      </c>
      <c r="N27" s="85"/>
    </row>
    <row r="28" spans="2:14" ht="20.100000000000001" customHeight="1">
      <c r="B28" s="79" t="s">
        <v>579</v>
      </c>
      <c r="C28" s="80" t="s">
        <v>580</v>
      </c>
      <c r="D28" s="81">
        <v>58.8</v>
      </c>
      <c r="E28" s="222">
        <v>9</v>
      </c>
      <c r="F28" s="186"/>
      <c r="G28" s="186"/>
      <c r="H28" s="308"/>
      <c r="I28" s="227"/>
      <c r="J28" s="82">
        <v>9</v>
      </c>
      <c r="K28" s="331">
        <v>10</v>
      </c>
      <c r="L28" s="83">
        <v>-1</v>
      </c>
      <c r="M28" s="84">
        <v>-58.800000000000068</v>
      </c>
      <c r="N28" s="85"/>
    </row>
    <row r="29" spans="2:14" ht="20.100000000000001" customHeight="1">
      <c r="B29" s="79" t="s">
        <v>600</v>
      </c>
      <c r="C29" s="80" t="s">
        <v>601</v>
      </c>
      <c r="D29" s="81">
        <v>67.28</v>
      </c>
      <c r="E29" s="222">
        <v>1</v>
      </c>
      <c r="F29" s="186"/>
      <c r="G29" s="186"/>
      <c r="H29" s="308">
        <v>1</v>
      </c>
      <c r="I29" s="227"/>
      <c r="J29" s="82">
        <v>0</v>
      </c>
      <c r="K29" s="331">
        <v>1</v>
      </c>
      <c r="L29" s="83">
        <v>-1</v>
      </c>
      <c r="M29" s="84">
        <v>-67.28</v>
      </c>
      <c r="N29" s="85"/>
    </row>
    <row r="30" spans="2:14" ht="20.100000000000001" customHeight="1">
      <c r="B30" s="79" t="s">
        <v>602</v>
      </c>
      <c r="C30" s="80" t="s">
        <v>603</v>
      </c>
      <c r="D30" s="81">
        <v>70.91</v>
      </c>
      <c r="E30" s="222">
        <v>3</v>
      </c>
      <c r="F30" s="186"/>
      <c r="G30" s="186"/>
      <c r="H30" s="308">
        <v>1</v>
      </c>
      <c r="I30" s="227"/>
      <c r="J30" s="82">
        <v>2</v>
      </c>
      <c r="K30" s="331">
        <v>4</v>
      </c>
      <c r="L30" s="83">
        <v>-2</v>
      </c>
      <c r="M30" s="84">
        <v>-141.82</v>
      </c>
      <c r="N30" s="85" t="s">
        <v>604</v>
      </c>
    </row>
    <row r="31" spans="2:14" ht="20.100000000000001" customHeight="1">
      <c r="B31" s="79" t="s">
        <v>615</v>
      </c>
      <c r="C31" s="80" t="s">
        <v>616</v>
      </c>
      <c r="D31" s="81">
        <v>59.51</v>
      </c>
      <c r="E31" s="222">
        <v>7</v>
      </c>
      <c r="F31" s="186"/>
      <c r="G31" s="186"/>
      <c r="H31" s="308"/>
      <c r="I31" s="227">
        <v>5</v>
      </c>
      <c r="J31" s="82">
        <v>2</v>
      </c>
      <c r="K31" s="331">
        <v>3</v>
      </c>
      <c r="L31" s="83">
        <v>-1</v>
      </c>
      <c r="M31" s="84">
        <v>-59.510000000000005</v>
      </c>
      <c r="N31" s="232"/>
    </row>
    <row r="32" spans="2:14" ht="20.100000000000001" customHeight="1">
      <c r="B32" s="79" t="s">
        <v>675</v>
      </c>
      <c r="C32" s="80" t="s">
        <v>676</v>
      </c>
      <c r="D32" s="81">
        <v>56.37</v>
      </c>
      <c r="E32" s="222"/>
      <c r="F32" s="186"/>
      <c r="G32" s="186"/>
      <c r="H32" s="308"/>
      <c r="I32" s="227"/>
      <c r="J32" s="82">
        <v>0</v>
      </c>
      <c r="K32" s="331">
        <v>1</v>
      </c>
      <c r="L32" s="83">
        <v>-1</v>
      </c>
      <c r="M32" s="84">
        <v>-56.37</v>
      </c>
      <c r="N32" s="85"/>
    </row>
    <row r="33" spans="2:14" ht="20.100000000000001" customHeight="1">
      <c r="B33" s="79" t="s">
        <v>695</v>
      </c>
      <c r="C33" s="80" t="s">
        <v>696</v>
      </c>
      <c r="D33" s="81">
        <v>8.3800000000000008</v>
      </c>
      <c r="E33" s="222">
        <v>101</v>
      </c>
      <c r="F33" s="186"/>
      <c r="G33" s="186"/>
      <c r="H33" s="308"/>
      <c r="I33" s="227">
        <v>6</v>
      </c>
      <c r="J33" s="82">
        <v>95</v>
      </c>
      <c r="K33" s="331">
        <v>104</v>
      </c>
      <c r="L33" s="83">
        <v>-9</v>
      </c>
      <c r="M33" s="84">
        <v>-75.420000000000073</v>
      </c>
      <c r="N33" s="85"/>
    </row>
    <row r="34" spans="2:14" ht="20.100000000000001" customHeight="1">
      <c r="B34" s="79" t="s">
        <v>701</v>
      </c>
      <c r="C34" s="80" t="s">
        <v>702</v>
      </c>
      <c r="D34" s="81">
        <v>36</v>
      </c>
      <c r="E34" s="222">
        <v>4</v>
      </c>
      <c r="F34" s="186"/>
      <c r="G34" s="186">
        <v>2</v>
      </c>
      <c r="H34" s="308">
        <v>2</v>
      </c>
      <c r="I34" s="227"/>
      <c r="J34" s="82">
        <v>4</v>
      </c>
      <c r="K34" s="331">
        <v>7</v>
      </c>
      <c r="L34" s="83">
        <v>-3</v>
      </c>
      <c r="M34" s="84">
        <v>-108</v>
      </c>
      <c r="N34" s="85"/>
    </row>
    <row r="35" spans="2:14" ht="20.100000000000001" customHeight="1">
      <c r="B35" s="219" t="s">
        <v>697</v>
      </c>
      <c r="C35" s="276" t="s">
        <v>698</v>
      </c>
      <c r="D35" s="81">
        <v>36</v>
      </c>
      <c r="E35" s="222">
        <v>1</v>
      </c>
      <c r="F35" s="186"/>
      <c r="G35" s="186">
        <v>2</v>
      </c>
      <c r="H35" s="308">
        <v>2</v>
      </c>
      <c r="I35" s="227"/>
      <c r="J35" s="82">
        <v>1</v>
      </c>
      <c r="K35" s="331">
        <v>8</v>
      </c>
      <c r="L35" s="83">
        <v>-7</v>
      </c>
      <c r="M35" s="84">
        <v>-252</v>
      </c>
      <c r="N35" s="85"/>
    </row>
    <row r="36" spans="2:14" ht="20.100000000000001" customHeight="1">
      <c r="B36" s="79" t="s">
        <v>740</v>
      </c>
      <c r="C36" s="80" t="s">
        <v>741</v>
      </c>
      <c r="D36" s="81">
        <v>23.63</v>
      </c>
      <c r="E36" s="222">
        <v>19</v>
      </c>
      <c r="F36" s="186"/>
      <c r="G36" s="186"/>
      <c r="H36" s="308"/>
      <c r="I36" s="227">
        <v>11</v>
      </c>
      <c r="J36" s="82">
        <v>8</v>
      </c>
      <c r="K36" s="331">
        <v>11</v>
      </c>
      <c r="L36" s="83">
        <v>-3</v>
      </c>
      <c r="M36" s="84">
        <v>-70.890000000000015</v>
      </c>
      <c r="N36" s="85"/>
    </row>
    <row r="37" spans="2:14" ht="20.100000000000001" customHeight="1">
      <c r="B37" s="79" t="s">
        <v>750</v>
      </c>
      <c r="C37" s="80" t="s">
        <v>751</v>
      </c>
      <c r="D37" s="81">
        <v>44.37</v>
      </c>
      <c r="E37" s="222"/>
      <c r="F37" s="186"/>
      <c r="G37" s="186"/>
      <c r="H37" s="308"/>
      <c r="I37" s="227"/>
      <c r="J37" s="82">
        <v>0</v>
      </c>
      <c r="K37" s="331">
        <v>2</v>
      </c>
      <c r="L37" s="83">
        <v>-2</v>
      </c>
      <c r="M37" s="84">
        <v>-88.74</v>
      </c>
      <c r="N37" s="85"/>
    </row>
    <row r="38" spans="2:14" ht="20.100000000000001" customHeight="1">
      <c r="B38" s="79" t="s">
        <v>752</v>
      </c>
      <c r="C38" s="80" t="s">
        <v>753</v>
      </c>
      <c r="D38" s="81">
        <v>33.76</v>
      </c>
      <c r="E38" s="222">
        <v>9</v>
      </c>
      <c r="F38" s="186"/>
      <c r="G38" s="186"/>
      <c r="H38" s="308"/>
      <c r="I38" s="227"/>
      <c r="J38" s="82">
        <v>9</v>
      </c>
      <c r="K38" s="331">
        <v>10</v>
      </c>
      <c r="L38" s="83">
        <v>-1</v>
      </c>
      <c r="M38" s="84">
        <v>-33.759999999999991</v>
      </c>
      <c r="N38" s="85"/>
    </row>
    <row r="39" spans="2:14" ht="20.100000000000001" customHeight="1">
      <c r="B39" s="79" t="s">
        <v>821</v>
      </c>
      <c r="C39" s="80" t="s">
        <v>822</v>
      </c>
      <c r="D39" s="81">
        <v>29.9</v>
      </c>
      <c r="E39" s="222">
        <v>12</v>
      </c>
      <c r="F39" s="186"/>
      <c r="G39" s="186"/>
      <c r="H39" s="308"/>
      <c r="I39" s="227">
        <v>4</v>
      </c>
      <c r="J39" s="82">
        <v>8</v>
      </c>
      <c r="K39" s="331">
        <v>11</v>
      </c>
      <c r="L39" s="83">
        <v>-3</v>
      </c>
      <c r="M39" s="84">
        <v>-89.699999999999989</v>
      </c>
      <c r="N39" s="85"/>
    </row>
    <row r="40" spans="2:14" ht="20.100000000000001" customHeight="1">
      <c r="B40" s="79" t="s">
        <v>845</v>
      </c>
      <c r="C40" s="80" t="s">
        <v>846</v>
      </c>
      <c r="D40" s="81">
        <v>99.12</v>
      </c>
      <c r="E40" s="222">
        <v>9</v>
      </c>
      <c r="F40" s="186"/>
      <c r="G40" s="186"/>
      <c r="H40" s="308"/>
      <c r="I40" s="227"/>
      <c r="J40" s="82">
        <v>9</v>
      </c>
      <c r="K40" s="331">
        <v>14</v>
      </c>
      <c r="L40" s="83">
        <v>-5</v>
      </c>
      <c r="M40" s="84">
        <v>-495.6</v>
      </c>
      <c r="N40" s="85"/>
    </row>
    <row r="41" spans="2:14" ht="20.100000000000001" customHeight="1">
      <c r="B41" s="79" t="s">
        <v>858</v>
      </c>
      <c r="C41" s="80" t="s">
        <v>859</v>
      </c>
      <c r="D41" s="81">
        <v>8.6300000000000008</v>
      </c>
      <c r="E41" s="222">
        <v>87</v>
      </c>
      <c r="F41" s="186"/>
      <c r="G41" s="186"/>
      <c r="H41" s="308"/>
      <c r="I41" s="227"/>
      <c r="J41" s="82">
        <v>87</v>
      </c>
      <c r="K41" s="331">
        <v>91</v>
      </c>
      <c r="L41" s="83">
        <v>-4</v>
      </c>
      <c r="M41" s="84">
        <v>-34.519999999999982</v>
      </c>
      <c r="N41" s="85"/>
    </row>
    <row r="42" spans="2:14" ht="20.100000000000001" customHeight="1">
      <c r="B42" s="79" t="s">
        <v>860</v>
      </c>
      <c r="C42" s="80" t="s">
        <v>861</v>
      </c>
      <c r="D42" s="81">
        <v>20.83</v>
      </c>
      <c r="E42" s="222">
        <v>40</v>
      </c>
      <c r="F42" s="186"/>
      <c r="G42" s="186"/>
      <c r="H42" s="308"/>
      <c r="I42" s="227"/>
      <c r="J42" s="82">
        <v>40</v>
      </c>
      <c r="K42" s="331">
        <v>41</v>
      </c>
      <c r="L42" s="83">
        <v>-1</v>
      </c>
      <c r="M42" s="84">
        <v>-20.830000000000041</v>
      </c>
      <c r="N42" s="85"/>
    </row>
    <row r="43" spans="2:14" ht="20.100000000000001" customHeight="1">
      <c r="B43" s="79" t="s">
        <v>874</v>
      </c>
      <c r="C43" s="80" t="s">
        <v>875</v>
      </c>
      <c r="D43" s="317">
        <v>8.1999999999999993</v>
      </c>
      <c r="E43" s="222">
        <v>235</v>
      </c>
      <c r="F43" s="186"/>
      <c r="G43" s="186"/>
      <c r="H43" s="308"/>
      <c r="I43" s="227">
        <v>7</v>
      </c>
      <c r="J43" s="82">
        <v>228</v>
      </c>
      <c r="K43" s="331">
        <v>239</v>
      </c>
      <c r="L43" s="83">
        <v>-11</v>
      </c>
      <c r="M43" s="84">
        <v>-90.199999999999818</v>
      </c>
      <c r="N43" s="77" t="s">
        <v>876</v>
      </c>
    </row>
    <row r="44" spans="2:14" ht="20.100000000000001" customHeight="1">
      <c r="B44" s="79" t="s">
        <v>877</v>
      </c>
      <c r="C44" s="80" t="s">
        <v>878</v>
      </c>
      <c r="D44" s="317">
        <v>8.1999999999999993</v>
      </c>
      <c r="E44" s="222">
        <v>140</v>
      </c>
      <c r="F44" s="186"/>
      <c r="G44" s="186"/>
      <c r="H44" s="308"/>
      <c r="I44" s="227">
        <v>5</v>
      </c>
      <c r="J44" s="82">
        <v>135</v>
      </c>
      <c r="K44" s="331">
        <v>263</v>
      </c>
      <c r="L44" s="83">
        <v>-128</v>
      </c>
      <c r="M44" s="84">
        <v>-1049.5999999999999</v>
      </c>
      <c r="N44" s="85" t="s">
        <v>879</v>
      </c>
    </row>
    <row r="45" spans="2:14" ht="20.100000000000001" customHeight="1">
      <c r="B45" s="79" t="s">
        <v>884</v>
      </c>
      <c r="C45" s="80" t="s">
        <v>885</v>
      </c>
      <c r="D45" s="81">
        <v>7.6</v>
      </c>
      <c r="E45" s="222"/>
      <c r="F45" s="186"/>
      <c r="G45" s="186"/>
      <c r="H45" s="308"/>
      <c r="I45" s="227"/>
      <c r="J45" s="82">
        <v>0</v>
      </c>
      <c r="K45" s="331">
        <v>6</v>
      </c>
      <c r="L45" s="83">
        <v>-6</v>
      </c>
      <c r="M45" s="84">
        <v>-45.599999999999994</v>
      </c>
      <c r="N45" s="85"/>
    </row>
    <row r="46" spans="2:14" ht="20.100000000000001" customHeight="1">
      <c r="B46" s="79" t="s">
        <v>889</v>
      </c>
      <c r="C46" s="80" t="s">
        <v>890</v>
      </c>
      <c r="D46" s="81">
        <v>94.6</v>
      </c>
      <c r="E46" s="222">
        <v>2</v>
      </c>
      <c r="F46" s="186"/>
      <c r="G46" s="186"/>
      <c r="H46" s="308"/>
      <c r="I46" s="227"/>
      <c r="J46" s="82">
        <v>2</v>
      </c>
      <c r="K46" s="331">
        <v>3</v>
      </c>
      <c r="L46" s="83">
        <v>-1</v>
      </c>
      <c r="M46" s="84">
        <v>-94.599999999999966</v>
      </c>
      <c r="N46" s="85"/>
    </row>
    <row r="47" spans="2:14" ht="20.100000000000001" customHeight="1">
      <c r="B47" s="79" t="s">
        <v>893</v>
      </c>
      <c r="C47" s="80" t="s">
        <v>894</v>
      </c>
      <c r="D47" s="81">
        <v>96.67</v>
      </c>
      <c r="E47" s="222">
        <v>8</v>
      </c>
      <c r="F47" s="186"/>
      <c r="G47" s="186"/>
      <c r="H47" s="308"/>
      <c r="I47" s="227">
        <v>3</v>
      </c>
      <c r="J47" s="82">
        <v>5</v>
      </c>
      <c r="K47" s="331">
        <v>6</v>
      </c>
      <c r="L47" s="83">
        <v>-1</v>
      </c>
      <c r="M47" s="84">
        <v>-96.669999999999959</v>
      </c>
      <c r="N47" s="85"/>
    </row>
    <row r="48" spans="2:14" ht="20.100000000000001" customHeight="1">
      <c r="B48" s="79" t="s">
        <v>899</v>
      </c>
      <c r="C48" s="80" t="s">
        <v>900</v>
      </c>
      <c r="D48" s="81">
        <v>94.58</v>
      </c>
      <c r="E48" s="222">
        <v>30</v>
      </c>
      <c r="F48" s="186"/>
      <c r="G48" s="186"/>
      <c r="H48" s="308"/>
      <c r="I48" s="227">
        <v>8</v>
      </c>
      <c r="J48" s="82">
        <v>22</v>
      </c>
      <c r="K48" s="331">
        <v>23</v>
      </c>
      <c r="L48" s="83">
        <v>-1</v>
      </c>
      <c r="M48" s="84">
        <v>-94.580000000000382</v>
      </c>
      <c r="N48" s="232"/>
    </row>
    <row r="49" spans="2:14" ht="20.100000000000001" customHeight="1">
      <c r="B49" s="79" t="s">
        <v>904</v>
      </c>
      <c r="C49" s="80" t="s">
        <v>905</v>
      </c>
      <c r="D49" s="81">
        <v>47.73</v>
      </c>
      <c r="E49" s="222">
        <v>16</v>
      </c>
      <c r="F49" s="186"/>
      <c r="G49" s="186"/>
      <c r="H49" s="308"/>
      <c r="I49" s="227">
        <v>2</v>
      </c>
      <c r="J49" s="82">
        <v>14</v>
      </c>
      <c r="K49" s="331">
        <v>39</v>
      </c>
      <c r="L49" s="83">
        <v>-25</v>
      </c>
      <c r="M49" s="84">
        <v>-1193.25</v>
      </c>
      <c r="N49" s="85"/>
    </row>
    <row r="50" spans="2:14" ht="20.100000000000001" customHeight="1">
      <c r="B50" s="79" t="s">
        <v>906</v>
      </c>
      <c r="C50" s="80" t="s">
        <v>907</v>
      </c>
      <c r="D50" s="81">
        <v>11.39</v>
      </c>
      <c r="E50" s="222"/>
      <c r="F50" s="186"/>
      <c r="G50" s="186"/>
      <c r="H50" s="308"/>
      <c r="I50" s="227"/>
      <c r="J50" s="82">
        <v>0</v>
      </c>
      <c r="K50" s="331">
        <v>2</v>
      </c>
      <c r="L50" s="83">
        <v>-2</v>
      </c>
      <c r="M50" s="84">
        <v>-22.78</v>
      </c>
      <c r="N50" s="85" t="s">
        <v>908</v>
      </c>
    </row>
    <row r="51" spans="2:14" ht="20.100000000000001" customHeight="1">
      <c r="B51" s="79" t="s">
        <v>909</v>
      </c>
      <c r="C51" s="80" t="s">
        <v>910</v>
      </c>
      <c r="D51" s="81">
        <v>11.39</v>
      </c>
      <c r="E51" s="222">
        <v>127</v>
      </c>
      <c r="F51" s="186"/>
      <c r="G51" s="186"/>
      <c r="H51" s="308"/>
      <c r="I51" s="227"/>
      <c r="J51" s="82">
        <v>127</v>
      </c>
      <c r="K51" s="331">
        <v>220</v>
      </c>
      <c r="L51" s="83">
        <v>-93</v>
      </c>
      <c r="M51" s="84">
        <v>-1059.2700000000002</v>
      </c>
      <c r="N51" s="85"/>
    </row>
    <row r="52" spans="2:14" ht="20.100000000000001" customHeight="1">
      <c r="B52" s="79" t="s">
        <v>923</v>
      </c>
      <c r="C52" s="80" t="s">
        <v>924</v>
      </c>
      <c r="D52" s="81">
        <v>12.56</v>
      </c>
      <c r="E52" s="222"/>
      <c r="F52" s="186"/>
      <c r="G52" s="186"/>
      <c r="H52" s="308"/>
      <c r="I52" s="227"/>
      <c r="J52" s="82">
        <v>0</v>
      </c>
      <c r="K52" s="331">
        <v>17</v>
      </c>
      <c r="L52" s="83">
        <v>-17</v>
      </c>
      <c r="M52" s="84">
        <v>-213.52</v>
      </c>
      <c r="N52" s="85"/>
    </row>
    <row r="53" spans="2:14" ht="20.100000000000001" customHeight="1">
      <c r="B53" s="79" t="s">
        <v>925</v>
      </c>
      <c r="C53" s="80" t="s">
        <v>926</v>
      </c>
      <c r="D53" s="81">
        <v>11.2</v>
      </c>
      <c r="E53" s="222"/>
      <c r="F53" s="186"/>
      <c r="G53" s="186"/>
      <c r="H53" s="308"/>
      <c r="I53" s="227"/>
      <c r="J53" s="82">
        <v>0</v>
      </c>
      <c r="K53" s="331">
        <v>11</v>
      </c>
      <c r="L53" s="83">
        <v>-11</v>
      </c>
      <c r="M53" s="84">
        <v>-123.19999999999999</v>
      </c>
      <c r="N53" s="85"/>
    </row>
    <row r="54" spans="2:14" ht="20.100000000000001" customHeight="1">
      <c r="B54" s="79" t="s">
        <v>927</v>
      </c>
      <c r="C54" s="80" t="s">
        <v>928</v>
      </c>
      <c r="D54" s="81">
        <v>11.2</v>
      </c>
      <c r="E54" s="222">
        <v>21</v>
      </c>
      <c r="F54" s="186"/>
      <c r="G54" s="186"/>
      <c r="H54" s="308"/>
      <c r="I54" s="227"/>
      <c r="J54" s="82">
        <v>21</v>
      </c>
      <c r="K54" s="331">
        <v>22</v>
      </c>
      <c r="L54" s="83">
        <v>-1</v>
      </c>
      <c r="M54" s="84">
        <v>-11.199999999999989</v>
      </c>
      <c r="N54" s="91">
        <v>45721</v>
      </c>
    </row>
    <row r="55" spans="2:14" ht="20.100000000000001" customHeight="1">
      <c r="B55" s="79" t="s">
        <v>938</v>
      </c>
      <c r="C55" s="80" t="s">
        <v>939</v>
      </c>
      <c r="D55" s="81">
        <v>98.3</v>
      </c>
      <c r="E55" s="222">
        <v>6</v>
      </c>
      <c r="F55" s="186"/>
      <c r="G55" s="186"/>
      <c r="H55" s="308"/>
      <c r="I55" s="227"/>
      <c r="J55" s="82">
        <v>6</v>
      </c>
      <c r="K55" s="331">
        <v>7</v>
      </c>
      <c r="L55" s="83">
        <v>-1</v>
      </c>
      <c r="M55" s="84">
        <v>-98.300000000000068</v>
      </c>
      <c r="N55" s="85" t="s">
        <v>940</v>
      </c>
    </row>
    <row r="56" spans="2:14" ht="20.100000000000001" customHeight="1">
      <c r="B56" s="79" t="s">
        <v>943</v>
      </c>
      <c r="C56" s="80" t="s">
        <v>944</v>
      </c>
      <c r="D56" s="81">
        <v>13.1</v>
      </c>
      <c r="E56" s="222">
        <v>24</v>
      </c>
      <c r="F56" s="186"/>
      <c r="G56" s="186"/>
      <c r="H56" s="308"/>
      <c r="I56" s="227"/>
      <c r="J56" s="82">
        <v>24</v>
      </c>
      <c r="K56" s="331">
        <v>46</v>
      </c>
      <c r="L56" s="83">
        <v>-22</v>
      </c>
      <c r="M56" s="84">
        <v>-288.20000000000005</v>
      </c>
      <c r="N56" s="85" t="s">
        <v>945</v>
      </c>
    </row>
    <row r="57" spans="2:14" ht="20.100000000000001" customHeight="1">
      <c r="B57" s="79" t="s">
        <v>993</v>
      </c>
      <c r="C57" s="80" t="s">
        <v>994</v>
      </c>
      <c r="D57" s="81">
        <v>13.32</v>
      </c>
      <c r="E57" s="222">
        <v>147</v>
      </c>
      <c r="F57" s="186"/>
      <c r="G57" s="186"/>
      <c r="H57" s="308"/>
      <c r="I57" s="227">
        <v>9</v>
      </c>
      <c r="J57" s="82">
        <v>138</v>
      </c>
      <c r="K57" s="334">
        <v>139</v>
      </c>
      <c r="L57" s="83">
        <v>-1</v>
      </c>
      <c r="M57" s="84">
        <v>-13.319999999999936</v>
      </c>
      <c r="N57" s="232"/>
    </row>
    <row r="58" spans="2:14" ht="20.100000000000001" customHeight="1">
      <c r="B58" s="79" t="s">
        <v>1009</v>
      </c>
      <c r="C58" s="80" t="s">
        <v>1010</v>
      </c>
      <c r="D58" s="81">
        <v>10.64</v>
      </c>
      <c r="E58" s="222">
        <v>235</v>
      </c>
      <c r="F58" s="186"/>
      <c r="G58" s="186"/>
      <c r="H58" s="308"/>
      <c r="I58" s="227">
        <v>17</v>
      </c>
      <c r="J58" s="82">
        <v>218</v>
      </c>
      <c r="K58" s="331">
        <v>233</v>
      </c>
      <c r="L58" s="83">
        <v>-15</v>
      </c>
      <c r="M58" s="84">
        <v>-159.60000000000036</v>
      </c>
      <c r="N58" s="232"/>
    </row>
    <row r="59" spans="2:14" ht="20.100000000000001" customHeight="1">
      <c r="B59" s="79" t="s">
        <v>1011</v>
      </c>
      <c r="C59" s="80" t="s">
        <v>1012</v>
      </c>
      <c r="D59" s="81">
        <v>202</v>
      </c>
      <c r="E59" s="222">
        <v>8</v>
      </c>
      <c r="F59" s="186"/>
      <c r="G59" s="186"/>
      <c r="H59" s="308"/>
      <c r="I59" s="227">
        <v>2</v>
      </c>
      <c r="J59" s="82">
        <v>6</v>
      </c>
      <c r="K59" s="331">
        <v>7</v>
      </c>
      <c r="L59" s="83">
        <v>-1</v>
      </c>
      <c r="M59" s="84">
        <v>-202</v>
      </c>
      <c r="N59" s="85" t="s">
        <v>1013</v>
      </c>
    </row>
    <row r="60" spans="2:14" ht="20.100000000000001" customHeight="1">
      <c r="B60" s="79" t="s">
        <v>1150</v>
      </c>
      <c r="C60" s="80" t="s">
        <v>1151</v>
      </c>
      <c r="D60" s="81">
        <v>23.32</v>
      </c>
      <c r="E60" s="222">
        <v>20</v>
      </c>
      <c r="F60" s="186"/>
      <c r="G60" s="186"/>
      <c r="H60" s="308"/>
      <c r="I60" s="227"/>
      <c r="J60" s="82">
        <v>20</v>
      </c>
      <c r="K60" s="331">
        <v>21</v>
      </c>
      <c r="L60" s="83">
        <v>-1</v>
      </c>
      <c r="M60" s="84">
        <v>-23.32000000000005</v>
      </c>
      <c r="N60" s="232"/>
    </row>
    <row r="61" spans="2:14" ht="20.100000000000001" customHeight="1">
      <c r="B61" s="79" t="s">
        <v>1162</v>
      </c>
      <c r="C61" s="80" t="s">
        <v>1163</v>
      </c>
      <c r="D61" s="81">
        <v>21.88</v>
      </c>
      <c r="E61" s="222">
        <v>7</v>
      </c>
      <c r="F61" s="186"/>
      <c r="G61" s="186"/>
      <c r="H61" s="308"/>
      <c r="I61" s="227">
        <v>9</v>
      </c>
      <c r="J61" s="82">
        <v>-2</v>
      </c>
      <c r="K61" s="331">
        <v>49</v>
      </c>
      <c r="L61" s="83">
        <v>-51</v>
      </c>
      <c r="M61" s="84">
        <v>-1115.8799999999999</v>
      </c>
      <c r="N61" s="232"/>
    </row>
    <row r="62" spans="2:14" ht="20.100000000000001" customHeight="1">
      <c r="B62" s="79" t="s">
        <v>1164</v>
      </c>
      <c r="C62" s="80" t="s">
        <v>1165</v>
      </c>
      <c r="D62" s="193">
        <v>21.88</v>
      </c>
      <c r="E62" s="222">
        <v>8</v>
      </c>
      <c r="F62" s="186"/>
      <c r="G62" s="186"/>
      <c r="H62" s="308"/>
      <c r="I62" s="227">
        <v>7</v>
      </c>
      <c r="J62" s="82">
        <v>1</v>
      </c>
      <c r="K62" s="331">
        <v>30</v>
      </c>
      <c r="L62" s="83">
        <v>-29</v>
      </c>
      <c r="M62" s="84">
        <v>-634.52</v>
      </c>
      <c r="N62" s="232" t="s">
        <v>3825</v>
      </c>
    </row>
    <row r="63" spans="2:14" ht="20.100000000000001" customHeight="1">
      <c r="B63" s="79" t="s">
        <v>1174</v>
      </c>
      <c r="C63" s="80" t="s">
        <v>1175</v>
      </c>
      <c r="D63" s="81">
        <v>13.1</v>
      </c>
      <c r="E63" s="222">
        <v>13</v>
      </c>
      <c r="F63" s="186"/>
      <c r="G63" s="186"/>
      <c r="H63" s="308"/>
      <c r="I63" s="227">
        <v>4</v>
      </c>
      <c r="J63" s="82">
        <v>9</v>
      </c>
      <c r="K63" s="331">
        <v>12</v>
      </c>
      <c r="L63" s="83">
        <v>-3</v>
      </c>
      <c r="M63" s="84">
        <v>-39.299999999999997</v>
      </c>
      <c r="N63" s="232" t="s">
        <v>3827</v>
      </c>
    </row>
    <row r="64" spans="2:14" ht="20.100000000000001" customHeight="1">
      <c r="B64" s="79" t="s">
        <v>1244</v>
      </c>
      <c r="C64" s="80" t="s">
        <v>1245</v>
      </c>
      <c r="D64" s="81">
        <v>19.7</v>
      </c>
      <c r="E64" s="222">
        <v>14</v>
      </c>
      <c r="F64" s="186"/>
      <c r="G64" s="186"/>
      <c r="H64" s="308"/>
      <c r="I64" s="227"/>
      <c r="J64" s="82">
        <v>14</v>
      </c>
      <c r="K64" s="331">
        <v>31</v>
      </c>
      <c r="L64" s="83">
        <v>-17</v>
      </c>
      <c r="M64" s="84">
        <v>-334.89999999999992</v>
      </c>
      <c r="N64" s="85"/>
    </row>
    <row r="65" spans="2:14" ht="20.100000000000001" customHeight="1">
      <c r="B65" s="79" t="s">
        <v>1264</v>
      </c>
      <c r="C65" s="80" t="s">
        <v>1265</v>
      </c>
      <c r="D65" s="81">
        <v>25.15</v>
      </c>
      <c r="E65" s="222"/>
      <c r="F65" s="186"/>
      <c r="G65" s="186"/>
      <c r="H65" s="308"/>
      <c r="I65" s="227"/>
      <c r="J65" s="82">
        <v>0</v>
      </c>
      <c r="K65" s="331">
        <v>3</v>
      </c>
      <c r="L65" s="83">
        <v>-3</v>
      </c>
      <c r="M65" s="84">
        <v>-75.449999999999989</v>
      </c>
      <c r="N65" s="85"/>
    </row>
    <row r="66" spans="2:14" ht="20.100000000000001" customHeight="1">
      <c r="B66" s="79" t="s">
        <v>1268</v>
      </c>
      <c r="C66" s="80" t="s">
        <v>1269</v>
      </c>
      <c r="D66" s="81">
        <v>45.88</v>
      </c>
      <c r="E66" s="222">
        <v>28</v>
      </c>
      <c r="F66" s="186"/>
      <c r="G66" s="186"/>
      <c r="H66" s="308"/>
      <c r="I66" s="227">
        <v>1</v>
      </c>
      <c r="J66" s="82">
        <v>27</v>
      </c>
      <c r="K66" s="331">
        <v>29</v>
      </c>
      <c r="L66" s="83">
        <v>-2</v>
      </c>
      <c r="M66" s="84">
        <v>-91.759999999999991</v>
      </c>
      <c r="N66" s="85"/>
    </row>
    <row r="67" spans="2:14" ht="20.100000000000001" customHeight="1">
      <c r="B67" s="79" t="s">
        <v>1291</v>
      </c>
      <c r="C67" s="80" t="s">
        <v>1292</v>
      </c>
      <c r="D67" s="81">
        <v>15.91</v>
      </c>
      <c r="E67" s="222">
        <v>24</v>
      </c>
      <c r="F67" s="186"/>
      <c r="G67" s="186"/>
      <c r="H67" s="308"/>
      <c r="I67" s="227">
        <v>9</v>
      </c>
      <c r="J67" s="82">
        <v>15</v>
      </c>
      <c r="K67" s="331">
        <v>16</v>
      </c>
      <c r="L67" s="83">
        <v>-1</v>
      </c>
      <c r="M67" s="84">
        <v>-15.909999999999997</v>
      </c>
      <c r="N67" s="232" t="s">
        <v>3831</v>
      </c>
    </row>
    <row r="68" spans="2:14" ht="20.100000000000001" customHeight="1">
      <c r="B68" s="79" t="s">
        <v>1297</v>
      </c>
      <c r="C68" s="80" t="s">
        <v>1298</v>
      </c>
      <c r="D68" s="81">
        <v>53.81</v>
      </c>
      <c r="E68" s="222">
        <v>46</v>
      </c>
      <c r="F68" s="186"/>
      <c r="G68" s="186"/>
      <c r="H68" s="308"/>
      <c r="I68" s="227">
        <v>14</v>
      </c>
      <c r="J68" s="82">
        <v>32</v>
      </c>
      <c r="K68" s="334">
        <v>38</v>
      </c>
      <c r="L68" s="83">
        <v>-6</v>
      </c>
      <c r="M68" s="84">
        <v>-322.86000000000013</v>
      </c>
      <c r="N68" s="85"/>
    </row>
    <row r="69" spans="2:14" ht="20.100000000000001" customHeight="1">
      <c r="B69" s="79" t="s">
        <v>1352</v>
      </c>
      <c r="C69" s="80" t="s">
        <v>1353</v>
      </c>
      <c r="D69" s="81">
        <v>35.549999999999997</v>
      </c>
      <c r="E69" s="222">
        <v>8</v>
      </c>
      <c r="F69" s="186"/>
      <c r="G69" s="186"/>
      <c r="H69" s="308"/>
      <c r="I69" s="227"/>
      <c r="J69" s="82">
        <v>8</v>
      </c>
      <c r="K69" s="331">
        <v>13</v>
      </c>
      <c r="L69" s="83">
        <v>-5</v>
      </c>
      <c r="M69" s="84">
        <v>-177.75</v>
      </c>
      <c r="N69" s="85"/>
    </row>
    <row r="70" spans="2:14" ht="20.100000000000001" customHeight="1">
      <c r="B70" s="79" t="s">
        <v>1356</v>
      </c>
      <c r="C70" s="80" t="s">
        <v>1357</v>
      </c>
      <c r="D70" s="81">
        <v>12.39</v>
      </c>
      <c r="E70" s="222">
        <v>29</v>
      </c>
      <c r="F70" s="186"/>
      <c r="G70" s="186"/>
      <c r="H70" s="308"/>
      <c r="I70" s="227"/>
      <c r="J70" s="82">
        <v>29</v>
      </c>
      <c r="K70" s="331">
        <v>31</v>
      </c>
      <c r="L70" s="83">
        <v>-2</v>
      </c>
      <c r="M70" s="84">
        <v>-24.78000000000003</v>
      </c>
      <c r="N70" s="232"/>
    </row>
    <row r="71" spans="2:14" ht="20.100000000000001" customHeight="1">
      <c r="B71" s="79" t="s">
        <v>1364</v>
      </c>
      <c r="C71" s="80" t="s">
        <v>1365</v>
      </c>
      <c r="D71" s="81">
        <v>76.14</v>
      </c>
      <c r="E71" s="222"/>
      <c r="F71" s="186"/>
      <c r="G71" s="186"/>
      <c r="H71" s="308"/>
      <c r="I71" s="227"/>
      <c r="J71" s="82">
        <v>0</v>
      </c>
      <c r="K71" s="331">
        <v>5</v>
      </c>
      <c r="L71" s="83">
        <v>-5</v>
      </c>
      <c r="M71" s="84">
        <v>-380.7</v>
      </c>
      <c r="N71" s="85"/>
    </row>
    <row r="72" spans="2:14" ht="20.100000000000001" customHeight="1">
      <c r="B72" s="79" t="s">
        <v>1380</v>
      </c>
      <c r="C72" s="80" t="s">
        <v>1381</v>
      </c>
      <c r="D72" s="81">
        <v>26</v>
      </c>
      <c r="E72" s="222"/>
      <c r="F72" s="186"/>
      <c r="G72" s="186"/>
      <c r="H72" s="308"/>
      <c r="I72" s="227">
        <v>5</v>
      </c>
      <c r="J72" s="82">
        <v>-5</v>
      </c>
      <c r="K72" s="331"/>
      <c r="L72" s="83">
        <v>-5</v>
      </c>
      <c r="M72" s="84">
        <v>-130</v>
      </c>
      <c r="N72" s="85"/>
    </row>
    <row r="73" spans="2:14" ht="20.100000000000001" customHeight="1">
      <c r="B73" s="79" t="s">
        <v>1388</v>
      </c>
      <c r="C73" s="80" t="s">
        <v>1389</v>
      </c>
      <c r="D73" s="81">
        <v>23.5</v>
      </c>
      <c r="E73" s="222"/>
      <c r="F73" s="186"/>
      <c r="G73" s="186"/>
      <c r="H73" s="308"/>
      <c r="I73" s="227"/>
      <c r="J73" s="82">
        <v>0</v>
      </c>
      <c r="K73" s="331">
        <v>1</v>
      </c>
      <c r="L73" s="83">
        <v>-1</v>
      </c>
      <c r="M73" s="84">
        <v>-23.5</v>
      </c>
      <c r="N73" s="85"/>
    </row>
    <row r="74" spans="2:14" ht="20.100000000000001" customHeight="1">
      <c r="B74" s="79" t="s">
        <v>1396</v>
      </c>
      <c r="C74" s="80" t="s">
        <v>1397</v>
      </c>
      <c r="D74" s="81">
        <v>25.03</v>
      </c>
      <c r="E74" s="222"/>
      <c r="F74" s="186"/>
      <c r="G74" s="186"/>
      <c r="H74" s="308"/>
      <c r="I74" s="227">
        <v>1</v>
      </c>
      <c r="J74" s="82">
        <v>-1</v>
      </c>
      <c r="K74" s="331"/>
      <c r="L74" s="83">
        <v>-1</v>
      </c>
      <c r="M74" s="84">
        <v>-25.03</v>
      </c>
      <c r="N74" s="85"/>
    </row>
    <row r="75" spans="2:14" ht="20.100000000000001" customHeight="1">
      <c r="B75" s="79" t="s">
        <v>1419</v>
      </c>
      <c r="C75" s="80" t="s">
        <v>1420</v>
      </c>
      <c r="D75" s="81">
        <v>46</v>
      </c>
      <c r="E75" s="222">
        <v>47</v>
      </c>
      <c r="F75" s="186"/>
      <c r="G75" s="186"/>
      <c r="H75" s="308"/>
      <c r="I75" s="227"/>
      <c r="J75" s="82">
        <v>47</v>
      </c>
      <c r="K75" s="331">
        <v>48</v>
      </c>
      <c r="L75" s="83">
        <v>-1</v>
      </c>
      <c r="M75" s="84">
        <v>-46</v>
      </c>
      <c r="N75" s="85"/>
    </row>
    <row r="76" spans="2:14" ht="20.100000000000001" customHeight="1">
      <c r="B76" s="79" t="s">
        <v>1433</v>
      </c>
      <c r="C76" s="80" t="s">
        <v>1434</v>
      </c>
      <c r="D76" s="81">
        <v>38.75</v>
      </c>
      <c r="E76" s="222">
        <v>1</v>
      </c>
      <c r="F76" s="186"/>
      <c r="G76" s="186"/>
      <c r="H76" s="308"/>
      <c r="I76" s="227"/>
      <c r="J76" s="82">
        <v>1</v>
      </c>
      <c r="K76" s="331">
        <v>3</v>
      </c>
      <c r="L76" s="83">
        <v>-2</v>
      </c>
      <c r="M76" s="84">
        <v>-77.5</v>
      </c>
      <c r="N76" s="85"/>
    </row>
    <row r="77" spans="2:14" ht="20.100000000000001" customHeight="1">
      <c r="B77" s="79" t="s">
        <v>1435</v>
      </c>
      <c r="C77" s="80" t="s">
        <v>1436</v>
      </c>
      <c r="D77" s="81">
        <v>35.75</v>
      </c>
      <c r="E77" s="222">
        <v>15</v>
      </c>
      <c r="F77" s="186"/>
      <c r="G77" s="186"/>
      <c r="H77" s="308"/>
      <c r="I77" s="227">
        <v>3</v>
      </c>
      <c r="J77" s="82">
        <v>12</v>
      </c>
      <c r="K77" s="331">
        <v>13</v>
      </c>
      <c r="L77" s="83">
        <v>-1</v>
      </c>
      <c r="M77" s="84">
        <v>-35.75</v>
      </c>
      <c r="N77" s="85"/>
    </row>
    <row r="78" spans="2:14" ht="20.100000000000001" customHeight="1">
      <c r="B78" s="79" t="s">
        <v>1495</v>
      </c>
      <c r="C78" s="80" t="s">
        <v>1496</v>
      </c>
      <c r="D78" s="317">
        <v>32.86</v>
      </c>
      <c r="E78" s="222">
        <v>58</v>
      </c>
      <c r="F78" s="186"/>
      <c r="G78" s="186"/>
      <c r="H78" s="308"/>
      <c r="I78" s="227">
        <v>9</v>
      </c>
      <c r="J78" s="82">
        <v>49</v>
      </c>
      <c r="K78" s="331">
        <v>50</v>
      </c>
      <c r="L78" s="83">
        <v>-1</v>
      </c>
      <c r="M78" s="84">
        <v>-32.860000000000127</v>
      </c>
      <c r="N78" s="232"/>
    </row>
    <row r="79" spans="2:14" ht="20.100000000000001" customHeight="1">
      <c r="B79" s="79" t="s">
        <v>1513</v>
      </c>
      <c r="C79" s="80" t="s">
        <v>1514</v>
      </c>
      <c r="D79" s="81">
        <v>7.6</v>
      </c>
      <c r="E79" s="222">
        <v>55</v>
      </c>
      <c r="F79" s="186"/>
      <c r="G79" s="186"/>
      <c r="H79" s="308"/>
      <c r="I79" s="227"/>
      <c r="J79" s="82">
        <v>55</v>
      </c>
      <c r="K79" s="331">
        <v>58</v>
      </c>
      <c r="L79" s="83">
        <v>-3</v>
      </c>
      <c r="M79" s="84">
        <v>-22.799999999999955</v>
      </c>
      <c r="N79" s="85" t="s">
        <v>1515</v>
      </c>
    </row>
    <row r="80" spans="2:14" ht="20.100000000000001" customHeight="1">
      <c r="B80" s="79" t="s">
        <v>1527</v>
      </c>
      <c r="C80" s="80" t="s">
        <v>1528</v>
      </c>
      <c r="D80" s="81">
        <v>94.76</v>
      </c>
      <c r="E80" s="222"/>
      <c r="F80" s="186"/>
      <c r="G80" s="186"/>
      <c r="H80" s="308"/>
      <c r="I80" s="227">
        <v>2</v>
      </c>
      <c r="J80" s="82">
        <v>-2</v>
      </c>
      <c r="K80" s="331"/>
      <c r="L80" s="83">
        <v>-2</v>
      </c>
      <c r="M80" s="84">
        <v>-189.52</v>
      </c>
      <c r="N80" s="85"/>
    </row>
    <row r="81" spans="2:14" ht="20.100000000000001" customHeight="1">
      <c r="B81" s="79" t="s">
        <v>1564</v>
      </c>
      <c r="C81" s="80" t="s">
        <v>1565</v>
      </c>
      <c r="D81" s="81">
        <v>51.97</v>
      </c>
      <c r="E81" s="222">
        <v>27</v>
      </c>
      <c r="F81" s="186"/>
      <c r="G81" s="186"/>
      <c r="H81" s="308"/>
      <c r="I81" s="227">
        <v>5</v>
      </c>
      <c r="J81" s="82">
        <v>22</v>
      </c>
      <c r="K81" s="331">
        <v>24</v>
      </c>
      <c r="L81" s="83">
        <v>-2</v>
      </c>
      <c r="M81" s="84">
        <v>-103.94000000000005</v>
      </c>
      <c r="N81" s="85"/>
    </row>
    <row r="82" spans="2:14" ht="20.100000000000001" customHeight="1">
      <c r="B82" s="79" t="s">
        <v>1570</v>
      </c>
      <c r="C82" s="80" t="s">
        <v>1571</v>
      </c>
      <c r="D82" s="81">
        <v>51.97</v>
      </c>
      <c r="E82" s="222">
        <v>30</v>
      </c>
      <c r="F82" s="186"/>
      <c r="G82" s="186">
        <v>60</v>
      </c>
      <c r="H82" s="308"/>
      <c r="I82" s="227">
        <v>31</v>
      </c>
      <c r="J82" s="82">
        <v>59</v>
      </c>
      <c r="K82" s="331">
        <v>60</v>
      </c>
      <c r="L82" s="83">
        <v>-1</v>
      </c>
      <c r="M82" s="84">
        <v>-51.9699999999998</v>
      </c>
      <c r="N82" s="85"/>
    </row>
    <row r="83" spans="2:14" ht="20.100000000000001" customHeight="1">
      <c r="B83" s="79" t="s">
        <v>1580</v>
      </c>
      <c r="C83" s="80" t="s">
        <v>1581</v>
      </c>
      <c r="D83" s="81">
        <v>6.02</v>
      </c>
      <c r="E83" s="222">
        <v>153</v>
      </c>
      <c r="F83" s="186"/>
      <c r="G83" s="186"/>
      <c r="H83" s="308"/>
      <c r="I83" s="227">
        <v>108</v>
      </c>
      <c r="J83" s="82">
        <v>45</v>
      </c>
      <c r="K83" s="331">
        <v>51</v>
      </c>
      <c r="L83" s="83">
        <v>-6</v>
      </c>
      <c r="M83" s="84">
        <v>-36.120000000000005</v>
      </c>
      <c r="N83" s="232"/>
    </row>
    <row r="84" spans="2:14" ht="20.100000000000001" customHeight="1">
      <c r="B84" s="318" t="s">
        <v>3891</v>
      </c>
      <c r="C84" s="319" t="s">
        <v>4379</v>
      </c>
      <c r="D84" s="320">
        <v>6.89</v>
      </c>
      <c r="E84" s="222"/>
      <c r="F84" s="186"/>
      <c r="G84" s="186"/>
      <c r="H84" s="308"/>
      <c r="I84" s="227">
        <v>23</v>
      </c>
      <c r="J84" s="82">
        <v>-23</v>
      </c>
      <c r="K84" s="331">
        <v>17</v>
      </c>
      <c r="L84" s="83">
        <v>-40</v>
      </c>
      <c r="M84" s="84">
        <v>-275.60000000000002</v>
      </c>
      <c r="N84" s="85"/>
    </row>
    <row r="85" spans="2:14" ht="20.100000000000001" customHeight="1">
      <c r="B85" s="79" t="s">
        <v>1586</v>
      </c>
      <c r="C85" s="80" t="s">
        <v>1587</v>
      </c>
      <c r="D85" s="81">
        <v>7.14</v>
      </c>
      <c r="E85" s="222">
        <v>4</v>
      </c>
      <c r="F85" s="186"/>
      <c r="G85" s="186"/>
      <c r="H85" s="308"/>
      <c r="I85" s="227">
        <v>11</v>
      </c>
      <c r="J85" s="82">
        <v>-7</v>
      </c>
      <c r="K85" s="331">
        <v>37</v>
      </c>
      <c r="L85" s="83">
        <v>-44</v>
      </c>
      <c r="M85" s="84">
        <v>-314.16000000000003</v>
      </c>
      <c r="N85" s="85"/>
    </row>
    <row r="86" spans="2:14" ht="20.100000000000001" customHeight="1">
      <c r="B86" s="79" t="s">
        <v>1590</v>
      </c>
      <c r="C86" s="80" t="s">
        <v>1591</v>
      </c>
      <c r="D86" s="81">
        <v>14.38</v>
      </c>
      <c r="E86" s="222">
        <v>5</v>
      </c>
      <c r="F86" s="186"/>
      <c r="G86" s="186"/>
      <c r="H86" s="308"/>
      <c r="I86" s="227">
        <v>17</v>
      </c>
      <c r="J86" s="82">
        <v>-12</v>
      </c>
      <c r="K86" s="331">
        <v>12</v>
      </c>
      <c r="L86" s="83">
        <v>-24</v>
      </c>
      <c r="M86" s="84">
        <v>-345.12</v>
      </c>
      <c r="N86" s="232" t="s">
        <v>3836</v>
      </c>
    </row>
    <row r="87" spans="2:14" ht="20.100000000000001" customHeight="1">
      <c r="B87" s="79" t="s">
        <v>1594</v>
      </c>
      <c r="C87" s="80" t="s">
        <v>1595</v>
      </c>
      <c r="D87" s="81">
        <v>27.84</v>
      </c>
      <c r="E87" s="222"/>
      <c r="F87" s="186"/>
      <c r="G87" s="186"/>
      <c r="H87" s="308"/>
      <c r="I87" s="227">
        <v>25</v>
      </c>
      <c r="J87" s="82">
        <v>-25</v>
      </c>
      <c r="K87" s="331"/>
      <c r="L87" s="83">
        <v>-25</v>
      </c>
      <c r="M87" s="84">
        <v>-696</v>
      </c>
      <c r="N87" s="85"/>
    </row>
    <row r="88" spans="2:14" ht="20.100000000000001" customHeight="1">
      <c r="B88" s="79" t="s">
        <v>1596</v>
      </c>
      <c r="C88" s="80" t="s">
        <v>1597</v>
      </c>
      <c r="D88" s="81">
        <v>13.92</v>
      </c>
      <c r="E88" s="222"/>
      <c r="F88" s="186"/>
      <c r="G88" s="186"/>
      <c r="H88" s="308"/>
      <c r="I88" s="227">
        <v>28</v>
      </c>
      <c r="J88" s="82">
        <v>-28</v>
      </c>
      <c r="K88" s="331"/>
      <c r="L88" s="83">
        <v>-28</v>
      </c>
      <c r="M88" s="84">
        <v>-389.76</v>
      </c>
      <c r="N88" s="85"/>
    </row>
    <row r="89" spans="2:14" ht="20.100000000000001" customHeight="1">
      <c r="B89" s="79" t="s">
        <v>1606</v>
      </c>
      <c r="C89" s="80" t="s">
        <v>1607</v>
      </c>
      <c r="D89" s="81">
        <v>34.049999999999997</v>
      </c>
      <c r="E89" s="222">
        <v>17</v>
      </c>
      <c r="F89" s="186"/>
      <c r="G89" s="186"/>
      <c r="H89" s="308"/>
      <c r="I89" s="227"/>
      <c r="J89" s="82">
        <v>17</v>
      </c>
      <c r="K89" s="331">
        <v>21</v>
      </c>
      <c r="L89" s="83">
        <v>-4</v>
      </c>
      <c r="M89" s="84">
        <v>-136.20000000000005</v>
      </c>
      <c r="N89" s="85"/>
    </row>
    <row r="90" spans="2:14" ht="20.100000000000001" customHeight="1">
      <c r="B90" s="79" t="s">
        <v>1614</v>
      </c>
      <c r="C90" s="80" t="s">
        <v>1615</v>
      </c>
      <c r="D90" s="81">
        <v>13.39</v>
      </c>
      <c r="E90" s="222">
        <v>5</v>
      </c>
      <c r="F90" s="186"/>
      <c r="G90" s="186"/>
      <c r="H90" s="308"/>
      <c r="I90" s="227">
        <v>4</v>
      </c>
      <c r="J90" s="82">
        <v>1</v>
      </c>
      <c r="K90" s="331">
        <v>3</v>
      </c>
      <c r="L90" s="83">
        <v>-2</v>
      </c>
      <c r="M90" s="84">
        <v>-26.78</v>
      </c>
      <c r="N90" s="85"/>
    </row>
    <row r="91" spans="2:14" ht="20.100000000000001" customHeight="1">
      <c r="B91" s="79" t="s">
        <v>1626</v>
      </c>
      <c r="C91" s="80" t="s">
        <v>1627</v>
      </c>
      <c r="D91" s="81">
        <v>35</v>
      </c>
      <c r="E91" s="222">
        <v>2</v>
      </c>
      <c r="F91" s="186"/>
      <c r="G91" s="186"/>
      <c r="H91" s="308"/>
      <c r="I91" s="227"/>
      <c r="J91" s="82">
        <v>2</v>
      </c>
      <c r="K91" s="331">
        <v>5</v>
      </c>
      <c r="L91" s="83">
        <v>-3</v>
      </c>
      <c r="M91" s="84">
        <v>-105</v>
      </c>
      <c r="N91" s="85"/>
    </row>
    <row r="92" spans="2:14" ht="20.100000000000001" customHeight="1">
      <c r="B92" s="79" t="s">
        <v>1632</v>
      </c>
      <c r="C92" s="80" t="s">
        <v>1633</v>
      </c>
      <c r="D92" s="81">
        <v>13.1</v>
      </c>
      <c r="E92" s="222">
        <v>5</v>
      </c>
      <c r="F92" s="186"/>
      <c r="G92" s="186"/>
      <c r="H92" s="308"/>
      <c r="I92" s="227"/>
      <c r="J92" s="82">
        <v>5</v>
      </c>
      <c r="K92" s="331">
        <v>6</v>
      </c>
      <c r="L92" s="83">
        <v>-1</v>
      </c>
      <c r="M92" s="84">
        <v>-13.099999999999994</v>
      </c>
      <c r="N92" s="85"/>
    </row>
    <row r="93" spans="2:14" ht="20.100000000000001" customHeight="1">
      <c r="B93" s="79" t="s">
        <v>1694</v>
      </c>
      <c r="C93" s="80" t="s">
        <v>1695</v>
      </c>
      <c r="D93" s="81">
        <v>75</v>
      </c>
      <c r="E93" s="222">
        <v>32</v>
      </c>
      <c r="F93" s="186"/>
      <c r="G93" s="186"/>
      <c r="H93" s="308"/>
      <c r="I93" s="227"/>
      <c r="J93" s="82">
        <v>32</v>
      </c>
      <c r="K93" s="331">
        <v>34</v>
      </c>
      <c r="L93" s="83">
        <v>-2</v>
      </c>
      <c r="M93" s="84">
        <v>-150</v>
      </c>
      <c r="N93" s="85" t="s">
        <v>1696</v>
      </c>
    </row>
    <row r="94" spans="2:14" ht="20.100000000000001" customHeight="1">
      <c r="B94" s="79" t="s">
        <v>1725</v>
      </c>
      <c r="C94" s="80" t="s">
        <v>1726</v>
      </c>
      <c r="D94" s="81">
        <v>88</v>
      </c>
      <c r="E94" s="222">
        <v>3</v>
      </c>
      <c r="F94" s="186"/>
      <c r="G94" s="186"/>
      <c r="H94" s="308"/>
      <c r="I94" s="227"/>
      <c r="J94" s="82">
        <v>3</v>
      </c>
      <c r="K94" s="331">
        <v>7</v>
      </c>
      <c r="L94" s="83">
        <v>-4</v>
      </c>
      <c r="M94" s="84">
        <v>-352</v>
      </c>
      <c r="N94" s="85"/>
    </row>
    <row r="95" spans="2:14" ht="20.100000000000001" customHeight="1">
      <c r="B95" s="79" t="s">
        <v>1731</v>
      </c>
      <c r="C95" s="80" t="s">
        <v>1732</v>
      </c>
      <c r="D95" s="81">
        <v>38</v>
      </c>
      <c r="E95" s="222">
        <v>1</v>
      </c>
      <c r="F95" s="186"/>
      <c r="G95" s="186"/>
      <c r="H95" s="308"/>
      <c r="I95" s="227"/>
      <c r="J95" s="82">
        <v>1</v>
      </c>
      <c r="K95" s="344">
        <v>5</v>
      </c>
      <c r="L95" s="83">
        <v>-4</v>
      </c>
      <c r="M95" s="84">
        <v>-152</v>
      </c>
      <c r="N95" s="85"/>
    </row>
    <row r="96" spans="2:14" ht="20.100000000000001" customHeight="1">
      <c r="B96" s="79" t="s">
        <v>1734</v>
      </c>
      <c r="C96" s="80" t="s">
        <v>1735</v>
      </c>
      <c r="D96" s="81">
        <v>38</v>
      </c>
      <c r="E96" s="222">
        <v>1</v>
      </c>
      <c r="F96" s="186"/>
      <c r="G96" s="186"/>
      <c r="H96" s="308"/>
      <c r="I96" s="227"/>
      <c r="J96" s="82">
        <v>1</v>
      </c>
      <c r="K96" s="331">
        <v>5</v>
      </c>
      <c r="L96" s="83">
        <v>-4</v>
      </c>
      <c r="M96" s="84">
        <v>-152</v>
      </c>
      <c r="N96" s="85"/>
    </row>
    <row r="97" spans="2:14" ht="20.100000000000001" customHeight="1">
      <c r="B97" s="79" t="s">
        <v>1778</v>
      </c>
      <c r="C97" s="80" t="s">
        <v>1779</v>
      </c>
      <c r="D97" s="81">
        <v>7.75</v>
      </c>
      <c r="E97" s="222">
        <v>167</v>
      </c>
      <c r="F97" s="186"/>
      <c r="G97" s="186"/>
      <c r="H97" s="308"/>
      <c r="I97" s="227"/>
      <c r="J97" s="82">
        <v>167</v>
      </c>
      <c r="K97" s="331">
        <v>169</v>
      </c>
      <c r="L97" s="83">
        <v>-2</v>
      </c>
      <c r="M97" s="84">
        <v>-15.5</v>
      </c>
      <c r="N97" s="232" t="s">
        <v>3835</v>
      </c>
    </row>
    <row r="98" spans="2:14" ht="20.100000000000001" customHeight="1">
      <c r="B98" s="79" t="s">
        <v>1796</v>
      </c>
      <c r="C98" s="80" t="s">
        <v>1797</v>
      </c>
      <c r="D98" s="81">
        <v>30.2</v>
      </c>
      <c r="E98" s="222"/>
      <c r="F98" s="186"/>
      <c r="G98" s="186"/>
      <c r="H98" s="308"/>
      <c r="I98" s="227">
        <v>1</v>
      </c>
      <c r="J98" s="82">
        <v>-1</v>
      </c>
      <c r="K98" s="331"/>
      <c r="L98" s="83">
        <v>-1</v>
      </c>
      <c r="M98" s="84">
        <v>-30.2</v>
      </c>
      <c r="N98" s="85"/>
    </row>
    <row r="99" spans="2:14" ht="20.100000000000001" customHeight="1">
      <c r="B99" s="79" t="s">
        <v>1857</v>
      </c>
      <c r="C99" s="80" t="s">
        <v>1858</v>
      </c>
      <c r="D99" s="81">
        <v>6.17</v>
      </c>
      <c r="E99" s="222">
        <v>2</v>
      </c>
      <c r="F99" s="186"/>
      <c r="G99" s="186"/>
      <c r="H99" s="308"/>
      <c r="I99" s="227"/>
      <c r="J99" s="82">
        <v>2</v>
      </c>
      <c r="K99" s="331">
        <v>3</v>
      </c>
      <c r="L99" s="83">
        <v>-1</v>
      </c>
      <c r="M99" s="84">
        <v>-6.1699999999999982</v>
      </c>
      <c r="N99" s="85"/>
    </row>
    <row r="100" spans="2:14" ht="20.100000000000001" customHeight="1">
      <c r="B100" s="79" t="s">
        <v>1875</v>
      </c>
      <c r="C100" s="80" t="s">
        <v>1876</v>
      </c>
      <c r="D100" s="81">
        <v>6.48</v>
      </c>
      <c r="E100" s="222">
        <v>311</v>
      </c>
      <c r="F100" s="186"/>
      <c r="G100" s="186"/>
      <c r="H100" s="308"/>
      <c r="I100" s="227"/>
      <c r="J100" s="82">
        <v>311</v>
      </c>
      <c r="K100" s="331">
        <v>312</v>
      </c>
      <c r="L100" s="83">
        <v>-1</v>
      </c>
      <c r="M100" s="84">
        <v>-6.4800000000000182</v>
      </c>
      <c r="N100" s="85"/>
    </row>
    <row r="101" spans="2:14" ht="20.100000000000001" customHeight="1">
      <c r="B101" s="79" t="s">
        <v>3806</v>
      </c>
      <c r="C101" s="80" t="s">
        <v>3793</v>
      </c>
      <c r="D101" s="81">
        <v>90.69</v>
      </c>
      <c r="E101" s="222">
        <v>12</v>
      </c>
      <c r="F101" s="186"/>
      <c r="G101" s="186"/>
      <c r="H101" s="308"/>
      <c r="I101" s="227">
        <v>1</v>
      </c>
      <c r="J101" s="82">
        <v>11</v>
      </c>
      <c r="K101" s="331">
        <v>17</v>
      </c>
      <c r="L101" s="83">
        <v>-6</v>
      </c>
      <c r="M101" s="84">
        <v>-544.1400000000001</v>
      </c>
      <c r="N101" s="85"/>
    </row>
    <row r="102" spans="2:14" ht="20.100000000000001" customHeight="1">
      <c r="B102" s="79" t="s">
        <v>1917</v>
      </c>
      <c r="C102" s="80" t="s">
        <v>1918</v>
      </c>
      <c r="D102" s="81">
        <v>27.9</v>
      </c>
      <c r="E102" s="222">
        <v>19</v>
      </c>
      <c r="F102" s="186"/>
      <c r="G102" s="186"/>
      <c r="H102" s="308"/>
      <c r="I102" s="227">
        <v>2</v>
      </c>
      <c r="J102" s="82">
        <v>17</v>
      </c>
      <c r="K102" s="332">
        <v>18</v>
      </c>
      <c r="L102" s="83">
        <v>-1</v>
      </c>
      <c r="M102" s="84">
        <v>-27.900000000000034</v>
      </c>
      <c r="N102" s="85"/>
    </row>
    <row r="103" spans="2:14" ht="20.100000000000001" customHeight="1">
      <c r="B103" s="79" t="s">
        <v>1948</v>
      </c>
      <c r="C103" s="80" t="s">
        <v>1949</v>
      </c>
      <c r="D103" s="81">
        <v>6.82</v>
      </c>
      <c r="E103" s="222">
        <v>5</v>
      </c>
      <c r="F103" s="186"/>
      <c r="G103" s="186"/>
      <c r="H103" s="308"/>
      <c r="I103" s="227">
        <v>12</v>
      </c>
      <c r="J103" s="82">
        <v>-7</v>
      </c>
      <c r="K103" s="331">
        <v>5</v>
      </c>
      <c r="L103" s="83">
        <v>-12</v>
      </c>
      <c r="M103" s="84">
        <v>-81.84</v>
      </c>
      <c r="N103" s="85"/>
    </row>
    <row r="104" spans="2:14" ht="20.100000000000001" customHeight="1">
      <c r="B104" s="79" t="s">
        <v>1952</v>
      </c>
      <c r="C104" s="80" t="s">
        <v>1953</v>
      </c>
      <c r="D104" s="81">
        <v>5.03</v>
      </c>
      <c r="E104" s="222">
        <v>146</v>
      </c>
      <c r="F104" s="186"/>
      <c r="G104" s="186"/>
      <c r="H104" s="308"/>
      <c r="I104" s="227"/>
      <c r="J104" s="82">
        <v>146</v>
      </c>
      <c r="K104" s="331">
        <v>168</v>
      </c>
      <c r="L104" s="83">
        <v>-22</v>
      </c>
      <c r="M104" s="84">
        <v>-110.66000000000008</v>
      </c>
      <c r="N104" s="85"/>
    </row>
    <row r="105" spans="2:14" ht="20.100000000000001" customHeight="1">
      <c r="B105" s="79" t="s">
        <v>1974</v>
      </c>
      <c r="C105" s="80" t="s">
        <v>1975</v>
      </c>
      <c r="D105" s="315">
        <v>23.62</v>
      </c>
      <c r="E105" s="222">
        <v>8</v>
      </c>
      <c r="F105" s="186"/>
      <c r="G105" s="186"/>
      <c r="H105" s="308"/>
      <c r="I105" s="227">
        <v>2</v>
      </c>
      <c r="J105" s="82">
        <v>6</v>
      </c>
      <c r="K105" s="331">
        <v>7</v>
      </c>
      <c r="L105" s="83">
        <v>-1</v>
      </c>
      <c r="M105" s="84">
        <v>-23.620000000000005</v>
      </c>
      <c r="N105" s="85"/>
    </row>
    <row r="106" spans="2:14" ht="20.100000000000001" customHeight="1">
      <c r="B106" s="79" t="s">
        <v>2028</v>
      </c>
      <c r="C106" s="80" t="s">
        <v>2029</v>
      </c>
      <c r="D106" s="81">
        <v>64.2</v>
      </c>
      <c r="E106" s="222"/>
      <c r="F106" s="186"/>
      <c r="G106" s="186"/>
      <c r="H106" s="308"/>
      <c r="I106" s="227"/>
      <c r="J106" s="82">
        <v>0</v>
      </c>
      <c r="K106" s="331">
        <v>1</v>
      </c>
      <c r="L106" s="83">
        <v>-1</v>
      </c>
      <c r="M106" s="84">
        <v>-64.2</v>
      </c>
      <c r="N106" s="85"/>
    </row>
    <row r="107" spans="2:14" ht="20.100000000000001" customHeight="1">
      <c r="B107" s="79" t="s">
        <v>2111</v>
      </c>
      <c r="C107" s="80" t="s">
        <v>2112</v>
      </c>
      <c r="D107" s="81">
        <v>7.33</v>
      </c>
      <c r="E107" s="222">
        <v>141</v>
      </c>
      <c r="F107" s="186"/>
      <c r="G107" s="186"/>
      <c r="H107" s="308"/>
      <c r="I107" s="227"/>
      <c r="J107" s="82">
        <v>141</v>
      </c>
      <c r="K107" s="331">
        <v>142</v>
      </c>
      <c r="L107" s="83">
        <v>-1</v>
      </c>
      <c r="M107" s="84">
        <v>-7.3299999999999272</v>
      </c>
      <c r="N107" s="85"/>
    </row>
    <row r="108" spans="2:14" ht="20.100000000000001" customHeight="1">
      <c r="B108" s="79" t="s">
        <v>2119</v>
      </c>
      <c r="C108" s="80" t="s">
        <v>2120</v>
      </c>
      <c r="D108" s="81">
        <v>79.42</v>
      </c>
      <c r="E108" s="222">
        <v>3</v>
      </c>
      <c r="F108" s="186"/>
      <c r="G108" s="186"/>
      <c r="H108" s="308"/>
      <c r="I108" s="227"/>
      <c r="J108" s="82">
        <v>3</v>
      </c>
      <c r="K108" s="331">
        <v>4</v>
      </c>
      <c r="L108" s="83">
        <v>-1</v>
      </c>
      <c r="M108" s="84">
        <v>-79.420000000000016</v>
      </c>
      <c r="N108" s="85"/>
    </row>
    <row r="109" spans="2:14" ht="20.100000000000001" customHeight="1">
      <c r="B109" s="79" t="s">
        <v>2152</v>
      </c>
      <c r="C109" s="80" t="s">
        <v>2153</v>
      </c>
      <c r="D109" s="81">
        <v>6.6</v>
      </c>
      <c r="E109" s="222">
        <v>10</v>
      </c>
      <c r="F109" s="186"/>
      <c r="G109" s="186"/>
      <c r="H109" s="308"/>
      <c r="I109" s="227"/>
      <c r="J109" s="82">
        <v>10</v>
      </c>
      <c r="K109" s="331">
        <v>11</v>
      </c>
      <c r="L109" s="83">
        <v>-1</v>
      </c>
      <c r="M109" s="84">
        <v>-6.5999999999999943</v>
      </c>
      <c r="N109" s="232"/>
    </row>
    <row r="110" spans="2:14" ht="20.100000000000001" customHeight="1">
      <c r="B110" s="79" t="s">
        <v>2161</v>
      </c>
      <c r="C110" s="80" t="s">
        <v>2162</v>
      </c>
      <c r="D110" s="81">
        <v>121.12</v>
      </c>
      <c r="E110" s="222">
        <v>1</v>
      </c>
      <c r="F110" s="186"/>
      <c r="G110" s="186"/>
      <c r="H110" s="308"/>
      <c r="I110" s="227"/>
      <c r="J110" s="82">
        <v>1</v>
      </c>
      <c r="K110" s="331">
        <v>11</v>
      </c>
      <c r="L110" s="83">
        <v>-10</v>
      </c>
      <c r="M110" s="84">
        <v>-1211.2000000000003</v>
      </c>
      <c r="N110" s="85"/>
    </row>
    <row r="111" spans="2:14" ht="20.100000000000001" customHeight="1">
      <c r="B111" s="79" t="s">
        <v>2170</v>
      </c>
      <c r="C111" s="80" t="s">
        <v>2171</v>
      </c>
      <c r="D111" s="81">
        <v>47.2</v>
      </c>
      <c r="E111" s="222">
        <v>39</v>
      </c>
      <c r="F111" s="186"/>
      <c r="G111" s="186"/>
      <c r="H111" s="308"/>
      <c r="I111" s="227"/>
      <c r="J111" s="82">
        <v>39</v>
      </c>
      <c r="K111" s="331">
        <v>40</v>
      </c>
      <c r="L111" s="83">
        <v>-1</v>
      </c>
      <c r="M111" s="84">
        <v>-47.199999999999818</v>
      </c>
      <c r="N111" s="85"/>
    </row>
    <row r="112" spans="2:14" ht="20.100000000000001" customHeight="1">
      <c r="B112" s="79" t="s">
        <v>2178</v>
      </c>
      <c r="C112" s="80" t="s">
        <v>2179</v>
      </c>
      <c r="D112" s="81">
        <v>61.83</v>
      </c>
      <c r="E112" s="222"/>
      <c r="F112" s="186"/>
      <c r="G112" s="186"/>
      <c r="H112" s="308"/>
      <c r="I112" s="227"/>
      <c r="J112" s="82">
        <v>0</v>
      </c>
      <c r="K112" s="331">
        <v>5</v>
      </c>
      <c r="L112" s="83">
        <v>-5</v>
      </c>
      <c r="M112" s="84">
        <v>-309.14999999999998</v>
      </c>
      <c r="N112" s="85" t="s">
        <v>2180</v>
      </c>
    </row>
    <row r="113" spans="2:14" ht="20.100000000000001" customHeight="1">
      <c r="B113" s="79" t="s">
        <v>2181</v>
      </c>
      <c r="C113" s="80" t="s">
        <v>2182</v>
      </c>
      <c r="D113" s="81">
        <v>18.64</v>
      </c>
      <c r="E113" s="222">
        <v>136</v>
      </c>
      <c r="F113" s="186"/>
      <c r="G113" s="186"/>
      <c r="H113" s="308"/>
      <c r="I113" s="227"/>
      <c r="J113" s="82">
        <v>136</v>
      </c>
      <c r="K113" s="331">
        <v>137</v>
      </c>
      <c r="L113" s="83">
        <v>-1</v>
      </c>
      <c r="M113" s="84">
        <v>-18.640000000000327</v>
      </c>
      <c r="N113" s="232"/>
    </row>
    <row r="114" spans="2:14" ht="20.100000000000001" customHeight="1">
      <c r="B114" s="79" t="s">
        <v>2201</v>
      </c>
      <c r="C114" s="80" t="s">
        <v>2202</v>
      </c>
      <c r="D114" s="81">
        <v>19.600000000000001</v>
      </c>
      <c r="E114" s="222">
        <v>30</v>
      </c>
      <c r="F114" s="186"/>
      <c r="G114" s="186"/>
      <c r="H114" s="308"/>
      <c r="I114" s="227">
        <v>1</v>
      </c>
      <c r="J114" s="82">
        <v>29</v>
      </c>
      <c r="K114" s="331">
        <v>45</v>
      </c>
      <c r="L114" s="83">
        <v>-16</v>
      </c>
      <c r="M114" s="84">
        <v>-313.60000000000002</v>
      </c>
      <c r="N114" s="85"/>
    </row>
    <row r="115" spans="2:14" ht="20.100000000000001" customHeight="1">
      <c r="B115" s="79" t="s">
        <v>2251</v>
      </c>
      <c r="C115" s="80" t="s">
        <v>2252</v>
      </c>
      <c r="D115" s="81">
        <v>5.92</v>
      </c>
      <c r="E115" s="222">
        <v>585</v>
      </c>
      <c r="F115" s="186"/>
      <c r="G115" s="186"/>
      <c r="H115" s="308"/>
      <c r="I115" s="227"/>
      <c r="J115" s="82">
        <v>585</v>
      </c>
      <c r="K115" s="331">
        <v>603</v>
      </c>
      <c r="L115" s="83">
        <v>-18</v>
      </c>
      <c r="M115" s="84">
        <v>-106.55999999999995</v>
      </c>
      <c r="N115" s="85"/>
    </row>
    <row r="116" spans="2:14" ht="20.100000000000001" customHeight="1">
      <c r="B116" s="79" t="s">
        <v>2372</v>
      </c>
      <c r="C116" s="80" t="s">
        <v>2373</v>
      </c>
      <c r="D116" s="81">
        <v>14.42</v>
      </c>
      <c r="E116" s="222">
        <v>66</v>
      </c>
      <c r="F116" s="186"/>
      <c r="G116" s="186"/>
      <c r="H116" s="308"/>
      <c r="I116" s="227">
        <v>1</v>
      </c>
      <c r="J116" s="82">
        <v>65</v>
      </c>
      <c r="K116" s="331">
        <v>74</v>
      </c>
      <c r="L116" s="83">
        <v>-9</v>
      </c>
      <c r="M116" s="84">
        <v>-129.77999999999997</v>
      </c>
      <c r="N116" s="232"/>
    </row>
    <row r="117" spans="2:14" ht="20.100000000000001" customHeight="1">
      <c r="B117" s="79" t="s">
        <v>2378</v>
      </c>
      <c r="C117" s="80" t="s">
        <v>2379</v>
      </c>
      <c r="D117" s="81">
        <v>296.10000000000002</v>
      </c>
      <c r="E117" s="222">
        <v>4</v>
      </c>
      <c r="F117" s="186"/>
      <c r="G117" s="186"/>
      <c r="H117" s="308"/>
      <c r="I117" s="227">
        <v>1</v>
      </c>
      <c r="J117" s="82">
        <v>3</v>
      </c>
      <c r="K117" s="331">
        <v>4</v>
      </c>
      <c r="L117" s="83">
        <v>-1</v>
      </c>
      <c r="M117" s="84">
        <v>-296.10000000000002</v>
      </c>
      <c r="N117" s="85"/>
    </row>
    <row r="118" spans="2:14" ht="20.100000000000001" customHeight="1">
      <c r="B118" s="79" t="s">
        <v>2421</v>
      </c>
      <c r="C118" s="80" t="s">
        <v>2422</v>
      </c>
      <c r="D118" s="81">
        <v>5.0199999999999996</v>
      </c>
      <c r="E118" s="222">
        <v>82</v>
      </c>
      <c r="F118" s="186"/>
      <c r="G118" s="186"/>
      <c r="H118" s="308"/>
      <c r="I118" s="227">
        <v>2</v>
      </c>
      <c r="J118" s="82">
        <v>80</v>
      </c>
      <c r="K118" s="331">
        <v>82</v>
      </c>
      <c r="L118" s="83">
        <v>-2</v>
      </c>
      <c r="M118" s="84">
        <v>-10.04000000000002</v>
      </c>
      <c r="N118" s="85"/>
    </row>
    <row r="119" spans="2:14" ht="20.100000000000001" customHeight="1">
      <c r="B119" s="79" t="s">
        <v>2425</v>
      </c>
      <c r="C119" s="80" t="s">
        <v>2426</v>
      </c>
      <c r="D119" s="81">
        <v>12.69</v>
      </c>
      <c r="E119" s="222">
        <v>73</v>
      </c>
      <c r="F119" s="186"/>
      <c r="G119" s="186"/>
      <c r="H119" s="308"/>
      <c r="I119" s="227"/>
      <c r="J119" s="82">
        <v>73</v>
      </c>
      <c r="K119" s="331">
        <v>89</v>
      </c>
      <c r="L119" s="83">
        <v>-16</v>
      </c>
      <c r="M119" s="84">
        <v>-203.03999999999985</v>
      </c>
      <c r="N119" s="85"/>
    </row>
    <row r="120" spans="2:14" ht="20.100000000000001" customHeight="1">
      <c r="B120" s="79" t="s">
        <v>2437</v>
      </c>
      <c r="C120" s="80" t="s">
        <v>2438</v>
      </c>
      <c r="D120" s="81">
        <v>3.72</v>
      </c>
      <c r="E120" s="222">
        <v>161</v>
      </c>
      <c r="F120" s="186"/>
      <c r="G120" s="186"/>
      <c r="H120" s="308"/>
      <c r="I120" s="227"/>
      <c r="J120" s="82">
        <v>161</v>
      </c>
      <c r="K120" s="331">
        <v>163</v>
      </c>
      <c r="L120" s="83">
        <v>-2</v>
      </c>
      <c r="M120" s="84">
        <v>-7.4399999999999409</v>
      </c>
      <c r="N120" s="85"/>
    </row>
    <row r="121" spans="2:14" ht="20.100000000000001" customHeight="1">
      <c r="B121" s="79" t="s">
        <v>2441</v>
      </c>
      <c r="C121" s="80" t="s">
        <v>2442</v>
      </c>
      <c r="D121" s="81">
        <v>4.7</v>
      </c>
      <c r="E121" s="222">
        <v>396</v>
      </c>
      <c r="F121" s="186"/>
      <c r="G121" s="186"/>
      <c r="H121" s="308"/>
      <c r="I121" s="227"/>
      <c r="J121" s="82">
        <v>396</v>
      </c>
      <c r="K121" s="331">
        <v>408</v>
      </c>
      <c r="L121" s="83">
        <v>-12</v>
      </c>
      <c r="M121" s="84">
        <v>-56.400000000000091</v>
      </c>
      <c r="N121" s="85"/>
    </row>
    <row r="122" spans="2:14" ht="20.100000000000001" customHeight="1">
      <c r="B122" s="79" t="s">
        <v>2449</v>
      </c>
      <c r="C122" s="80" t="s">
        <v>2450</v>
      </c>
      <c r="D122" s="277">
        <v>6.3448000000000002</v>
      </c>
      <c r="E122" s="222"/>
      <c r="F122" s="186"/>
      <c r="G122" s="186">
        <v>6</v>
      </c>
      <c r="H122" s="308"/>
      <c r="I122" s="227"/>
      <c r="J122" s="82">
        <v>6</v>
      </c>
      <c r="K122" s="331">
        <v>349</v>
      </c>
      <c r="L122" s="83">
        <v>-343</v>
      </c>
      <c r="M122" s="84">
        <v>-2176.2664</v>
      </c>
      <c r="N122" s="85"/>
    </row>
    <row r="123" spans="2:14" ht="20.100000000000001" customHeight="1">
      <c r="B123" s="79" t="s">
        <v>2451</v>
      </c>
      <c r="C123" s="80" t="s">
        <v>2452</v>
      </c>
      <c r="D123" s="81">
        <v>13.87</v>
      </c>
      <c r="E123" s="222">
        <v>294</v>
      </c>
      <c r="F123" s="186"/>
      <c r="G123" s="186"/>
      <c r="H123" s="308"/>
      <c r="I123" s="69"/>
      <c r="J123" s="82">
        <v>294</v>
      </c>
      <c r="K123" s="331">
        <v>295</v>
      </c>
      <c r="L123" s="83">
        <v>-1</v>
      </c>
      <c r="M123" s="84">
        <v>-13.869999999999891</v>
      </c>
      <c r="N123" s="85"/>
    </row>
    <row r="124" spans="2:14" ht="20.100000000000001" customHeight="1">
      <c r="B124" s="79" t="s">
        <v>2453</v>
      </c>
      <c r="C124" s="80" t="s">
        <v>2454</v>
      </c>
      <c r="D124" s="81">
        <v>6.12</v>
      </c>
      <c r="E124" s="222">
        <v>343</v>
      </c>
      <c r="F124" s="186"/>
      <c r="G124" s="186"/>
      <c r="H124" s="308"/>
      <c r="I124" s="227">
        <v>24</v>
      </c>
      <c r="J124" s="82">
        <v>319</v>
      </c>
      <c r="K124" s="331">
        <v>369</v>
      </c>
      <c r="L124" s="83">
        <v>-50</v>
      </c>
      <c r="M124" s="84">
        <v>-306.00000000000023</v>
      </c>
      <c r="N124" s="85"/>
    </row>
    <row r="125" spans="2:14" ht="20.100000000000001" customHeight="1">
      <c r="B125" s="79" t="s">
        <v>2455</v>
      </c>
      <c r="C125" s="80" t="s">
        <v>2456</v>
      </c>
      <c r="D125" s="81">
        <v>150.43</v>
      </c>
      <c r="E125" s="222">
        <v>7</v>
      </c>
      <c r="F125" s="186"/>
      <c r="G125" s="186"/>
      <c r="H125" s="308"/>
      <c r="I125" s="227"/>
      <c r="J125" s="82">
        <v>7</v>
      </c>
      <c r="K125" s="331">
        <v>8</v>
      </c>
      <c r="L125" s="83">
        <v>-1</v>
      </c>
      <c r="M125" s="84">
        <v>-150.43000000000006</v>
      </c>
      <c r="N125" s="85"/>
    </row>
    <row r="126" spans="2:14" ht="20.100000000000001" customHeight="1">
      <c r="B126" s="79" t="s">
        <v>2459</v>
      </c>
      <c r="C126" s="80" t="s">
        <v>2460</v>
      </c>
      <c r="D126" s="81">
        <v>15.25</v>
      </c>
      <c r="E126" s="222">
        <v>551</v>
      </c>
      <c r="F126" s="186"/>
      <c r="G126" s="186"/>
      <c r="H126" s="308"/>
      <c r="I126" s="227">
        <v>18</v>
      </c>
      <c r="J126" s="82">
        <v>533</v>
      </c>
      <c r="K126" s="331">
        <v>553</v>
      </c>
      <c r="L126" s="83">
        <v>-20</v>
      </c>
      <c r="M126" s="84">
        <v>-305</v>
      </c>
      <c r="N126" s="85"/>
    </row>
    <row r="127" spans="2:14" ht="20.100000000000001" customHeight="1">
      <c r="B127" s="79" t="s">
        <v>2482</v>
      </c>
      <c r="C127" s="80" t="s">
        <v>2483</v>
      </c>
      <c r="D127" s="81">
        <v>350.45</v>
      </c>
      <c r="E127" s="222">
        <v>10</v>
      </c>
      <c r="F127" s="186"/>
      <c r="G127" s="186"/>
      <c r="H127" s="308"/>
      <c r="I127" s="227">
        <v>1</v>
      </c>
      <c r="J127" s="82">
        <v>9</v>
      </c>
      <c r="K127" s="331">
        <v>10</v>
      </c>
      <c r="L127" s="83">
        <v>-1</v>
      </c>
      <c r="M127" s="84">
        <v>-350.45000000000027</v>
      </c>
      <c r="N127" s="85"/>
    </row>
    <row r="128" spans="2:14" ht="20.100000000000001" customHeight="1">
      <c r="B128" s="79" t="s">
        <v>2548</v>
      </c>
      <c r="C128" s="80" t="s">
        <v>2549</v>
      </c>
      <c r="D128" s="81">
        <v>21.96</v>
      </c>
      <c r="E128" s="222">
        <v>5</v>
      </c>
      <c r="F128" s="186"/>
      <c r="G128" s="186"/>
      <c r="H128" s="308"/>
      <c r="I128" s="227"/>
      <c r="J128" s="82">
        <v>5</v>
      </c>
      <c r="K128" s="331">
        <v>8</v>
      </c>
      <c r="L128" s="83">
        <v>-3</v>
      </c>
      <c r="M128" s="84">
        <v>-65.88</v>
      </c>
      <c r="N128" s="85"/>
    </row>
    <row r="129" spans="2:14" ht="20.100000000000001" customHeight="1">
      <c r="B129" s="79" t="s">
        <v>2569</v>
      </c>
      <c r="C129" s="80" t="s">
        <v>2570</v>
      </c>
      <c r="D129" s="81">
        <v>27.45</v>
      </c>
      <c r="E129" s="222"/>
      <c r="F129" s="186"/>
      <c r="G129" s="186"/>
      <c r="H129" s="308"/>
      <c r="I129" s="227"/>
      <c r="J129" s="82">
        <v>0</v>
      </c>
      <c r="K129" s="331">
        <v>7</v>
      </c>
      <c r="L129" s="83">
        <v>-7</v>
      </c>
      <c r="M129" s="84">
        <v>-192.15</v>
      </c>
      <c r="N129" s="85"/>
    </row>
    <row r="130" spans="2:14" ht="20.100000000000001" customHeight="1">
      <c r="B130" s="79" t="s">
        <v>2575</v>
      </c>
      <c r="C130" s="80" t="s">
        <v>2576</v>
      </c>
      <c r="D130" s="81">
        <v>11.17</v>
      </c>
      <c r="E130" s="222">
        <v>2</v>
      </c>
      <c r="F130" s="186"/>
      <c r="G130" s="186"/>
      <c r="H130" s="308"/>
      <c r="I130" s="227"/>
      <c r="J130" s="82">
        <v>2</v>
      </c>
      <c r="K130" s="331">
        <v>54</v>
      </c>
      <c r="L130" s="83">
        <v>-52</v>
      </c>
      <c r="M130" s="84">
        <v>-580.83999999999992</v>
      </c>
      <c r="N130" s="85"/>
    </row>
    <row r="131" spans="2:14" ht="20.100000000000001" customHeight="1">
      <c r="B131" s="79" t="s">
        <v>2589</v>
      </c>
      <c r="C131" s="80" t="s">
        <v>2590</v>
      </c>
      <c r="D131" s="81">
        <v>5.41</v>
      </c>
      <c r="E131" s="222"/>
      <c r="F131" s="186"/>
      <c r="G131" s="186"/>
      <c r="H131" s="308"/>
      <c r="I131" s="227"/>
      <c r="J131" s="82">
        <v>0</v>
      </c>
      <c r="K131" s="331">
        <v>708</v>
      </c>
      <c r="L131" s="83">
        <v>-708</v>
      </c>
      <c r="M131" s="84">
        <v>-3830.28</v>
      </c>
      <c r="N131" s="85"/>
    </row>
    <row r="132" spans="2:14" ht="20.100000000000001" customHeight="1">
      <c r="B132" s="79" t="s">
        <v>2597</v>
      </c>
      <c r="C132" s="80" t="s">
        <v>2598</v>
      </c>
      <c r="D132" s="81">
        <v>5.41</v>
      </c>
      <c r="E132" s="222">
        <v>199</v>
      </c>
      <c r="F132" s="186"/>
      <c r="G132" s="186"/>
      <c r="H132" s="308"/>
      <c r="I132" s="227"/>
      <c r="J132" s="82">
        <v>199</v>
      </c>
      <c r="K132" s="331">
        <v>205</v>
      </c>
      <c r="L132" s="83">
        <v>-6</v>
      </c>
      <c r="M132" s="84">
        <v>-32.460000000000036</v>
      </c>
      <c r="N132" s="85"/>
    </row>
    <row r="133" spans="2:14" ht="20.100000000000001" customHeight="1">
      <c r="B133" s="79" t="s">
        <v>2607</v>
      </c>
      <c r="C133" s="80" t="s">
        <v>2608</v>
      </c>
      <c r="D133" s="81">
        <v>6.37</v>
      </c>
      <c r="E133" s="222">
        <v>690</v>
      </c>
      <c r="F133" s="186"/>
      <c r="G133" s="186"/>
      <c r="H133" s="308"/>
      <c r="I133" s="227">
        <v>41</v>
      </c>
      <c r="J133" s="82">
        <v>649</v>
      </c>
      <c r="K133" s="331">
        <v>659</v>
      </c>
      <c r="L133" s="83">
        <v>-10</v>
      </c>
      <c r="M133" s="84">
        <v>-63.699999999999818</v>
      </c>
      <c r="N133" s="232"/>
    </row>
    <row r="134" spans="2:14" ht="20.100000000000001" customHeight="1">
      <c r="B134" s="79" t="s">
        <v>2611</v>
      </c>
      <c r="C134" s="80" t="s">
        <v>2612</v>
      </c>
      <c r="D134" s="81">
        <v>6.37</v>
      </c>
      <c r="E134" s="222">
        <v>955</v>
      </c>
      <c r="F134" s="186"/>
      <c r="G134" s="186"/>
      <c r="H134" s="308"/>
      <c r="I134" s="227"/>
      <c r="J134" s="82">
        <v>955</v>
      </c>
      <c r="K134" s="331">
        <v>988</v>
      </c>
      <c r="L134" s="83">
        <v>-33</v>
      </c>
      <c r="M134" s="84">
        <v>-210.21000000000004</v>
      </c>
      <c r="N134" s="232"/>
    </row>
    <row r="135" spans="2:14" ht="20.100000000000001" customHeight="1">
      <c r="B135" s="79" t="s">
        <v>2633</v>
      </c>
      <c r="C135" s="80" t="s">
        <v>2634</v>
      </c>
      <c r="D135" s="81">
        <v>14.43</v>
      </c>
      <c r="E135" s="222">
        <v>154</v>
      </c>
      <c r="F135" s="186"/>
      <c r="G135" s="186"/>
      <c r="H135" s="308"/>
      <c r="I135" s="227">
        <v>5</v>
      </c>
      <c r="J135" s="82">
        <v>149</v>
      </c>
      <c r="K135" s="331">
        <v>150</v>
      </c>
      <c r="L135" s="83">
        <v>-1</v>
      </c>
      <c r="M135" s="84">
        <v>-14.429999999999836</v>
      </c>
      <c r="N135" s="85"/>
    </row>
    <row r="136" spans="2:14" ht="20.100000000000001" customHeight="1">
      <c r="B136" s="79" t="s">
        <v>2652</v>
      </c>
      <c r="C136" s="80" t="s">
        <v>2653</v>
      </c>
      <c r="D136" s="81">
        <v>5.67</v>
      </c>
      <c r="E136" s="222">
        <v>372</v>
      </c>
      <c r="F136" s="186"/>
      <c r="G136" s="186"/>
      <c r="H136" s="308"/>
      <c r="I136" s="227"/>
      <c r="J136" s="82">
        <v>372</v>
      </c>
      <c r="K136" s="331">
        <v>386</v>
      </c>
      <c r="L136" s="83">
        <v>-14</v>
      </c>
      <c r="M136" s="84">
        <v>-79.380000000000109</v>
      </c>
      <c r="N136" s="85"/>
    </row>
    <row r="137" spans="2:14" ht="20.100000000000001" customHeight="1">
      <c r="B137" s="79" t="s">
        <v>2656</v>
      </c>
      <c r="C137" s="80" t="s">
        <v>2657</v>
      </c>
      <c r="D137" s="81">
        <v>5</v>
      </c>
      <c r="E137" s="222">
        <v>130</v>
      </c>
      <c r="F137" s="186"/>
      <c r="G137" s="186"/>
      <c r="H137" s="308"/>
      <c r="I137" s="227"/>
      <c r="J137" s="82">
        <v>130</v>
      </c>
      <c r="K137" s="331">
        <v>131</v>
      </c>
      <c r="L137" s="83">
        <v>-1</v>
      </c>
      <c r="M137" s="84">
        <v>-5</v>
      </c>
      <c r="N137" s="85"/>
    </row>
    <row r="138" spans="2:14" ht="20.100000000000001" customHeight="1">
      <c r="B138" s="79" t="s">
        <v>2670</v>
      </c>
      <c r="C138" s="80" t="s">
        <v>2671</v>
      </c>
      <c r="D138" s="81">
        <v>15.15</v>
      </c>
      <c r="E138" s="222">
        <v>54</v>
      </c>
      <c r="F138" s="186"/>
      <c r="G138" s="186"/>
      <c r="H138" s="308"/>
      <c r="I138" s="227"/>
      <c r="J138" s="82">
        <v>54</v>
      </c>
      <c r="K138" s="331">
        <v>55</v>
      </c>
      <c r="L138" s="83">
        <v>-1</v>
      </c>
      <c r="M138" s="84">
        <v>-15.149999999999977</v>
      </c>
      <c r="N138" s="232"/>
    </row>
    <row r="139" spans="2:14" ht="20.100000000000001" customHeight="1">
      <c r="B139" s="79" t="s">
        <v>2705</v>
      </c>
      <c r="C139" s="80" t="s">
        <v>2706</v>
      </c>
      <c r="D139" s="81">
        <v>140</v>
      </c>
      <c r="E139" s="222"/>
      <c r="F139" s="186"/>
      <c r="G139" s="186"/>
      <c r="H139" s="308"/>
      <c r="I139" s="227"/>
      <c r="J139" s="82">
        <v>0</v>
      </c>
      <c r="K139" s="331">
        <v>2</v>
      </c>
      <c r="L139" s="83">
        <v>-2</v>
      </c>
      <c r="M139" s="84">
        <v>-280</v>
      </c>
      <c r="N139" s="85"/>
    </row>
    <row r="140" spans="2:14" ht="20.100000000000001" customHeight="1">
      <c r="B140" s="79" t="s">
        <v>2709</v>
      </c>
      <c r="C140" s="80" t="s">
        <v>2710</v>
      </c>
      <c r="D140" s="81">
        <v>160</v>
      </c>
      <c r="E140" s="222"/>
      <c r="F140" s="186"/>
      <c r="G140" s="186"/>
      <c r="H140" s="308"/>
      <c r="I140" s="227"/>
      <c r="J140" s="82">
        <v>0</v>
      </c>
      <c r="K140" s="331">
        <v>1</v>
      </c>
      <c r="L140" s="83">
        <v>-1</v>
      </c>
      <c r="M140" s="84">
        <v>-160</v>
      </c>
      <c r="N140" s="85"/>
    </row>
    <row r="141" spans="2:14" ht="20.100000000000001" customHeight="1">
      <c r="B141" s="79" t="s">
        <v>2737</v>
      </c>
      <c r="C141" s="80" t="s">
        <v>2738</v>
      </c>
      <c r="D141" s="81">
        <v>224</v>
      </c>
      <c r="E141" s="222">
        <v>2</v>
      </c>
      <c r="F141" s="186"/>
      <c r="G141" s="186"/>
      <c r="H141" s="308"/>
      <c r="I141" s="227"/>
      <c r="J141" s="82">
        <v>2</v>
      </c>
      <c r="K141" s="331">
        <v>3</v>
      </c>
      <c r="L141" s="83">
        <v>-1</v>
      </c>
      <c r="M141" s="84">
        <v>-224</v>
      </c>
      <c r="N141" s="85"/>
    </row>
    <row r="142" spans="2:14" ht="20.100000000000001" customHeight="1">
      <c r="B142" s="79" t="s">
        <v>2741</v>
      </c>
      <c r="C142" s="80" t="s">
        <v>2742</v>
      </c>
      <c r="D142" s="81">
        <v>224</v>
      </c>
      <c r="E142" s="222"/>
      <c r="F142" s="186"/>
      <c r="G142" s="186"/>
      <c r="H142" s="308"/>
      <c r="I142" s="227"/>
      <c r="J142" s="82">
        <v>0</v>
      </c>
      <c r="K142" s="331">
        <v>1</v>
      </c>
      <c r="L142" s="83">
        <v>-1</v>
      </c>
      <c r="M142" s="84">
        <v>-224</v>
      </c>
      <c r="N142" s="85"/>
    </row>
    <row r="143" spans="2:14" ht="20.100000000000001" customHeight="1">
      <c r="B143" s="79" t="s">
        <v>2743</v>
      </c>
      <c r="C143" s="80" t="s">
        <v>2744</v>
      </c>
      <c r="D143" s="81">
        <v>224</v>
      </c>
      <c r="E143" s="222">
        <v>1</v>
      </c>
      <c r="F143" s="186"/>
      <c r="G143" s="186"/>
      <c r="H143" s="308"/>
      <c r="I143" s="227"/>
      <c r="J143" s="82">
        <v>1</v>
      </c>
      <c r="K143" s="331">
        <v>3</v>
      </c>
      <c r="L143" s="83">
        <v>-2</v>
      </c>
      <c r="M143" s="84">
        <v>-448</v>
      </c>
      <c r="N143" s="85"/>
    </row>
    <row r="144" spans="2:14" ht="20.100000000000001" customHeight="1">
      <c r="B144" s="79" t="s">
        <v>2745</v>
      </c>
      <c r="C144" s="80" t="s">
        <v>2746</v>
      </c>
      <c r="D144" s="81">
        <v>224</v>
      </c>
      <c r="E144" s="222">
        <v>2</v>
      </c>
      <c r="F144" s="186"/>
      <c r="G144" s="186"/>
      <c r="H144" s="308"/>
      <c r="I144" s="227"/>
      <c r="J144" s="82">
        <v>2</v>
      </c>
      <c r="K144" s="331">
        <v>3</v>
      </c>
      <c r="L144" s="83">
        <v>-1</v>
      </c>
      <c r="M144" s="84">
        <v>-224</v>
      </c>
      <c r="N144" s="85"/>
    </row>
    <row r="145" spans="2:14" ht="20.100000000000001" customHeight="1">
      <c r="B145" s="79" t="s">
        <v>2747</v>
      </c>
      <c r="C145" s="80" t="s">
        <v>2748</v>
      </c>
      <c r="D145" s="81">
        <v>224</v>
      </c>
      <c r="E145" s="222">
        <v>1</v>
      </c>
      <c r="F145" s="186"/>
      <c r="G145" s="186"/>
      <c r="H145" s="308"/>
      <c r="I145" s="227"/>
      <c r="J145" s="82">
        <v>1</v>
      </c>
      <c r="K145" s="331">
        <v>2</v>
      </c>
      <c r="L145" s="83">
        <v>-1</v>
      </c>
      <c r="M145" s="84">
        <v>-224</v>
      </c>
      <c r="N145" s="85"/>
    </row>
    <row r="146" spans="2:14" ht="20.100000000000001" customHeight="1">
      <c r="B146" s="79" t="s">
        <v>2749</v>
      </c>
      <c r="C146" s="80" t="s">
        <v>2750</v>
      </c>
      <c r="D146" s="81">
        <v>224</v>
      </c>
      <c r="E146" s="222"/>
      <c r="F146" s="186"/>
      <c r="G146" s="186"/>
      <c r="H146" s="308"/>
      <c r="I146" s="227"/>
      <c r="J146" s="82">
        <v>0</v>
      </c>
      <c r="K146" s="331">
        <v>2</v>
      </c>
      <c r="L146" s="83">
        <v>-2</v>
      </c>
      <c r="M146" s="84">
        <v>-448</v>
      </c>
      <c r="N146" s="85"/>
    </row>
    <row r="147" spans="2:14" ht="20.100000000000001" customHeight="1">
      <c r="B147" s="79" t="s">
        <v>2751</v>
      </c>
      <c r="C147" s="80" t="s">
        <v>2752</v>
      </c>
      <c r="D147" s="81">
        <v>224</v>
      </c>
      <c r="E147" s="222">
        <v>2</v>
      </c>
      <c r="F147" s="186"/>
      <c r="G147" s="186"/>
      <c r="H147" s="308"/>
      <c r="I147" s="227"/>
      <c r="J147" s="82">
        <v>2</v>
      </c>
      <c r="K147" s="331">
        <v>3</v>
      </c>
      <c r="L147" s="83">
        <v>-1</v>
      </c>
      <c r="M147" s="84">
        <v>-224</v>
      </c>
      <c r="N147" s="85"/>
    </row>
    <row r="148" spans="2:14" ht="20.100000000000001" customHeight="1">
      <c r="B148" s="79" t="s">
        <v>2753</v>
      </c>
      <c r="C148" s="80" t="s">
        <v>2754</v>
      </c>
      <c r="D148" s="81">
        <v>224</v>
      </c>
      <c r="E148" s="222"/>
      <c r="F148" s="186"/>
      <c r="G148" s="186"/>
      <c r="H148" s="308"/>
      <c r="I148" s="227"/>
      <c r="J148" s="82">
        <v>0</v>
      </c>
      <c r="K148" s="331">
        <v>2</v>
      </c>
      <c r="L148" s="83">
        <v>-2</v>
      </c>
      <c r="M148" s="84">
        <v>-448</v>
      </c>
      <c r="N148" s="85"/>
    </row>
    <row r="149" spans="2:14" ht="20.100000000000001" customHeight="1">
      <c r="B149" s="79" t="s">
        <v>2759</v>
      </c>
      <c r="C149" s="80" t="s">
        <v>2760</v>
      </c>
      <c r="D149" s="81">
        <v>203</v>
      </c>
      <c r="E149" s="222">
        <v>1</v>
      </c>
      <c r="F149" s="186"/>
      <c r="G149" s="186"/>
      <c r="H149" s="308"/>
      <c r="I149" s="227">
        <v>1</v>
      </c>
      <c r="J149" s="82">
        <v>0</v>
      </c>
      <c r="K149" s="331">
        <v>2</v>
      </c>
      <c r="L149" s="83">
        <v>-2</v>
      </c>
      <c r="M149" s="84">
        <v>-406</v>
      </c>
      <c r="N149" s="85"/>
    </row>
    <row r="150" spans="2:14" ht="20.100000000000001" customHeight="1">
      <c r="B150" s="79" t="s">
        <v>2761</v>
      </c>
      <c r="C150" s="80" t="s">
        <v>2762</v>
      </c>
      <c r="D150" s="81">
        <v>210</v>
      </c>
      <c r="E150" s="222"/>
      <c r="F150" s="186"/>
      <c r="G150" s="186"/>
      <c r="H150" s="308"/>
      <c r="I150" s="227"/>
      <c r="J150" s="82">
        <v>0</v>
      </c>
      <c r="K150" s="331">
        <v>1</v>
      </c>
      <c r="L150" s="83">
        <v>-1</v>
      </c>
      <c r="M150" s="84">
        <v>-210</v>
      </c>
      <c r="N150" s="85"/>
    </row>
    <row r="151" spans="2:14" ht="20.100000000000001" customHeight="1">
      <c r="B151" s="79" t="s">
        <v>2765</v>
      </c>
      <c r="C151" s="80" t="s">
        <v>2766</v>
      </c>
      <c r="D151" s="81">
        <v>112</v>
      </c>
      <c r="E151" s="222">
        <v>2</v>
      </c>
      <c r="F151" s="186"/>
      <c r="G151" s="186"/>
      <c r="H151" s="308"/>
      <c r="I151" s="227"/>
      <c r="J151" s="82">
        <v>2</v>
      </c>
      <c r="K151" s="331">
        <v>3</v>
      </c>
      <c r="L151" s="83">
        <v>-1</v>
      </c>
      <c r="M151" s="84">
        <v>-112</v>
      </c>
      <c r="N151" s="85"/>
    </row>
    <row r="152" spans="2:14" ht="20.100000000000001" customHeight="1">
      <c r="B152" s="79" t="s">
        <v>2940</v>
      </c>
      <c r="C152" s="80" t="s">
        <v>2941</v>
      </c>
      <c r="D152" s="81">
        <v>130</v>
      </c>
      <c r="E152" s="222"/>
      <c r="F152" s="186"/>
      <c r="G152" s="186"/>
      <c r="H152" s="308"/>
      <c r="I152" s="227"/>
      <c r="J152" s="82">
        <v>0</v>
      </c>
      <c r="K152" s="331">
        <v>1</v>
      </c>
      <c r="L152" s="83">
        <v>-1</v>
      </c>
      <c r="M152" s="84">
        <v>-130</v>
      </c>
      <c r="N152" s="85"/>
    </row>
    <row r="153" spans="2:14" ht="20.100000000000001" customHeight="1">
      <c r="B153" s="79" t="s">
        <v>3052</v>
      </c>
      <c r="C153" s="80" t="s">
        <v>3053</v>
      </c>
      <c r="D153" s="81">
        <v>37.869999999999997</v>
      </c>
      <c r="E153" s="222">
        <v>30</v>
      </c>
      <c r="F153" s="186"/>
      <c r="G153" s="186"/>
      <c r="H153" s="308"/>
      <c r="I153" s="227"/>
      <c r="J153" s="82">
        <v>30</v>
      </c>
      <c r="K153" s="331">
        <v>31</v>
      </c>
      <c r="L153" s="83">
        <v>-1</v>
      </c>
      <c r="M153" s="84">
        <v>-37.870000000000118</v>
      </c>
      <c r="N153" s="85"/>
    </row>
    <row r="154" spans="2:14" ht="20.100000000000001" customHeight="1">
      <c r="B154" s="79" t="s">
        <v>3080</v>
      </c>
      <c r="C154" s="80" t="s">
        <v>3081</v>
      </c>
      <c r="D154" s="81">
        <v>20.399999999999999</v>
      </c>
      <c r="E154" s="222">
        <v>34</v>
      </c>
      <c r="F154" s="186"/>
      <c r="G154" s="186"/>
      <c r="H154" s="308"/>
      <c r="I154" s="227">
        <v>8</v>
      </c>
      <c r="J154" s="82">
        <v>26</v>
      </c>
      <c r="K154" s="331">
        <v>34</v>
      </c>
      <c r="L154" s="83">
        <v>-8</v>
      </c>
      <c r="M154" s="84">
        <v>-163.19999999999993</v>
      </c>
      <c r="N154" s="85"/>
    </row>
    <row r="155" spans="2:14" ht="20.100000000000001" customHeight="1">
      <c r="B155" s="79" t="s">
        <v>3082</v>
      </c>
      <c r="C155" s="80" t="s">
        <v>3083</v>
      </c>
      <c r="D155" s="81">
        <v>20.399999999999999</v>
      </c>
      <c r="E155" s="222">
        <v>54</v>
      </c>
      <c r="F155" s="186"/>
      <c r="G155" s="186"/>
      <c r="H155" s="308"/>
      <c r="I155" s="227">
        <v>5</v>
      </c>
      <c r="J155" s="82">
        <v>49</v>
      </c>
      <c r="K155" s="331">
        <v>57</v>
      </c>
      <c r="L155" s="83">
        <v>-8</v>
      </c>
      <c r="M155" s="84">
        <v>-163.20000000000005</v>
      </c>
      <c r="N155" s="85"/>
    </row>
    <row r="156" spans="2:14" ht="20.100000000000001" customHeight="1">
      <c r="B156" s="79" t="s">
        <v>3084</v>
      </c>
      <c r="C156" s="80" t="s">
        <v>3085</v>
      </c>
      <c r="D156" s="315">
        <v>27.85</v>
      </c>
      <c r="E156" s="222">
        <v>27</v>
      </c>
      <c r="F156" s="186"/>
      <c r="G156" s="186"/>
      <c r="H156" s="308"/>
      <c r="I156" s="227">
        <v>18</v>
      </c>
      <c r="J156" s="82">
        <v>9</v>
      </c>
      <c r="K156" s="331">
        <v>24</v>
      </c>
      <c r="L156" s="83">
        <v>-15</v>
      </c>
      <c r="M156" s="84">
        <v>-417.75000000000011</v>
      </c>
      <c r="N156" s="85"/>
    </row>
    <row r="157" spans="2:14" ht="20.100000000000001" customHeight="1">
      <c r="B157" s="79" t="s">
        <v>3096</v>
      </c>
      <c r="C157" s="80" t="s">
        <v>3097</v>
      </c>
      <c r="D157" s="81">
        <v>18.2</v>
      </c>
      <c r="E157" s="222">
        <v>5</v>
      </c>
      <c r="F157" s="186"/>
      <c r="G157" s="186"/>
      <c r="H157" s="308"/>
      <c r="I157" s="227"/>
      <c r="J157" s="82">
        <v>5</v>
      </c>
      <c r="K157" s="331">
        <v>9</v>
      </c>
      <c r="L157" s="83">
        <v>-4</v>
      </c>
      <c r="M157" s="84">
        <v>-72.799999999999983</v>
      </c>
      <c r="N157" s="85"/>
    </row>
    <row r="158" spans="2:14" ht="20.100000000000001" customHeight="1">
      <c r="B158" s="79" t="s">
        <v>3126</v>
      </c>
      <c r="C158" s="80" t="s">
        <v>3127</v>
      </c>
      <c r="D158" s="81">
        <v>140.9</v>
      </c>
      <c r="E158" s="222"/>
      <c r="F158" s="186"/>
      <c r="G158" s="186"/>
      <c r="H158" s="308"/>
      <c r="I158" s="227"/>
      <c r="J158" s="82">
        <v>0</v>
      </c>
      <c r="K158" s="331">
        <v>1</v>
      </c>
      <c r="L158" s="83">
        <v>-1</v>
      </c>
      <c r="M158" s="84">
        <v>-140.9</v>
      </c>
      <c r="N158" s="85"/>
    </row>
    <row r="159" spans="2:14" ht="20.100000000000001" customHeight="1">
      <c r="B159" s="79" t="s">
        <v>3128</v>
      </c>
      <c r="C159" s="80" t="s">
        <v>3129</v>
      </c>
      <c r="D159" s="81">
        <v>250</v>
      </c>
      <c r="E159" s="222"/>
      <c r="F159" s="186"/>
      <c r="G159" s="186"/>
      <c r="H159" s="308"/>
      <c r="I159" s="227"/>
      <c r="J159" s="82">
        <v>0</v>
      </c>
      <c r="K159" s="331">
        <v>1</v>
      </c>
      <c r="L159" s="83">
        <v>-1</v>
      </c>
      <c r="M159" s="84">
        <v>-250</v>
      </c>
      <c r="N159" s="85"/>
    </row>
    <row r="160" spans="2:14" ht="20.100000000000001" customHeight="1">
      <c r="B160" s="79" t="s">
        <v>3145</v>
      </c>
      <c r="C160" s="80" t="s">
        <v>3146</v>
      </c>
      <c r="D160" s="81">
        <v>49.75</v>
      </c>
      <c r="E160" s="222">
        <v>36</v>
      </c>
      <c r="F160" s="186"/>
      <c r="G160" s="186"/>
      <c r="H160" s="308"/>
      <c r="I160" s="227">
        <v>1</v>
      </c>
      <c r="J160" s="82">
        <v>35</v>
      </c>
      <c r="K160" s="331">
        <v>586</v>
      </c>
      <c r="L160" s="83">
        <v>-551</v>
      </c>
      <c r="M160" s="84">
        <v>-27412.25</v>
      </c>
      <c r="N160" s="85"/>
    </row>
    <row r="161" spans="2:14" ht="20.100000000000001" customHeight="1">
      <c r="B161" s="173" t="s">
        <v>3165</v>
      </c>
      <c r="C161" s="174" t="s">
        <v>3166</v>
      </c>
      <c r="D161" s="81">
        <v>31.71</v>
      </c>
      <c r="E161" s="222"/>
      <c r="F161" s="186"/>
      <c r="G161" s="186"/>
      <c r="H161" s="308"/>
      <c r="I161" s="227"/>
      <c r="J161" s="82">
        <v>0</v>
      </c>
      <c r="K161" s="331">
        <v>7</v>
      </c>
      <c r="L161" s="83">
        <v>-7</v>
      </c>
      <c r="M161" s="84">
        <v>-221.97</v>
      </c>
      <c r="N161" s="85" t="s">
        <v>3167</v>
      </c>
    </row>
    <row r="162" spans="2:14" ht="20.100000000000001" customHeight="1">
      <c r="B162" s="79" t="s">
        <v>3220</v>
      </c>
      <c r="C162" s="80" t="s">
        <v>3221</v>
      </c>
      <c r="D162" s="81">
        <v>22.73</v>
      </c>
      <c r="E162" s="222">
        <v>20</v>
      </c>
      <c r="F162" s="186"/>
      <c r="G162" s="186"/>
      <c r="H162" s="308"/>
      <c r="I162" s="227">
        <v>2</v>
      </c>
      <c r="J162" s="82">
        <v>18</v>
      </c>
      <c r="K162" s="331">
        <v>22</v>
      </c>
      <c r="L162" s="83">
        <v>-4</v>
      </c>
      <c r="M162" s="84">
        <v>-90.920000000000016</v>
      </c>
      <c r="N162" s="85"/>
    </row>
    <row r="163" spans="2:14" ht="20.100000000000001" customHeight="1">
      <c r="B163" s="79" t="s">
        <v>3231</v>
      </c>
      <c r="C163" s="80" t="s">
        <v>3232</v>
      </c>
      <c r="D163" s="81">
        <v>28.25</v>
      </c>
      <c r="E163" s="222"/>
      <c r="F163" s="186"/>
      <c r="G163" s="186"/>
      <c r="H163" s="308"/>
      <c r="I163" s="227"/>
      <c r="J163" s="82">
        <v>0</v>
      </c>
      <c r="K163" s="331">
        <v>18</v>
      </c>
      <c r="L163" s="83">
        <v>-18</v>
      </c>
      <c r="M163" s="84">
        <v>-508.5</v>
      </c>
      <c r="N163" s="85"/>
    </row>
    <row r="164" spans="2:14" ht="20.100000000000001" customHeight="1">
      <c r="B164" s="79" t="s">
        <v>3231</v>
      </c>
      <c r="C164" s="80" t="s">
        <v>3232</v>
      </c>
      <c r="D164" s="81">
        <v>28.25</v>
      </c>
      <c r="E164" s="222">
        <v>51</v>
      </c>
      <c r="F164" s="186"/>
      <c r="G164" s="186"/>
      <c r="H164" s="308"/>
      <c r="I164" s="227"/>
      <c r="J164" s="82">
        <v>51</v>
      </c>
      <c r="K164" s="331">
        <v>54</v>
      </c>
      <c r="L164" s="83">
        <v>-3</v>
      </c>
      <c r="M164" s="84">
        <v>-84.75</v>
      </c>
      <c r="N164" s="85"/>
    </row>
    <row r="165" spans="2:14" ht="20.100000000000001" customHeight="1">
      <c r="B165" s="79" t="s">
        <v>3233</v>
      </c>
      <c r="C165" s="80" t="s">
        <v>3234</v>
      </c>
      <c r="D165" s="81">
        <v>30.79</v>
      </c>
      <c r="E165" s="222">
        <v>33</v>
      </c>
      <c r="F165" s="186"/>
      <c r="G165" s="186"/>
      <c r="H165" s="308"/>
      <c r="I165" s="227">
        <v>1</v>
      </c>
      <c r="J165" s="82">
        <v>32</v>
      </c>
      <c r="K165" s="331">
        <v>35</v>
      </c>
      <c r="L165" s="83">
        <v>-3</v>
      </c>
      <c r="M165" s="84">
        <v>-92.369999999999891</v>
      </c>
      <c r="N165" s="85"/>
    </row>
    <row r="166" spans="2:14" ht="20.100000000000001" customHeight="1">
      <c r="B166" s="79" t="s">
        <v>3245</v>
      </c>
      <c r="C166" s="80" t="s">
        <v>3246</v>
      </c>
      <c r="D166" s="81">
        <v>10.65</v>
      </c>
      <c r="E166" s="222"/>
      <c r="F166" s="186"/>
      <c r="G166" s="186"/>
      <c r="H166" s="308"/>
      <c r="I166" s="227"/>
      <c r="J166" s="82">
        <v>0</v>
      </c>
      <c r="K166" s="331">
        <v>2</v>
      </c>
      <c r="L166" s="83">
        <v>-2</v>
      </c>
      <c r="M166" s="84">
        <v>-21.3</v>
      </c>
      <c r="N166" s="85"/>
    </row>
    <row r="167" spans="2:14" ht="20.100000000000001" customHeight="1">
      <c r="B167" s="79" t="s">
        <v>3263</v>
      </c>
      <c r="C167" s="80" t="s">
        <v>3264</v>
      </c>
      <c r="D167" s="81">
        <v>78</v>
      </c>
      <c r="E167" s="222"/>
      <c r="F167" s="186"/>
      <c r="G167" s="186"/>
      <c r="H167" s="308"/>
      <c r="I167" s="227"/>
      <c r="J167" s="82">
        <v>0</v>
      </c>
      <c r="K167" s="331">
        <v>5</v>
      </c>
      <c r="L167" s="83">
        <v>-5</v>
      </c>
      <c r="M167" s="84">
        <v>-390</v>
      </c>
      <c r="N167" s="85"/>
    </row>
    <row r="168" spans="2:14" ht="20.100000000000001" customHeight="1">
      <c r="B168" s="79" t="s">
        <v>3280</v>
      </c>
      <c r="C168" s="80" t="s">
        <v>3281</v>
      </c>
      <c r="D168" s="81">
        <v>75</v>
      </c>
      <c r="E168" s="222">
        <v>1</v>
      </c>
      <c r="F168" s="186"/>
      <c r="G168" s="186"/>
      <c r="H168" s="308"/>
      <c r="I168" s="227"/>
      <c r="J168" s="82">
        <v>1</v>
      </c>
      <c r="K168" s="331">
        <v>2</v>
      </c>
      <c r="L168" s="83">
        <v>-1</v>
      </c>
      <c r="M168" s="84">
        <v>-75</v>
      </c>
      <c r="N168" s="85"/>
    </row>
    <row r="169" spans="2:14" ht="20.100000000000001" customHeight="1">
      <c r="B169" s="79" t="s">
        <v>3284</v>
      </c>
      <c r="C169" s="80" t="s">
        <v>3285</v>
      </c>
      <c r="D169" s="81">
        <v>23.13</v>
      </c>
      <c r="E169" s="222">
        <v>7</v>
      </c>
      <c r="F169" s="186"/>
      <c r="G169" s="186"/>
      <c r="H169" s="308"/>
      <c r="I169" s="227">
        <v>2</v>
      </c>
      <c r="J169" s="82">
        <v>5</v>
      </c>
      <c r="K169" s="331">
        <v>6</v>
      </c>
      <c r="L169" s="83">
        <v>-1</v>
      </c>
      <c r="M169" s="84">
        <v>-23.13000000000001</v>
      </c>
      <c r="N169" s="232"/>
    </row>
    <row r="170" spans="2:14" ht="20.100000000000001" customHeight="1">
      <c r="B170" s="79" t="s">
        <v>3326</v>
      </c>
      <c r="C170" s="80" t="s">
        <v>3327</v>
      </c>
      <c r="D170" s="81">
        <v>66.89</v>
      </c>
      <c r="E170" s="222">
        <v>1</v>
      </c>
      <c r="F170" s="186"/>
      <c r="G170" s="186"/>
      <c r="H170" s="308"/>
      <c r="I170" s="227"/>
      <c r="J170" s="82">
        <v>1</v>
      </c>
      <c r="K170" s="331">
        <v>6</v>
      </c>
      <c r="L170" s="83">
        <v>-5</v>
      </c>
      <c r="M170" s="84">
        <v>-334.45000000000005</v>
      </c>
      <c r="N170" s="85"/>
    </row>
    <row r="171" spans="2:14" ht="20.100000000000001" customHeight="1">
      <c r="B171" s="79" t="s">
        <v>3334</v>
      </c>
      <c r="C171" s="80" t="s">
        <v>3335</v>
      </c>
      <c r="D171" s="81">
        <v>3.6</v>
      </c>
      <c r="E171" s="222"/>
      <c r="F171" s="186">
        <v>20</v>
      </c>
      <c r="G171" s="186"/>
      <c r="H171" s="308"/>
      <c r="I171" s="227">
        <v>15</v>
      </c>
      <c r="J171" s="82">
        <v>5</v>
      </c>
      <c r="K171" s="331">
        <v>10</v>
      </c>
      <c r="L171" s="83">
        <v>-5</v>
      </c>
      <c r="M171" s="84">
        <v>-18</v>
      </c>
      <c r="N171" s="85"/>
    </row>
    <row r="172" spans="2:14" ht="20.100000000000001" customHeight="1">
      <c r="B172" s="218" t="s">
        <v>3894</v>
      </c>
      <c r="C172" s="303" t="s">
        <v>4400</v>
      </c>
      <c r="D172" s="303">
        <v>5.61</v>
      </c>
      <c r="E172" s="222"/>
      <c r="F172" s="186">
        <v>12</v>
      </c>
      <c r="G172" s="186"/>
      <c r="H172" s="308"/>
      <c r="I172" s="227">
        <v>12</v>
      </c>
      <c r="J172" s="82">
        <v>0</v>
      </c>
      <c r="K172" s="331">
        <v>1</v>
      </c>
      <c r="L172" s="83">
        <v>-1</v>
      </c>
      <c r="M172" s="84">
        <v>-5.61</v>
      </c>
      <c r="N172" s="85"/>
    </row>
    <row r="173" spans="2:14" ht="20.100000000000001" customHeight="1">
      <c r="B173" s="79" t="s">
        <v>3350</v>
      </c>
      <c r="C173" s="80" t="s">
        <v>3351</v>
      </c>
      <c r="D173" s="81">
        <v>3.88</v>
      </c>
      <c r="E173" s="222"/>
      <c r="F173" s="186"/>
      <c r="G173" s="186"/>
      <c r="H173" s="308"/>
      <c r="I173" s="227"/>
      <c r="J173" s="82">
        <v>0</v>
      </c>
      <c r="K173" s="331">
        <v>2</v>
      </c>
      <c r="L173" s="83">
        <v>-2</v>
      </c>
      <c r="M173" s="84">
        <v>-7.76</v>
      </c>
      <c r="N173" s="85"/>
    </row>
    <row r="174" spans="2:14" ht="20.100000000000001" customHeight="1">
      <c r="B174" s="79" t="s">
        <v>3366</v>
      </c>
      <c r="C174" s="80" t="s">
        <v>3367</v>
      </c>
      <c r="D174" s="81">
        <v>0.74</v>
      </c>
      <c r="E174" s="222"/>
      <c r="F174" s="186"/>
      <c r="G174" s="186"/>
      <c r="H174" s="308"/>
      <c r="I174" s="227">
        <v>17</v>
      </c>
      <c r="J174" s="82">
        <v>-17</v>
      </c>
      <c r="K174" s="331"/>
      <c r="L174" s="83">
        <v>-17</v>
      </c>
      <c r="M174" s="84">
        <v>-12.58</v>
      </c>
      <c r="N174" s="85"/>
    </row>
    <row r="175" spans="2:14" ht="20.100000000000001" customHeight="1">
      <c r="B175" s="79" t="s">
        <v>3743</v>
      </c>
      <c r="C175" s="80" t="s">
        <v>3744</v>
      </c>
      <c r="D175" s="81">
        <v>0.76</v>
      </c>
      <c r="E175" s="222">
        <v>8</v>
      </c>
      <c r="F175" s="186"/>
      <c r="G175" s="186"/>
      <c r="H175" s="308"/>
      <c r="I175" s="227">
        <v>9</v>
      </c>
      <c r="J175" s="82">
        <v>-1</v>
      </c>
      <c r="K175" s="331"/>
      <c r="L175" s="83">
        <v>-1</v>
      </c>
      <c r="M175" s="84">
        <v>-0.76</v>
      </c>
      <c r="N175" s="85"/>
    </row>
    <row r="176" spans="2:14" ht="20.100000000000001" customHeight="1">
      <c r="B176" s="79" t="s">
        <v>3411</v>
      </c>
      <c r="C176" s="80" t="s">
        <v>3412</v>
      </c>
      <c r="D176" s="81">
        <v>6</v>
      </c>
      <c r="E176" s="222">
        <v>14</v>
      </c>
      <c r="F176" s="186"/>
      <c r="G176" s="186"/>
      <c r="H176" s="308"/>
      <c r="I176" s="227">
        <v>1</v>
      </c>
      <c r="J176" s="82">
        <v>13</v>
      </c>
      <c r="K176" s="331">
        <v>22</v>
      </c>
      <c r="L176" s="83">
        <v>-9</v>
      </c>
      <c r="M176" s="84">
        <v>-54</v>
      </c>
      <c r="N176" s="85"/>
    </row>
    <row r="177" spans="2:14" ht="20.100000000000001" customHeight="1">
      <c r="B177" s="79" t="s">
        <v>3433</v>
      </c>
      <c r="C177" s="80" t="s">
        <v>3434</v>
      </c>
      <c r="D177" s="81">
        <v>140</v>
      </c>
      <c r="E177" s="222">
        <v>8</v>
      </c>
      <c r="F177" s="186"/>
      <c r="G177" s="186"/>
      <c r="H177" s="308"/>
      <c r="I177" s="227"/>
      <c r="J177" s="82">
        <v>8</v>
      </c>
      <c r="K177" s="331">
        <v>9</v>
      </c>
      <c r="L177" s="83">
        <v>-1</v>
      </c>
      <c r="M177" s="84">
        <v>-140</v>
      </c>
      <c r="N177" s="85" t="s">
        <v>3435</v>
      </c>
    </row>
    <row r="178" spans="2:14" ht="20.100000000000001" customHeight="1">
      <c r="B178" s="69" t="s">
        <v>3870</v>
      </c>
      <c r="C178" s="96" t="s">
        <v>4147</v>
      </c>
      <c r="D178" s="123">
        <v>20000</v>
      </c>
      <c r="E178" s="222"/>
      <c r="F178" s="186"/>
      <c r="G178" s="295"/>
      <c r="H178" s="308"/>
      <c r="I178" s="227">
        <v>1</v>
      </c>
      <c r="J178" s="82">
        <v>-1</v>
      </c>
      <c r="K178" s="331"/>
      <c r="L178" s="83">
        <v>-1</v>
      </c>
      <c r="M178" s="84">
        <v>-20000</v>
      </c>
      <c r="N178" s="85"/>
    </row>
    <row r="179" spans="2:14" ht="20.100000000000001" customHeight="1">
      <c r="B179" s="219" t="s">
        <v>3862</v>
      </c>
      <c r="C179" s="322" t="s">
        <v>4836</v>
      </c>
      <c r="D179" s="267">
        <v>40</v>
      </c>
      <c r="E179" s="222"/>
      <c r="F179" s="186"/>
      <c r="G179" s="295">
        <v>6</v>
      </c>
      <c r="H179" s="308"/>
      <c r="I179" s="227">
        <v>2</v>
      </c>
      <c r="J179" s="82">
        <v>4</v>
      </c>
      <c r="K179" s="331">
        <v>6</v>
      </c>
      <c r="L179" s="83">
        <v>-2</v>
      </c>
      <c r="M179" s="84">
        <v>-80</v>
      </c>
      <c r="N179" s="85"/>
    </row>
    <row r="180" spans="2:14" ht="20.100000000000001" customHeight="1">
      <c r="B180" s="219" t="s">
        <v>3868</v>
      </c>
      <c r="C180" s="266" t="s">
        <v>4118</v>
      </c>
      <c r="D180" s="267">
        <v>190</v>
      </c>
      <c r="E180" s="222"/>
      <c r="F180" s="186"/>
      <c r="G180" s="295">
        <v>5</v>
      </c>
      <c r="H180" s="308"/>
      <c r="I180" s="227">
        <v>3</v>
      </c>
      <c r="J180" s="82">
        <v>2</v>
      </c>
      <c r="K180" s="331">
        <v>5</v>
      </c>
      <c r="L180" s="83">
        <v>-3</v>
      </c>
      <c r="M180" s="84">
        <v>-570</v>
      </c>
      <c r="N180" s="85"/>
    </row>
    <row r="181" spans="2:14" ht="20.100000000000001" customHeight="1">
      <c r="B181" s="219" t="s">
        <v>3859</v>
      </c>
      <c r="C181" s="266" t="s">
        <v>4108</v>
      </c>
      <c r="D181" s="267">
        <v>195</v>
      </c>
      <c r="E181" s="222"/>
      <c r="F181" s="186"/>
      <c r="G181" s="295">
        <v>5</v>
      </c>
      <c r="H181" s="308"/>
      <c r="I181" s="227">
        <v>4</v>
      </c>
      <c r="J181" s="82">
        <v>1</v>
      </c>
      <c r="K181" s="331">
        <v>4</v>
      </c>
      <c r="L181" s="83">
        <v>-3</v>
      </c>
      <c r="M181" s="84">
        <v>-585</v>
      </c>
      <c r="N181" s="85"/>
    </row>
    <row r="182" spans="2:14" ht="20.100000000000001" customHeight="1">
      <c r="B182" s="219" t="s">
        <v>3879</v>
      </c>
      <c r="C182" s="266" t="s">
        <v>4254</v>
      </c>
      <c r="D182" s="267">
        <v>280</v>
      </c>
      <c r="E182" s="222"/>
      <c r="F182" s="186"/>
      <c r="G182" s="295">
        <v>4</v>
      </c>
      <c r="H182" s="308"/>
      <c r="I182" s="227">
        <v>1</v>
      </c>
      <c r="J182" s="82">
        <v>3</v>
      </c>
      <c r="K182" s="331">
        <v>4</v>
      </c>
      <c r="L182" s="83">
        <v>-1</v>
      </c>
      <c r="M182" s="84">
        <v>-280</v>
      </c>
      <c r="N182" s="85"/>
    </row>
    <row r="183" spans="2:14" ht="20.100000000000001" customHeight="1">
      <c r="B183" s="219" t="s">
        <v>4768</v>
      </c>
      <c r="C183" s="266" t="s">
        <v>4713</v>
      </c>
      <c r="D183" s="267">
        <v>225</v>
      </c>
      <c r="E183" s="222"/>
      <c r="F183" s="186"/>
      <c r="G183" s="295">
        <v>2</v>
      </c>
      <c r="H183" s="308"/>
      <c r="I183" s="227"/>
      <c r="J183" s="82">
        <v>2</v>
      </c>
      <c r="K183" s="331">
        <v>4</v>
      </c>
      <c r="L183" s="83">
        <v>-2</v>
      </c>
      <c r="M183" s="84">
        <v>-450</v>
      </c>
      <c r="N183" s="85"/>
    </row>
    <row r="184" spans="2:14" ht="20.100000000000001" customHeight="1">
      <c r="B184" s="219" t="s">
        <v>4769</v>
      </c>
      <c r="C184" s="266" t="s">
        <v>4714</v>
      </c>
      <c r="D184" s="267">
        <v>350</v>
      </c>
      <c r="E184" s="222"/>
      <c r="F184" s="186"/>
      <c r="G184" s="295">
        <v>2</v>
      </c>
      <c r="H184" s="308"/>
      <c r="I184" s="227"/>
      <c r="J184" s="82">
        <v>2</v>
      </c>
      <c r="K184" s="331">
        <v>4</v>
      </c>
      <c r="L184" s="83">
        <v>-2</v>
      </c>
      <c r="M184" s="84">
        <v>-700</v>
      </c>
      <c r="N184" s="85"/>
    </row>
    <row r="185" spans="2:14" ht="20.100000000000001" customHeight="1">
      <c r="B185" s="79" t="s">
        <v>3476</v>
      </c>
      <c r="C185" s="80" t="s">
        <v>3477</v>
      </c>
      <c r="D185" s="81">
        <v>168</v>
      </c>
      <c r="E185" s="222">
        <v>5</v>
      </c>
      <c r="F185" s="186"/>
      <c r="G185" s="186"/>
      <c r="H185" s="308"/>
      <c r="I185" s="227"/>
      <c r="J185" s="82">
        <v>5</v>
      </c>
      <c r="K185" s="331">
        <v>12</v>
      </c>
      <c r="L185" s="83">
        <v>-7</v>
      </c>
      <c r="M185" s="84">
        <v>-1176</v>
      </c>
      <c r="N185" s="85"/>
    </row>
    <row r="186" spans="2:14" ht="20.100000000000001" customHeight="1">
      <c r="B186" s="79" t="s">
        <v>3484</v>
      </c>
      <c r="C186" s="80" t="s">
        <v>3485</v>
      </c>
      <c r="D186" s="81">
        <v>36</v>
      </c>
      <c r="E186" s="222"/>
      <c r="F186" s="186"/>
      <c r="G186" s="186"/>
      <c r="H186" s="308"/>
      <c r="I186" s="227"/>
      <c r="J186" s="82">
        <v>0</v>
      </c>
      <c r="K186" s="331">
        <v>27</v>
      </c>
      <c r="L186" s="83">
        <v>-27</v>
      </c>
      <c r="M186" s="84">
        <v>-972</v>
      </c>
      <c r="N186" s="85"/>
    </row>
    <row r="187" spans="2:14" ht="20.100000000000001" customHeight="1">
      <c r="B187" s="79" t="s">
        <v>3517</v>
      </c>
      <c r="C187" s="80" t="s">
        <v>3518</v>
      </c>
      <c r="D187" s="81">
        <v>13</v>
      </c>
      <c r="E187" s="222">
        <v>1</v>
      </c>
      <c r="F187" s="186"/>
      <c r="G187" s="186"/>
      <c r="H187" s="308"/>
      <c r="I187" s="227"/>
      <c r="J187" s="82">
        <v>1</v>
      </c>
      <c r="K187" s="331">
        <v>2</v>
      </c>
      <c r="L187" s="83">
        <v>-1</v>
      </c>
      <c r="M187" s="84">
        <v>-13</v>
      </c>
      <c r="N187" s="85"/>
    </row>
    <row r="188" spans="2:14" ht="20.100000000000001" customHeight="1">
      <c r="B188" s="95" t="s">
        <v>3557</v>
      </c>
      <c r="C188" s="80" t="s">
        <v>3558</v>
      </c>
      <c r="D188" s="81">
        <v>10</v>
      </c>
      <c r="E188" s="222"/>
      <c r="F188" s="186"/>
      <c r="G188" s="186"/>
      <c r="H188" s="308"/>
      <c r="I188" s="227"/>
      <c r="J188" s="82">
        <v>0</v>
      </c>
      <c r="K188" s="331">
        <v>1</v>
      </c>
      <c r="L188" s="83">
        <v>-1</v>
      </c>
      <c r="M188" s="84">
        <v>-10</v>
      </c>
      <c r="N188" s="85"/>
    </row>
    <row r="189" spans="2:14" ht="20.100000000000001" customHeight="1">
      <c r="B189" s="109" t="s">
        <v>3567</v>
      </c>
      <c r="C189" s="110" t="s">
        <v>3817</v>
      </c>
      <c r="D189" s="111">
        <v>5.64</v>
      </c>
      <c r="E189" s="222"/>
      <c r="F189" s="186"/>
      <c r="G189" s="186"/>
      <c r="H189" s="308"/>
      <c r="I189" s="227"/>
      <c r="J189" s="82">
        <v>0</v>
      </c>
      <c r="K189" s="331">
        <v>5</v>
      </c>
      <c r="L189" s="83">
        <v>-5</v>
      </c>
      <c r="M189" s="84">
        <v>-28.2</v>
      </c>
      <c r="N189" s="112"/>
    </row>
    <row r="190" spans="2:14" ht="20.100000000000001" customHeight="1">
      <c r="B190" s="113">
        <v>158925</v>
      </c>
      <c r="C190" s="114" t="s">
        <v>3575</v>
      </c>
      <c r="D190" s="115">
        <v>64.97</v>
      </c>
      <c r="E190" s="223">
        <v>1</v>
      </c>
      <c r="F190" s="229"/>
      <c r="G190" s="229"/>
      <c r="H190" s="310"/>
      <c r="I190" s="228"/>
      <c r="J190" s="82">
        <v>1</v>
      </c>
      <c r="K190" s="331">
        <v>2</v>
      </c>
      <c r="L190" s="83">
        <v>-1</v>
      </c>
      <c r="M190" s="84">
        <v>-64.97</v>
      </c>
      <c r="N190" s="112"/>
    </row>
    <row r="191" spans="2:14" ht="20.100000000000001" customHeight="1">
      <c r="B191" s="175" t="s">
        <v>3602</v>
      </c>
      <c r="C191" s="176" t="s">
        <v>3603</v>
      </c>
      <c r="D191" s="120">
        <v>0</v>
      </c>
      <c r="E191" s="223"/>
      <c r="F191" s="229"/>
      <c r="G191" s="229"/>
      <c r="H191" s="310"/>
      <c r="I191" s="228"/>
      <c r="J191" s="82">
        <v>0</v>
      </c>
      <c r="K191" s="331">
        <v>14</v>
      </c>
      <c r="L191" s="83">
        <v>-14</v>
      </c>
      <c r="M191" s="84">
        <v>0</v>
      </c>
      <c r="N191" s="121"/>
    </row>
    <row r="192" spans="2:14" ht="20.100000000000001" customHeight="1">
      <c r="B192" s="124" t="s">
        <v>3633</v>
      </c>
      <c r="C192" s="96" t="s">
        <v>3635</v>
      </c>
      <c r="D192" s="122">
        <v>6.03</v>
      </c>
      <c r="E192" s="222"/>
      <c r="F192" s="186"/>
      <c r="G192" s="186"/>
      <c r="H192" s="308"/>
      <c r="I192" s="227">
        <v>2</v>
      </c>
      <c r="J192" s="82">
        <v>-2</v>
      </c>
      <c r="K192" s="331"/>
      <c r="L192" s="83">
        <v>-2</v>
      </c>
      <c r="M192" s="84">
        <v>-12.06</v>
      </c>
      <c r="N192" s="85"/>
    </row>
    <row r="193" spans="1:14" ht="20.100000000000001" customHeight="1">
      <c r="B193" s="69" t="s">
        <v>3658</v>
      </c>
      <c r="C193" s="96" t="s">
        <v>3659</v>
      </c>
      <c r="D193" s="123">
        <v>13.122</v>
      </c>
      <c r="E193" s="222">
        <v>83</v>
      </c>
      <c r="F193" s="186"/>
      <c r="G193" s="186"/>
      <c r="H193" s="308"/>
      <c r="I193" s="227">
        <v>14</v>
      </c>
      <c r="J193" s="82">
        <v>69</v>
      </c>
      <c r="K193" s="331">
        <v>71</v>
      </c>
      <c r="L193" s="83">
        <v>-2</v>
      </c>
      <c r="M193" s="84">
        <v>-26.244000000000028</v>
      </c>
      <c r="N193" s="85"/>
    </row>
    <row r="194" spans="1:14" ht="20.100000000000001" customHeight="1">
      <c r="B194" s="69" t="s">
        <v>3662</v>
      </c>
      <c r="C194" s="96" t="s">
        <v>3663</v>
      </c>
      <c r="D194" s="123">
        <v>118.1579</v>
      </c>
      <c r="E194" s="222">
        <v>4</v>
      </c>
      <c r="F194" s="186"/>
      <c r="G194" s="186"/>
      <c r="H194" s="308"/>
      <c r="I194" s="227">
        <v>1</v>
      </c>
      <c r="J194" s="82">
        <v>3</v>
      </c>
      <c r="K194" s="331">
        <v>5</v>
      </c>
      <c r="L194" s="83">
        <v>-2</v>
      </c>
      <c r="M194" s="84">
        <v>-236.31579999999997</v>
      </c>
      <c r="N194" s="85"/>
    </row>
    <row r="195" spans="1:14" ht="20.100000000000001" customHeight="1">
      <c r="B195" s="69" t="s">
        <v>1956</v>
      </c>
      <c r="C195" s="96" t="s">
        <v>1957</v>
      </c>
      <c r="D195" s="123">
        <v>7.2995222222222198</v>
      </c>
      <c r="E195" s="222">
        <v>144</v>
      </c>
      <c r="F195" s="186"/>
      <c r="G195" s="186"/>
      <c r="H195" s="308"/>
      <c r="I195" s="227"/>
      <c r="J195" s="82">
        <v>144</v>
      </c>
      <c r="K195" s="331">
        <v>846</v>
      </c>
      <c r="L195" s="83">
        <v>-702</v>
      </c>
      <c r="M195" s="84">
        <v>-5124.2645999999977</v>
      </c>
      <c r="N195" s="85"/>
    </row>
    <row r="196" spans="1:14">
      <c r="E196" s="13">
        <f>SUM(E3:E195)</f>
        <v>9436</v>
      </c>
      <c r="F196" s="13">
        <f t="shared" ref="F196:N196" si="0">SUM(F3:F195)</f>
        <v>32</v>
      </c>
      <c r="G196" s="13">
        <f t="shared" si="0"/>
        <v>173</v>
      </c>
      <c r="H196" s="13">
        <f t="shared" si="0"/>
        <v>7</v>
      </c>
      <c r="I196" s="13">
        <f t="shared" si="0"/>
        <v>711</v>
      </c>
      <c r="J196" s="13">
        <f t="shared" si="0"/>
        <v>8923</v>
      </c>
      <c r="K196" s="13">
        <f t="shared" si="0"/>
        <v>12644</v>
      </c>
      <c r="L196" s="13">
        <f t="shared" si="0"/>
        <v>-3721</v>
      </c>
      <c r="M196" s="13">
        <f t="shared" si="0"/>
        <v>-94231.196800000005</v>
      </c>
      <c r="N196" s="13">
        <f t="shared" si="0"/>
        <v>45721</v>
      </c>
    </row>
    <row r="198" spans="1:14">
      <c r="A198" s="347" t="s">
        <v>30</v>
      </c>
    </row>
    <row r="199" spans="1:14" ht="36">
      <c r="B199" s="74" t="s">
        <v>3</v>
      </c>
      <c r="C199" s="73" t="s">
        <v>4</v>
      </c>
      <c r="D199" s="9" t="s">
        <v>5</v>
      </c>
      <c r="E199" s="75" t="s">
        <v>3845</v>
      </c>
      <c r="F199" s="48" t="s">
        <v>3710</v>
      </c>
      <c r="G199" s="226" t="s">
        <v>3773</v>
      </c>
      <c r="H199" s="226" t="s">
        <v>3711</v>
      </c>
      <c r="I199" s="226" t="s">
        <v>46</v>
      </c>
      <c r="J199" s="75" t="s">
        <v>12</v>
      </c>
      <c r="K199" s="330" t="s">
        <v>6</v>
      </c>
      <c r="L199" s="75" t="s">
        <v>9</v>
      </c>
      <c r="M199" s="9" t="s">
        <v>10</v>
      </c>
      <c r="N199" s="73" t="s">
        <v>11</v>
      </c>
    </row>
    <row r="200" spans="1:14" ht="15" customHeight="1">
      <c r="B200" s="79" t="s">
        <v>61</v>
      </c>
      <c r="C200" s="80" t="s">
        <v>62</v>
      </c>
      <c r="D200" s="81">
        <v>16.03</v>
      </c>
      <c r="E200" s="222">
        <v>56</v>
      </c>
      <c r="F200" s="186"/>
      <c r="G200" s="186"/>
      <c r="H200" s="308"/>
      <c r="I200" s="227">
        <v>2</v>
      </c>
      <c r="J200" s="82">
        <v>54</v>
      </c>
      <c r="K200" s="331">
        <v>53</v>
      </c>
      <c r="L200" s="83">
        <v>1</v>
      </c>
      <c r="M200" s="84">
        <v>16.030000000000086</v>
      </c>
      <c r="N200" s="85"/>
    </row>
    <row r="201" spans="1:14" ht="15" customHeight="1">
      <c r="B201" s="79" t="s">
        <v>65</v>
      </c>
      <c r="C201" s="80" t="s">
        <v>66</v>
      </c>
      <c r="D201" s="273">
        <v>33.75</v>
      </c>
      <c r="E201" s="222"/>
      <c r="F201" s="186"/>
      <c r="G201" s="186">
        <v>20</v>
      </c>
      <c r="H201" s="308"/>
      <c r="I201" s="227">
        <v>8</v>
      </c>
      <c r="J201" s="82">
        <v>12</v>
      </c>
      <c r="K201" s="331"/>
      <c r="L201" s="83">
        <v>12</v>
      </c>
      <c r="M201" s="84">
        <v>405</v>
      </c>
      <c r="N201" s="85" t="s">
        <v>67</v>
      </c>
    </row>
    <row r="202" spans="1:14" ht="15" customHeight="1">
      <c r="B202" s="79" t="s">
        <v>68</v>
      </c>
      <c r="C202" s="80" t="s">
        <v>69</v>
      </c>
      <c r="D202" s="81">
        <v>18.53</v>
      </c>
      <c r="E202" s="222">
        <v>12</v>
      </c>
      <c r="F202" s="186"/>
      <c r="G202" s="186"/>
      <c r="H202" s="308"/>
      <c r="I202" s="227">
        <v>10</v>
      </c>
      <c r="J202" s="82">
        <v>2</v>
      </c>
      <c r="K202" s="331"/>
      <c r="L202" s="83">
        <v>2</v>
      </c>
      <c r="M202" s="84">
        <v>37.06</v>
      </c>
      <c r="N202" s="85"/>
    </row>
    <row r="203" spans="1:14" ht="15" customHeight="1">
      <c r="B203" s="79" t="s">
        <v>70</v>
      </c>
      <c r="C203" s="80" t="s">
        <v>71</v>
      </c>
      <c r="D203" s="81">
        <v>6.18</v>
      </c>
      <c r="E203" s="222">
        <v>91</v>
      </c>
      <c r="F203" s="186"/>
      <c r="G203" s="186"/>
      <c r="H203" s="308"/>
      <c r="I203" s="227"/>
      <c r="J203" s="82">
        <v>91</v>
      </c>
      <c r="K203" s="331">
        <v>56</v>
      </c>
      <c r="L203" s="83">
        <v>35</v>
      </c>
      <c r="M203" s="84">
        <v>216.3</v>
      </c>
      <c r="N203" s="232"/>
    </row>
    <row r="204" spans="1:14" ht="15" customHeight="1">
      <c r="B204" s="79" t="s">
        <v>77</v>
      </c>
      <c r="C204" s="80" t="s">
        <v>78</v>
      </c>
      <c r="D204" s="257">
        <v>28.196000000000002</v>
      </c>
      <c r="E204" s="222"/>
      <c r="F204" s="186"/>
      <c r="G204" s="186">
        <v>15</v>
      </c>
      <c r="H204" s="308"/>
      <c r="I204" s="227"/>
      <c r="J204" s="82">
        <v>15</v>
      </c>
      <c r="K204" s="331">
        <v>14</v>
      </c>
      <c r="L204" s="83">
        <v>1</v>
      </c>
      <c r="M204" s="84">
        <v>28.19599999999997</v>
      </c>
      <c r="N204" s="85"/>
    </row>
    <row r="205" spans="1:14" ht="15" customHeight="1">
      <c r="B205" s="79" t="s">
        <v>85</v>
      </c>
      <c r="C205" s="80" t="s">
        <v>86</v>
      </c>
      <c r="D205" s="81">
        <v>6.83</v>
      </c>
      <c r="E205" s="222">
        <v>28</v>
      </c>
      <c r="F205" s="186"/>
      <c r="G205" s="186"/>
      <c r="H205" s="308"/>
      <c r="I205" s="227"/>
      <c r="J205" s="82">
        <v>28</v>
      </c>
      <c r="K205" s="331"/>
      <c r="L205" s="83">
        <v>28</v>
      </c>
      <c r="M205" s="84">
        <v>191.24</v>
      </c>
      <c r="N205" s="232"/>
    </row>
    <row r="206" spans="1:14" ht="15" customHeight="1">
      <c r="B206" s="79" t="s">
        <v>102</v>
      </c>
      <c r="C206" s="80" t="s">
        <v>103</v>
      </c>
      <c r="D206" s="81">
        <v>7.06</v>
      </c>
      <c r="E206" s="222">
        <v>95</v>
      </c>
      <c r="F206" s="186"/>
      <c r="G206" s="186"/>
      <c r="H206" s="308"/>
      <c r="I206" s="227">
        <v>20</v>
      </c>
      <c r="J206" s="82">
        <v>75</v>
      </c>
      <c r="K206" s="331"/>
      <c r="L206" s="83">
        <v>75</v>
      </c>
      <c r="M206" s="84">
        <v>529.5</v>
      </c>
      <c r="N206" s="232"/>
    </row>
    <row r="207" spans="1:14" ht="15" customHeight="1">
      <c r="B207" s="79" t="s">
        <v>106</v>
      </c>
      <c r="C207" s="80" t="s">
        <v>107</v>
      </c>
      <c r="D207" s="81">
        <v>22.68</v>
      </c>
      <c r="E207" s="222">
        <v>12</v>
      </c>
      <c r="F207" s="186"/>
      <c r="G207" s="186"/>
      <c r="H207" s="308"/>
      <c r="I207" s="227"/>
      <c r="J207" s="82">
        <v>12</v>
      </c>
      <c r="K207" s="331"/>
      <c r="L207" s="83">
        <v>12</v>
      </c>
      <c r="M207" s="84">
        <v>272.15999999999997</v>
      </c>
      <c r="N207" s="85"/>
    </row>
    <row r="208" spans="1:14" ht="15" customHeight="1">
      <c r="B208" s="79" t="s">
        <v>108</v>
      </c>
      <c r="C208" s="80" t="s">
        <v>109</v>
      </c>
      <c r="D208" s="81">
        <v>7.056</v>
      </c>
      <c r="E208" s="222"/>
      <c r="F208" s="186"/>
      <c r="G208" s="186">
        <v>30</v>
      </c>
      <c r="H208" s="308"/>
      <c r="I208" s="227">
        <v>5</v>
      </c>
      <c r="J208" s="82">
        <v>25</v>
      </c>
      <c r="K208" s="331">
        <v>23</v>
      </c>
      <c r="L208" s="83">
        <v>2</v>
      </c>
      <c r="M208" s="84">
        <v>14.111999999999995</v>
      </c>
      <c r="N208" s="85"/>
    </row>
    <row r="209" spans="2:14" ht="15" customHeight="1">
      <c r="B209" s="79" t="s">
        <v>147</v>
      </c>
      <c r="C209" s="80" t="s">
        <v>148</v>
      </c>
      <c r="D209" s="81">
        <v>12.69</v>
      </c>
      <c r="E209" s="222">
        <v>57</v>
      </c>
      <c r="F209" s="186"/>
      <c r="G209" s="186"/>
      <c r="H209" s="308"/>
      <c r="I209" s="227">
        <v>5</v>
      </c>
      <c r="J209" s="82">
        <v>52</v>
      </c>
      <c r="K209" s="331">
        <v>46</v>
      </c>
      <c r="L209" s="83">
        <v>6</v>
      </c>
      <c r="M209" s="84">
        <v>76.139999999999986</v>
      </c>
      <c r="N209" s="85" t="s">
        <v>149</v>
      </c>
    </row>
    <row r="210" spans="2:14" ht="15" customHeight="1">
      <c r="B210" s="79" t="s">
        <v>154</v>
      </c>
      <c r="C210" s="80" t="s">
        <v>155</v>
      </c>
      <c r="D210" s="81">
        <v>25.88</v>
      </c>
      <c r="E210" s="222">
        <v>6</v>
      </c>
      <c r="F210" s="186"/>
      <c r="G210" s="186"/>
      <c r="H210" s="308"/>
      <c r="I210" s="227"/>
      <c r="J210" s="82">
        <v>6</v>
      </c>
      <c r="K210" s="331"/>
      <c r="L210" s="83">
        <v>6</v>
      </c>
      <c r="M210" s="84">
        <v>155.28</v>
      </c>
      <c r="N210" s="91">
        <v>45836</v>
      </c>
    </row>
    <row r="211" spans="2:14" ht="15" customHeight="1">
      <c r="B211" s="79" t="s">
        <v>156</v>
      </c>
      <c r="C211" s="80" t="s">
        <v>157</v>
      </c>
      <c r="D211" s="81">
        <v>61.5</v>
      </c>
      <c r="E211" s="222">
        <v>16</v>
      </c>
      <c r="F211" s="186"/>
      <c r="G211" s="186"/>
      <c r="H211" s="308"/>
      <c r="I211" s="227">
        <v>1</v>
      </c>
      <c r="J211" s="82">
        <v>15</v>
      </c>
      <c r="K211" s="331">
        <v>14</v>
      </c>
      <c r="L211" s="83">
        <v>1</v>
      </c>
      <c r="M211" s="84">
        <v>61.5</v>
      </c>
      <c r="N211" s="85"/>
    </row>
    <row r="212" spans="2:14" ht="15" customHeight="1">
      <c r="B212" s="79" t="s">
        <v>159</v>
      </c>
      <c r="C212" s="80" t="s">
        <v>160</v>
      </c>
      <c r="D212" s="81">
        <v>97.04</v>
      </c>
      <c r="E212" s="222">
        <v>19</v>
      </c>
      <c r="F212" s="186"/>
      <c r="G212" s="186"/>
      <c r="H212" s="308"/>
      <c r="I212" s="227">
        <v>1</v>
      </c>
      <c r="J212" s="82">
        <v>18</v>
      </c>
      <c r="K212" s="331">
        <v>16</v>
      </c>
      <c r="L212" s="83">
        <v>2</v>
      </c>
      <c r="M212" s="84">
        <v>194.07999999999993</v>
      </c>
      <c r="N212" s="232"/>
    </row>
    <row r="213" spans="2:14" ht="15" customHeight="1">
      <c r="B213" s="79" t="s">
        <v>174</v>
      </c>
      <c r="C213" s="80" t="s">
        <v>175</v>
      </c>
      <c r="D213" s="81">
        <v>36.58</v>
      </c>
      <c r="E213" s="222">
        <v>21</v>
      </c>
      <c r="F213" s="186"/>
      <c r="G213" s="186"/>
      <c r="H213" s="308"/>
      <c r="I213" s="227">
        <v>3</v>
      </c>
      <c r="J213" s="82">
        <v>18</v>
      </c>
      <c r="K213" s="331"/>
      <c r="L213" s="83">
        <v>18</v>
      </c>
      <c r="M213" s="84">
        <v>658.43999999999994</v>
      </c>
      <c r="N213" s="85"/>
    </row>
    <row r="214" spans="2:14" ht="15" customHeight="1">
      <c r="B214" s="79" t="s">
        <v>180</v>
      </c>
      <c r="C214" s="80" t="s">
        <v>181</v>
      </c>
      <c r="D214" s="81">
        <v>16.579999999999998</v>
      </c>
      <c r="E214" s="222">
        <v>94</v>
      </c>
      <c r="F214" s="186"/>
      <c r="G214" s="186"/>
      <c r="H214" s="308"/>
      <c r="I214" s="227">
        <v>16</v>
      </c>
      <c r="J214" s="82">
        <v>78</v>
      </c>
      <c r="K214" s="331">
        <v>77</v>
      </c>
      <c r="L214" s="83">
        <v>1</v>
      </c>
      <c r="M214" s="84">
        <v>16.579999999999927</v>
      </c>
      <c r="N214" s="85"/>
    </row>
    <row r="215" spans="2:14" ht="15" customHeight="1">
      <c r="B215" s="79" t="s">
        <v>182</v>
      </c>
      <c r="C215" s="80" t="s">
        <v>183</v>
      </c>
      <c r="D215" s="81">
        <v>39.479999999999997</v>
      </c>
      <c r="E215" s="222">
        <v>15</v>
      </c>
      <c r="F215" s="186"/>
      <c r="G215" s="186"/>
      <c r="H215" s="308"/>
      <c r="I215" s="227"/>
      <c r="J215" s="82">
        <v>15</v>
      </c>
      <c r="K215" s="331">
        <v>14</v>
      </c>
      <c r="L215" s="83">
        <v>1</v>
      </c>
      <c r="M215" s="84">
        <v>39.480000000000018</v>
      </c>
      <c r="N215" s="85"/>
    </row>
    <row r="216" spans="2:14" ht="15" customHeight="1">
      <c r="B216" s="79" t="s">
        <v>184</v>
      </c>
      <c r="C216" s="80" t="s">
        <v>185</v>
      </c>
      <c r="D216" s="81">
        <v>6.18</v>
      </c>
      <c r="E216" s="222">
        <v>87</v>
      </c>
      <c r="F216" s="186"/>
      <c r="G216" s="186"/>
      <c r="H216" s="308"/>
      <c r="I216" s="227"/>
      <c r="J216" s="82">
        <v>87</v>
      </c>
      <c r="K216" s="331">
        <v>62</v>
      </c>
      <c r="L216" s="83">
        <v>25</v>
      </c>
      <c r="M216" s="84">
        <v>154.5</v>
      </c>
      <c r="N216" s="85" t="s">
        <v>186</v>
      </c>
    </row>
    <row r="217" spans="2:14" ht="15" customHeight="1">
      <c r="B217" s="79" t="s">
        <v>207</v>
      </c>
      <c r="C217" s="80" t="s">
        <v>208</v>
      </c>
      <c r="D217" s="81">
        <v>6.18</v>
      </c>
      <c r="E217" s="222">
        <v>87</v>
      </c>
      <c r="F217" s="186"/>
      <c r="G217" s="186"/>
      <c r="H217" s="308"/>
      <c r="I217" s="227"/>
      <c r="J217" s="82">
        <v>87</v>
      </c>
      <c r="K217" s="333">
        <v>71</v>
      </c>
      <c r="L217" s="83">
        <v>16</v>
      </c>
      <c r="M217" s="84">
        <v>98.88</v>
      </c>
      <c r="N217" s="85" t="s">
        <v>209</v>
      </c>
    </row>
    <row r="218" spans="2:14" ht="15" customHeight="1">
      <c r="B218" s="79" t="s">
        <v>222</v>
      </c>
      <c r="C218" s="80" t="s">
        <v>223</v>
      </c>
      <c r="D218" s="81">
        <v>21.97</v>
      </c>
      <c r="E218" s="222">
        <v>32</v>
      </c>
      <c r="F218" s="186"/>
      <c r="G218" s="186"/>
      <c r="H218" s="308"/>
      <c r="I218" s="227"/>
      <c r="J218" s="82">
        <v>32</v>
      </c>
      <c r="K218" s="331">
        <v>31</v>
      </c>
      <c r="L218" s="83">
        <v>1</v>
      </c>
      <c r="M218" s="84">
        <v>21.970000000000027</v>
      </c>
      <c r="N218" s="85" t="s">
        <v>224</v>
      </c>
    </row>
    <row r="219" spans="2:14" ht="15" customHeight="1">
      <c r="B219" s="79" t="s">
        <v>254</v>
      </c>
      <c r="C219" s="80" t="s">
        <v>255</v>
      </c>
      <c r="D219" s="81">
        <v>6.18</v>
      </c>
      <c r="E219" s="222">
        <v>129</v>
      </c>
      <c r="F219" s="186"/>
      <c r="G219" s="186"/>
      <c r="H219" s="308"/>
      <c r="I219" s="227"/>
      <c r="J219" s="82">
        <v>129</v>
      </c>
      <c r="K219" s="331">
        <v>128</v>
      </c>
      <c r="L219" s="83">
        <v>1</v>
      </c>
      <c r="M219" s="84">
        <v>6.17999999999995</v>
      </c>
      <c r="N219" s="232"/>
    </row>
    <row r="220" spans="2:14" ht="15" customHeight="1">
      <c r="B220" s="79" t="s">
        <v>267</v>
      </c>
      <c r="C220" s="80" t="s">
        <v>268</v>
      </c>
      <c r="D220" s="81">
        <v>60</v>
      </c>
      <c r="E220" s="222">
        <v>5</v>
      </c>
      <c r="F220" s="186"/>
      <c r="G220" s="186">
        <v>22</v>
      </c>
      <c r="H220" s="308"/>
      <c r="I220" s="227">
        <v>20</v>
      </c>
      <c r="J220" s="82">
        <v>7</v>
      </c>
      <c r="K220" s="331">
        <v>4</v>
      </c>
      <c r="L220" s="83">
        <v>3</v>
      </c>
      <c r="M220" s="84">
        <v>180</v>
      </c>
      <c r="N220" s="85"/>
    </row>
    <row r="221" spans="2:14" ht="15" customHeight="1">
      <c r="B221" s="219" t="s">
        <v>3871</v>
      </c>
      <c r="C221" s="266" t="s">
        <v>4149</v>
      </c>
      <c r="D221" s="269">
        <v>30</v>
      </c>
      <c r="E221" s="222"/>
      <c r="F221" s="186"/>
      <c r="G221" s="186">
        <v>20</v>
      </c>
      <c r="H221" s="308"/>
      <c r="I221" s="227">
        <v>10</v>
      </c>
      <c r="J221" s="82">
        <v>10</v>
      </c>
      <c r="K221" s="331"/>
      <c r="L221" s="83">
        <v>10</v>
      </c>
      <c r="M221" s="84">
        <v>300</v>
      </c>
      <c r="N221" s="85"/>
    </row>
    <row r="222" spans="2:14" ht="15" customHeight="1">
      <c r="B222" s="79" t="s">
        <v>273</v>
      </c>
      <c r="C222" s="80" t="s">
        <v>274</v>
      </c>
      <c r="D222" s="81">
        <v>15.12</v>
      </c>
      <c r="E222" s="222">
        <v>11</v>
      </c>
      <c r="F222" s="186"/>
      <c r="G222" s="186"/>
      <c r="H222" s="308"/>
      <c r="I222" s="227">
        <v>6</v>
      </c>
      <c r="J222" s="82">
        <v>5</v>
      </c>
      <c r="K222" s="331"/>
      <c r="L222" s="83">
        <v>5</v>
      </c>
      <c r="M222" s="84">
        <v>75.599999999999994</v>
      </c>
      <c r="N222" s="85"/>
    </row>
    <row r="223" spans="2:14" ht="15" customHeight="1">
      <c r="B223" s="79" t="s">
        <v>275</v>
      </c>
      <c r="C223" s="80" t="s">
        <v>276</v>
      </c>
      <c r="D223" s="81">
        <v>31.6</v>
      </c>
      <c r="E223" s="222">
        <v>38</v>
      </c>
      <c r="F223" s="186"/>
      <c r="G223" s="186"/>
      <c r="H223" s="308"/>
      <c r="I223" s="227">
        <v>5</v>
      </c>
      <c r="J223" s="82">
        <v>33</v>
      </c>
      <c r="K223" s="331"/>
      <c r="L223" s="83">
        <v>33</v>
      </c>
      <c r="M223" s="84">
        <v>1042.8</v>
      </c>
      <c r="N223" s="232"/>
    </row>
    <row r="224" spans="2:14" ht="15" customHeight="1">
      <c r="B224" s="79" t="s">
        <v>279</v>
      </c>
      <c r="C224" s="80" t="s">
        <v>280</v>
      </c>
      <c r="D224" s="81">
        <v>31.6</v>
      </c>
      <c r="E224" s="222">
        <v>23</v>
      </c>
      <c r="F224" s="186"/>
      <c r="G224" s="186"/>
      <c r="H224" s="308"/>
      <c r="I224" s="227">
        <v>1</v>
      </c>
      <c r="J224" s="82">
        <v>22</v>
      </c>
      <c r="K224" s="331"/>
      <c r="L224" s="83">
        <v>22</v>
      </c>
      <c r="M224" s="84">
        <v>695.2</v>
      </c>
      <c r="N224" s="232"/>
    </row>
    <row r="225" spans="2:14" ht="15" customHeight="1">
      <c r="B225" s="79" t="s">
        <v>281</v>
      </c>
      <c r="C225" s="80" t="s">
        <v>282</v>
      </c>
      <c r="D225" s="81">
        <v>15.13</v>
      </c>
      <c r="E225" s="222">
        <v>59</v>
      </c>
      <c r="F225" s="186"/>
      <c r="G225" s="186"/>
      <c r="H225" s="308"/>
      <c r="I225" s="227">
        <v>3</v>
      </c>
      <c r="J225" s="82">
        <v>56</v>
      </c>
      <c r="K225" s="331"/>
      <c r="L225" s="83">
        <v>56</v>
      </c>
      <c r="M225" s="84">
        <v>847.28000000000009</v>
      </c>
      <c r="N225" s="232"/>
    </row>
    <row r="226" spans="2:14" ht="15" customHeight="1">
      <c r="B226" s="79" t="s">
        <v>287</v>
      </c>
      <c r="C226" s="80" t="s">
        <v>288</v>
      </c>
      <c r="D226" s="81">
        <v>34.47</v>
      </c>
      <c r="E226" s="222">
        <v>45</v>
      </c>
      <c r="F226" s="186"/>
      <c r="G226" s="186"/>
      <c r="H226" s="308"/>
      <c r="I226" s="227">
        <v>3</v>
      </c>
      <c r="J226" s="82">
        <v>42</v>
      </c>
      <c r="K226" s="331">
        <v>41</v>
      </c>
      <c r="L226" s="83">
        <v>1</v>
      </c>
      <c r="M226" s="84">
        <v>34.470000000000027</v>
      </c>
      <c r="N226" s="232"/>
    </row>
    <row r="227" spans="2:14" ht="15" customHeight="1">
      <c r="B227" s="79" t="s">
        <v>292</v>
      </c>
      <c r="C227" s="80" t="s">
        <v>293</v>
      </c>
      <c r="D227" s="81">
        <v>6.43</v>
      </c>
      <c r="E227" s="222">
        <v>49</v>
      </c>
      <c r="F227" s="186"/>
      <c r="G227" s="186"/>
      <c r="H227" s="308"/>
      <c r="I227" s="227"/>
      <c r="J227" s="82">
        <v>49</v>
      </c>
      <c r="K227" s="331"/>
      <c r="L227" s="83">
        <v>49</v>
      </c>
      <c r="M227" s="84">
        <v>315.07</v>
      </c>
      <c r="N227" s="91">
        <v>45665</v>
      </c>
    </row>
    <row r="228" spans="2:14" ht="15" customHeight="1">
      <c r="B228" s="79" t="s">
        <v>3813</v>
      </c>
      <c r="C228" s="80" t="s">
        <v>3709</v>
      </c>
      <c r="D228" s="81">
        <v>74</v>
      </c>
      <c r="E228" s="222">
        <v>4</v>
      </c>
      <c r="F228" s="186"/>
      <c r="G228" s="186"/>
      <c r="H228" s="308">
        <v>1</v>
      </c>
      <c r="I228" s="227">
        <v>1</v>
      </c>
      <c r="J228" s="82">
        <v>2</v>
      </c>
      <c r="K228" s="331"/>
      <c r="L228" s="83">
        <v>2</v>
      </c>
      <c r="M228" s="84">
        <v>148</v>
      </c>
      <c r="N228" s="91">
        <v>45563</v>
      </c>
    </row>
    <row r="229" spans="2:14" ht="15" customHeight="1">
      <c r="B229" s="79" t="s">
        <v>302</v>
      </c>
      <c r="C229" s="80" t="s">
        <v>303</v>
      </c>
      <c r="D229" s="81">
        <v>15.65</v>
      </c>
      <c r="E229" s="222">
        <v>128</v>
      </c>
      <c r="F229" s="186"/>
      <c r="G229" s="186"/>
      <c r="H229" s="308"/>
      <c r="I229" s="227">
        <v>3</v>
      </c>
      <c r="J229" s="82">
        <v>125</v>
      </c>
      <c r="K229" s="331">
        <v>71</v>
      </c>
      <c r="L229" s="83">
        <v>54</v>
      </c>
      <c r="M229" s="84">
        <v>845.09999999999991</v>
      </c>
      <c r="N229" s="85" t="s">
        <v>304</v>
      </c>
    </row>
    <row r="230" spans="2:14" ht="15" customHeight="1">
      <c r="B230" s="160" t="s">
        <v>320</v>
      </c>
      <c r="C230" s="178" t="s">
        <v>321</v>
      </c>
      <c r="D230" s="185">
        <v>158</v>
      </c>
      <c r="E230" s="222">
        <v>48</v>
      </c>
      <c r="F230" s="186"/>
      <c r="G230" s="186"/>
      <c r="H230" s="308"/>
      <c r="I230" s="227"/>
      <c r="J230" s="82">
        <v>48</v>
      </c>
      <c r="K230" s="331">
        <v>47</v>
      </c>
      <c r="L230" s="187">
        <v>1</v>
      </c>
      <c r="M230" s="161">
        <v>158</v>
      </c>
      <c r="N230" s="188"/>
    </row>
    <row r="231" spans="2:14" ht="15" customHeight="1">
      <c r="B231" s="79" t="s">
        <v>322</v>
      </c>
      <c r="C231" s="80" t="s">
        <v>323</v>
      </c>
      <c r="D231" s="81">
        <v>121</v>
      </c>
      <c r="E231" s="222">
        <v>15</v>
      </c>
      <c r="F231" s="186"/>
      <c r="G231" s="186"/>
      <c r="H231" s="308"/>
      <c r="I231" s="227"/>
      <c r="J231" s="82">
        <v>15</v>
      </c>
      <c r="K231" s="331">
        <v>14</v>
      </c>
      <c r="L231" s="83">
        <v>1</v>
      </c>
      <c r="M231" s="84">
        <v>121</v>
      </c>
      <c r="N231" s="85"/>
    </row>
    <row r="232" spans="2:14" ht="15" customHeight="1">
      <c r="B232" s="79" t="s">
        <v>359</v>
      </c>
      <c r="C232" s="80" t="s">
        <v>360</v>
      </c>
      <c r="D232" s="81">
        <v>59.5</v>
      </c>
      <c r="E232" s="222">
        <v>10</v>
      </c>
      <c r="F232" s="186"/>
      <c r="G232" s="186"/>
      <c r="H232" s="308"/>
      <c r="I232" s="227">
        <v>1</v>
      </c>
      <c r="J232" s="82">
        <v>9</v>
      </c>
      <c r="K232" s="331">
        <v>8</v>
      </c>
      <c r="L232" s="83">
        <v>1</v>
      </c>
      <c r="M232" s="84">
        <v>59.5</v>
      </c>
      <c r="N232" s="85"/>
    </row>
    <row r="233" spans="2:14" ht="15" customHeight="1">
      <c r="B233" s="79" t="s">
        <v>365</v>
      </c>
      <c r="C233" s="80" t="s">
        <v>366</v>
      </c>
      <c r="D233" s="81">
        <v>10.75</v>
      </c>
      <c r="E233" s="222">
        <v>50</v>
      </c>
      <c r="F233" s="186"/>
      <c r="G233" s="186"/>
      <c r="H233" s="308"/>
      <c r="I233" s="227"/>
      <c r="J233" s="82">
        <v>50</v>
      </c>
      <c r="K233" s="331">
        <v>2</v>
      </c>
      <c r="L233" s="83">
        <v>48</v>
      </c>
      <c r="M233" s="84">
        <v>516</v>
      </c>
      <c r="N233" s="85"/>
    </row>
    <row r="234" spans="2:14" ht="15" customHeight="1">
      <c r="B234" s="79" t="s">
        <v>367</v>
      </c>
      <c r="C234" s="80" t="s">
        <v>368</v>
      </c>
      <c r="D234" s="81">
        <v>31.75</v>
      </c>
      <c r="E234" s="222">
        <v>9</v>
      </c>
      <c r="F234" s="186"/>
      <c r="G234" s="186"/>
      <c r="H234" s="308"/>
      <c r="I234" s="227"/>
      <c r="J234" s="82">
        <v>9</v>
      </c>
      <c r="K234" s="331">
        <v>1</v>
      </c>
      <c r="L234" s="83">
        <v>8</v>
      </c>
      <c r="M234" s="84">
        <v>254</v>
      </c>
      <c r="N234" s="91">
        <v>45857</v>
      </c>
    </row>
    <row r="235" spans="2:14" ht="15" customHeight="1">
      <c r="B235" s="79" t="s">
        <v>369</v>
      </c>
      <c r="C235" s="80" t="s">
        <v>370</v>
      </c>
      <c r="D235" s="81">
        <v>37.799999999999997</v>
      </c>
      <c r="E235" s="222">
        <v>4</v>
      </c>
      <c r="F235" s="186"/>
      <c r="G235" s="186"/>
      <c r="H235" s="308"/>
      <c r="I235" s="227"/>
      <c r="J235" s="82">
        <v>4</v>
      </c>
      <c r="K235" s="331"/>
      <c r="L235" s="83">
        <v>4</v>
      </c>
      <c r="M235" s="84">
        <v>151.19999999999999</v>
      </c>
      <c r="N235" s="85"/>
    </row>
    <row r="236" spans="2:14" ht="15" customHeight="1">
      <c r="B236" s="79" t="s">
        <v>377</v>
      </c>
      <c r="C236" s="80" t="s">
        <v>378</v>
      </c>
      <c r="D236" s="81">
        <v>44.8</v>
      </c>
      <c r="E236" s="222">
        <v>8</v>
      </c>
      <c r="F236" s="186"/>
      <c r="G236" s="186">
        <v>10</v>
      </c>
      <c r="H236" s="308"/>
      <c r="I236" s="227">
        <v>8</v>
      </c>
      <c r="J236" s="82">
        <v>10</v>
      </c>
      <c r="K236" s="331">
        <v>9</v>
      </c>
      <c r="L236" s="83">
        <v>1</v>
      </c>
      <c r="M236" s="84">
        <v>44.800000000000011</v>
      </c>
      <c r="N236" s="85"/>
    </row>
    <row r="237" spans="2:14" ht="15" customHeight="1">
      <c r="B237" s="79" t="s">
        <v>392</v>
      </c>
      <c r="C237" s="80" t="s">
        <v>393</v>
      </c>
      <c r="D237" s="81">
        <v>54.05</v>
      </c>
      <c r="E237" s="222">
        <v>5</v>
      </c>
      <c r="F237" s="186"/>
      <c r="G237" s="186"/>
      <c r="H237" s="308"/>
      <c r="I237" s="227">
        <v>1</v>
      </c>
      <c r="J237" s="82">
        <v>4</v>
      </c>
      <c r="K237" s="331">
        <v>3</v>
      </c>
      <c r="L237" s="83">
        <v>1</v>
      </c>
      <c r="M237" s="84">
        <v>54.050000000000011</v>
      </c>
      <c r="N237" s="85"/>
    </row>
    <row r="238" spans="2:14" ht="15" customHeight="1">
      <c r="B238" s="79" t="s">
        <v>394</v>
      </c>
      <c r="C238" s="80" t="s">
        <v>395</v>
      </c>
      <c r="D238" s="81">
        <v>7.48</v>
      </c>
      <c r="E238" s="222">
        <v>22</v>
      </c>
      <c r="F238" s="186"/>
      <c r="G238" s="186"/>
      <c r="H238" s="308"/>
      <c r="I238" s="227">
        <v>4</v>
      </c>
      <c r="J238" s="82">
        <v>18</v>
      </c>
      <c r="K238" s="331">
        <v>16</v>
      </c>
      <c r="L238" s="83">
        <v>2</v>
      </c>
      <c r="M238" s="84">
        <v>14.960000000000008</v>
      </c>
      <c r="N238" s="85"/>
    </row>
    <row r="239" spans="2:14" ht="15" customHeight="1">
      <c r="B239" s="79" t="s">
        <v>398</v>
      </c>
      <c r="C239" s="80" t="s">
        <v>399</v>
      </c>
      <c r="D239" s="81">
        <v>68.540000000000006</v>
      </c>
      <c r="E239" s="222">
        <v>6</v>
      </c>
      <c r="F239" s="186"/>
      <c r="G239" s="186"/>
      <c r="H239" s="308"/>
      <c r="I239" s="227">
        <v>1</v>
      </c>
      <c r="J239" s="82">
        <v>5</v>
      </c>
      <c r="K239" s="331"/>
      <c r="L239" s="83">
        <v>5</v>
      </c>
      <c r="M239" s="84">
        <v>342.70000000000005</v>
      </c>
      <c r="N239" s="85"/>
    </row>
    <row r="240" spans="2:14" ht="15" customHeight="1">
      <c r="B240" s="79" t="s">
        <v>410</v>
      </c>
      <c r="C240" s="80" t="s">
        <v>411</v>
      </c>
      <c r="D240" s="81">
        <v>8.5299999999999994</v>
      </c>
      <c r="E240" s="222">
        <v>5</v>
      </c>
      <c r="F240" s="186"/>
      <c r="G240" s="186"/>
      <c r="H240" s="308"/>
      <c r="I240" s="227">
        <v>1</v>
      </c>
      <c r="J240" s="82">
        <v>4</v>
      </c>
      <c r="K240" s="331"/>
      <c r="L240" s="83">
        <v>4</v>
      </c>
      <c r="M240" s="84">
        <v>34.119999999999997</v>
      </c>
      <c r="N240" s="85"/>
    </row>
    <row r="241" spans="2:14" ht="15" customHeight="1">
      <c r="B241" s="79" t="s">
        <v>414</v>
      </c>
      <c r="C241" s="80" t="s">
        <v>415</v>
      </c>
      <c r="D241" s="193">
        <v>8.1999999999999993</v>
      </c>
      <c r="E241" s="222">
        <v>16</v>
      </c>
      <c r="F241" s="186"/>
      <c r="G241" s="186"/>
      <c r="H241" s="308"/>
      <c r="I241" s="227">
        <v>5</v>
      </c>
      <c r="J241" s="82">
        <v>11</v>
      </c>
      <c r="K241" s="331">
        <v>1</v>
      </c>
      <c r="L241" s="83">
        <v>10</v>
      </c>
      <c r="M241" s="84">
        <v>81.999999999999986</v>
      </c>
      <c r="N241" s="91">
        <v>45702</v>
      </c>
    </row>
    <row r="242" spans="2:14" ht="15" customHeight="1">
      <c r="B242" s="79" t="s">
        <v>438</v>
      </c>
      <c r="C242" s="80" t="s">
        <v>439</v>
      </c>
      <c r="D242" s="81">
        <v>22.85</v>
      </c>
      <c r="E242" s="222">
        <v>5</v>
      </c>
      <c r="F242" s="186"/>
      <c r="G242" s="186"/>
      <c r="H242" s="308"/>
      <c r="I242" s="69"/>
      <c r="J242" s="82">
        <v>5</v>
      </c>
      <c r="K242" s="331">
        <v>3</v>
      </c>
      <c r="L242" s="83">
        <v>2</v>
      </c>
      <c r="M242" s="84">
        <v>45.699999999999989</v>
      </c>
      <c r="N242" s="85"/>
    </row>
    <row r="243" spans="2:14" ht="15" customHeight="1">
      <c r="B243" s="79" t="s">
        <v>442</v>
      </c>
      <c r="C243" s="80" t="s">
        <v>443</v>
      </c>
      <c r="D243" s="81">
        <v>154.55000000000001</v>
      </c>
      <c r="E243" s="222">
        <v>2</v>
      </c>
      <c r="F243" s="186"/>
      <c r="G243" s="186"/>
      <c r="H243" s="308"/>
      <c r="I243" s="227"/>
      <c r="J243" s="82">
        <v>2</v>
      </c>
      <c r="K243" s="331"/>
      <c r="L243" s="83">
        <v>2</v>
      </c>
      <c r="M243" s="84">
        <v>309.10000000000002</v>
      </c>
      <c r="N243" s="85"/>
    </row>
    <row r="244" spans="2:14" ht="15" customHeight="1">
      <c r="B244" s="79" t="s">
        <v>444</v>
      </c>
      <c r="C244" s="80" t="s">
        <v>445</v>
      </c>
      <c r="D244" s="81">
        <v>40.950000000000003</v>
      </c>
      <c r="E244" s="222">
        <v>9</v>
      </c>
      <c r="F244" s="186"/>
      <c r="G244" s="186"/>
      <c r="H244" s="308"/>
      <c r="I244" s="227">
        <v>3</v>
      </c>
      <c r="J244" s="82">
        <v>6</v>
      </c>
      <c r="K244" s="331"/>
      <c r="L244" s="83">
        <v>6</v>
      </c>
      <c r="M244" s="84">
        <v>245.70000000000002</v>
      </c>
      <c r="N244" s="85"/>
    </row>
    <row r="245" spans="2:14" ht="15" customHeight="1">
      <c r="B245" s="79" t="s">
        <v>454</v>
      </c>
      <c r="C245" s="80" t="s">
        <v>455</v>
      </c>
      <c r="D245" s="81">
        <v>84.8</v>
      </c>
      <c r="E245" s="222">
        <v>4</v>
      </c>
      <c r="F245" s="186"/>
      <c r="G245" s="186">
        <v>7</v>
      </c>
      <c r="H245" s="308"/>
      <c r="I245" s="227">
        <v>7</v>
      </c>
      <c r="J245" s="82">
        <v>4</v>
      </c>
      <c r="K245" s="331">
        <v>2</v>
      </c>
      <c r="L245" s="83">
        <v>2</v>
      </c>
      <c r="M245" s="84">
        <v>169.6</v>
      </c>
      <c r="N245" s="85"/>
    </row>
    <row r="246" spans="2:14" ht="15" customHeight="1">
      <c r="B246" s="79" t="s">
        <v>460</v>
      </c>
      <c r="C246" s="80" t="s">
        <v>461</v>
      </c>
      <c r="D246" s="81">
        <v>100</v>
      </c>
      <c r="E246" s="222">
        <v>3</v>
      </c>
      <c r="F246" s="186"/>
      <c r="G246" s="186"/>
      <c r="H246" s="308"/>
      <c r="I246" s="227"/>
      <c r="J246" s="82">
        <v>3</v>
      </c>
      <c r="K246" s="331"/>
      <c r="L246" s="83">
        <v>3</v>
      </c>
      <c r="M246" s="84">
        <v>300</v>
      </c>
      <c r="N246" s="85"/>
    </row>
    <row r="247" spans="2:14" ht="15" customHeight="1">
      <c r="B247" s="79" t="s">
        <v>464</v>
      </c>
      <c r="C247" s="80" t="s">
        <v>465</v>
      </c>
      <c r="D247" s="81">
        <v>125</v>
      </c>
      <c r="E247" s="222">
        <v>1</v>
      </c>
      <c r="F247" s="186"/>
      <c r="G247" s="186">
        <v>1</v>
      </c>
      <c r="H247" s="308"/>
      <c r="I247" s="227"/>
      <c r="J247" s="82">
        <v>2</v>
      </c>
      <c r="K247" s="331"/>
      <c r="L247" s="83">
        <v>2</v>
      </c>
      <c r="M247" s="84">
        <v>250</v>
      </c>
      <c r="N247" s="85"/>
    </row>
    <row r="248" spans="2:14" ht="15" customHeight="1">
      <c r="B248" s="79" t="s">
        <v>466</v>
      </c>
      <c r="C248" s="80" t="s">
        <v>467</v>
      </c>
      <c r="D248" s="81">
        <v>41.15</v>
      </c>
      <c r="E248" s="222">
        <v>1</v>
      </c>
      <c r="F248" s="186"/>
      <c r="G248" s="186"/>
      <c r="H248" s="308"/>
      <c r="I248" s="227"/>
      <c r="J248" s="82">
        <v>1</v>
      </c>
      <c r="K248" s="331"/>
      <c r="L248" s="83">
        <v>1</v>
      </c>
      <c r="M248" s="84">
        <v>41.15</v>
      </c>
      <c r="N248" s="85"/>
    </row>
    <row r="249" spans="2:14" ht="15" customHeight="1">
      <c r="B249" s="79" t="s">
        <v>478</v>
      </c>
      <c r="C249" s="80" t="s">
        <v>479</v>
      </c>
      <c r="D249" s="315">
        <v>75</v>
      </c>
      <c r="E249" s="222">
        <v>13</v>
      </c>
      <c r="F249" s="186"/>
      <c r="G249" s="186"/>
      <c r="H249" s="308">
        <v>1</v>
      </c>
      <c r="I249" s="227">
        <v>3</v>
      </c>
      <c r="J249" s="82">
        <v>9</v>
      </c>
      <c r="K249" s="331">
        <v>8</v>
      </c>
      <c r="L249" s="83">
        <v>1</v>
      </c>
      <c r="M249" s="84">
        <v>75</v>
      </c>
      <c r="N249" s="85"/>
    </row>
    <row r="250" spans="2:14" ht="15" customHeight="1">
      <c r="B250" s="79" t="s">
        <v>3763</v>
      </c>
      <c r="C250" s="80" t="s">
        <v>3764</v>
      </c>
      <c r="D250" s="81">
        <v>25</v>
      </c>
      <c r="E250" s="222">
        <v>9</v>
      </c>
      <c r="F250" s="186"/>
      <c r="G250" s="186"/>
      <c r="H250" s="308"/>
      <c r="I250" s="227">
        <v>1</v>
      </c>
      <c r="J250" s="82">
        <v>8</v>
      </c>
      <c r="K250" s="331">
        <v>7</v>
      </c>
      <c r="L250" s="83">
        <v>1</v>
      </c>
      <c r="M250" s="84">
        <v>25</v>
      </c>
      <c r="N250" s="85"/>
    </row>
    <row r="251" spans="2:14" ht="15" customHeight="1">
      <c r="B251" s="219" t="s">
        <v>3883</v>
      </c>
      <c r="C251" s="276" t="s">
        <v>4325</v>
      </c>
      <c r="D251" s="277">
        <v>12.169</v>
      </c>
      <c r="E251" s="222"/>
      <c r="F251" s="186"/>
      <c r="G251" s="186">
        <v>20</v>
      </c>
      <c r="H251" s="308"/>
      <c r="I251" s="227">
        <v>3</v>
      </c>
      <c r="J251" s="82">
        <v>17</v>
      </c>
      <c r="K251" s="331">
        <v>16</v>
      </c>
      <c r="L251" s="83">
        <v>1</v>
      </c>
      <c r="M251" s="84">
        <v>12.169000000000011</v>
      </c>
      <c r="N251" s="85"/>
    </row>
    <row r="252" spans="2:14" ht="15" customHeight="1">
      <c r="B252" s="79" t="s">
        <v>511</v>
      </c>
      <c r="C252" s="80" t="s">
        <v>512</v>
      </c>
      <c r="D252" s="277">
        <v>12.169</v>
      </c>
      <c r="E252" s="222"/>
      <c r="F252" s="186"/>
      <c r="G252" s="186">
        <v>20</v>
      </c>
      <c r="H252" s="308"/>
      <c r="I252" s="227"/>
      <c r="J252" s="82">
        <v>20</v>
      </c>
      <c r="K252" s="331">
        <v>19</v>
      </c>
      <c r="L252" s="83">
        <v>1</v>
      </c>
      <c r="M252" s="84">
        <v>12.168999999999983</v>
      </c>
      <c r="N252" s="85"/>
    </row>
    <row r="253" spans="2:14" ht="15" customHeight="1">
      <c r="B253" s="79" t="s">
        <v>554</v>
      </c>
      <c r="C253" s="80" t="s">
        <v>555</v>
      </c>
      <c r="D253" s="81">
        <v>85.25</v>
      </c>
      <c r="E253" s="222">
        <v>2</v>
      </c>
      <c r="F253" s="186"/>
      <c r="G253" s="186"/>
      <c r="H253" s="308"/>
      <c r="I253" s="227"/>
      <c r="J253" s="82">
        <v>2</v>
      </c>
      <c r="K253" s="331"/>
      <c r="L253" s="83">
        <v>2</v>
      </c>
      <c r="M253" s="84">
        <v>170.5</v>
      </c>
      <c r="N253" s="85"/>
    </row>
    <row r="254" spans="2:14" ht="15" customHeight="1">
      <c r="B254" s="79" t="s">
        <v>558</v>
      </c>
      <c r="C254" s="80" t="s">
        <v>559</v>
      </c>
      <c r="D254" s="321">
        <v>91.4</v>
      </c>
      <c r="E254" s="222">
        <v>1</v>
      </c>
      <c r="F254" s="186"/>
      <c r="G254" s="186">
        <v>6</v>
      </c>
      <c r="H254" s="308"/>
      <c r="I254" s="227">
        <v>2</v>
      </c>
      <c r="J254" s="82">
        <v>5</v>
      </c>
      <c r="K254" s="331">
        <v>4</v>
      </c>
      <c r="L254" s="83">
        <v>1</v>
      </c>
      <c r="M254" s="84">
        <v>91.399999999999977</v>
      </c>
      <c r="N254" s="85"/>
    </row>
    <row r="255" spans="2:14" ht="15" customHeight="1">
      <c r="B255" s="79" t="s">
        <v>560</v>
      </c>
      <c r="C255" s="80" t="s">
        <v>561</v>
      </c>
      <c r="D255" s="81">
        <v>92.8</v>
      </c>
      <c r="E255" s="222">
        <v>3</v>
      </c>
      <c r="F255" s="186"/>
      <c r="G255" s="186"/>
      <c r="H255" s="308"/>
      <c r="I255" s="227">
        <v>2</v>
      </c>
      <c r="J255" s="82">
        <v>1</v>
      </c>
      <c r="K255" s="331"/>
      <c r="L255" s="83">
        <v>1</v>
      </c>
      <c r="M255" s="84">
        <v>92.8</v>
      </c>
      <c r="N255" s="85"/>
    </row>
    <row r="256" spans="2:14" ht="15" customHeight="1">
      <c r="B256" s="79" t="s">
        <v>584</v>
      </c>
      <c r="C256" s="80" t="s">
        <v>585</v>
      </c>
      <c r="D256" s="81">
        <v>59.5</v>
      </c>
      <c r="E256" s="222">
        <v>7</v>
      </c>
      <c r="F256" s="186"/>
      <c r="G256" s="186"/>
      <c r="H256" s="308"/>
      <c r="I256" s="227"/>
      <c r="J256" s="82">
        <v>7</v>
      </c>
      <c r="K256" s="331">
        <v>1</v>
      </c>
      <c r="L256" s="83">
        <v>6</v>
      </c>
      <c r="M256" s="84">
        <v>357</v>
      </c>
      <c r="N256" s="85"/>
    </row>
    <row r="257" spans="2:14" ht="15" customHeight="1">
      <c r="B257" s="79" t="s">
        <v>592</v>
      </c>
      <c r="C257" s="80" t="s">
        <v>593</v>
      </c>
      <c r="D257" s="81">
        <v>57.25</v>
      </c>
      <c r="E257" s="222">
        <v>2</v>
      </c>
      <c r="F257" s="186"/>
      <c r="G257" s="186"/>
      <c r="H257" s="308"/>
      <c r="I257" s="227"/>
      <c r="J257" s="82">
        <v>2</v>
      </c>
      <c r="K257" s="331"/>
      <c r="L257" s="83">
        <v>2</v>
      </c>
      <c r="M257" s="84">
        <v>114.5</v>
      </c>
      <c r="N257" s="85"/>
    </row>
    <row r="258" spans="2:14" ht="15" customHeight="1">
      <c r="B258" s="79" t="s">
        <v>598</v>
      </c>
      <c r="C258" s="80" t="s">
        <v>599</v>
      </c>
      <c r="D258" s="81">
        <v>50.5</v>
      </c>
      <c r="E258" s="222">
        <v>5</v>
      </c>
      <c r="F258" s="186"/>
      <c r="G258" s="186"/>
      <c r="H258" s="308"/>
      <c r="I258" s="227"/>
      <c r="J258" s="82">
        <v>5</v>
      </c>
      <c r="K258" s="331">
        <v>2</v>
      </c>
      <c r="L258" s="83">
        <v>3</v>
      </c>
      <c r="M258" s="84">
        <v>151.5</v>
      </c>
      <c r="N258" s="85"/>
    </row>
    <row r="259" spans="2:14" ht="15" customHeight="1">
      <c r="B259" s="79" t="s">
        <v>617</v>
      </c>
      <c r="C259" s="80" t="s">
        <v>618</v>
      </c>
      <c r="D259" s="81">
        <v>6.27</v>
      </c>
      <c r="E259" s="222">
        <v>3</v>
      </c>
      <c r="F259" s="186"/>
      <c r="G259" s="186"/>
      <c r="H259" s="308"/>
      <c r="I259" s="227"/>
      <c r="J259" s="82">
        <v>3</v>
      </c>
      <c r="K259" s="331"/>
      <c r="L259" s="83">
        <v>3</v>
      </c>
      <c r="M259" s="84">
        <v>18.809999999999999</v>
      </c>
      <c r="N259" s="85"/>
    </row>
    <row r="260" spans="2:14" ht="15" customHeight="1">
      <c r="B260" s="79" t="s">
        <v>639</v>
      </c>
      <c r="C260" s="80" t="s">
        <v>640</v>
      </c>
      <c r="D260" s="81">
        <v>55</v>
      </c>
      <c r="E260" s="222">
        <v>14</v>
      </c>
      <c r="F260" s="186"/>
      <c r="G260" s="186"/>
      <c r="H260" s="308"/>
      <c r="I260" s="227"/>
      <c r="J260" s="82">
        <v>14</v>
      </c>
      <c r="K260" s="331"/>
      <c r="L260" s="83">
        <v>14</v>
      </c>
      <c r="M260" s="84">
        <v>770</v>
      </c>
      <c r="N260" s="91">
        <v>45843</v>
      </c>
    </row>
    <row r="261" spans="2:14" ht="15" customHeight="1">
      <c r="B261" s="79" t="s">
        <v>648</v>
      </c>
      <c r="C261" s="80" t="s">
        <v>649</v>
      </c>
      <c r="D261" s="81">
        <v>60.25</v>
      </c>
      <c r="E261" s="222">
        <v>3</v>
      </c>
      <c r="F261" s="186"/>
      <c r="G261" s="186"/>
      <c r="H261" s="308"/>
      <c r="I261" s="227"/>
      <c r="J261" s="82">
        <v>3</v>
      </c>
      <c r="K261" s="331">
        <v>2</v>
      </c>
      <c r="L261" s="83">
        <v>1</v>
      </c>
      <c r="M261" s="84">
        <v>60.25</v>
      </c>
      <c r="N261" s="85"/>
    </row>
    <row r="262" spans="2:14" ht="15" customHeight="1">
      <c r="B262" s="79" t="s">
        <v>652</v>
      </c>
      <c r="C262" s="80" t="s">
        <v>653</v>
      </c>
      <c r="D262" s="35">
        <v>57.95</v>
      </c>
      <c r="E262" s="222">
        <v>32</v>
      </c>
      <c r="F262" s="186"/>
      <c r="G262" s="186"/>
      <c r="H262" s="308">
        <v>3</v>
      </c>
      <c r="I262" s="227">
        <v>3</v>
      </c>
      <c r="J262" s="82">
        <v>26</v>
      </c>
      <c r="K262" s="331">
        <v>6</v>
      </c>
      <c r="L262" s="83">
        <v>20</v>
      </c>
      <c r="M262" s="84">
        <v>1159</v>
      </c>
      <c r="N262" s="85"/>
    </row>
    <row r="263" spans="2:14" ht="15" customHeight="1">
      <c r="B263" s="79" t="s">
        <v>662</v>
      </c>
      <c r="C263" s="80" t="s">
        <v>663</v>
      </c>
      <c r="D263" s="81">
        <v>60.25</v>
      </c>
      <c r="E263" s="222">
        <v>1</v>
      </c>
      <c r="F263" s="186"/>
      <c r="G263" s="186"/>
      <c r="H263" s="308"/>
      <c r="I263" s="227"/>
      <c r="J263" s="82">
        <v>1</v>
      </c>
      <c r="K263" s="331"/>
      <c r="L263" s="83">
        <v>1</v>
      </c>
      <c r="M263" s="84">
        <v>60.25</v>
      </c>
      <c r="N263" s="85"/>
    </row>
    <row r="264" spans="2:14" ht="15" customHeight="1">
      <c r="B264" s="79" t="s">
        <v>670</v>
      </c>
      <c r="C264" s="80" t="s">
        <v>671</v>
      </c>
      <c r="D264" s="81">
        <v>58.5</v>
      </c>
      <c r="E264" s="222">
        <v>11</v>
      </c>
      <c r="F264" s="186"/>
      <c r="G264" s="186"/>
      <c r="H264" s="308"/>
      <c r="I264" s="227"/>
      <c r="J264" s="82">
        <v>11</v>
      </c>
      <c r="K264" s="331">
        <v>10</v>
      </c>
      <c r="L264" s="83">
        <v>1</v>
      </c>
      <c r="M264" s="84">
        <v>58.5</v>
      </c>
      <c r="N264" s="85"/>
    </row>
    <row r="265" spans="2:14" ht="15" customHeight="1">
      <c r="B265" s="79" t="s">
        <v>707</v>
      </c>
      <c r="C265" s="80" t="s">
        <v>708</v>
      </c>
      <c r="D265" s="81">
        <v>14.65</v>
      </c>
      <c r="E265" s="222">
        <v>60</v>
      </c>
      <c r="F265" s="186"/>
      <c r="G265" s="186"/>
      <c r="H265" s="308"/>
      <c r="I265" s="227"/>
      <c r="J265" s="82">
        <v>60</v>
      </c>
      <c r="K265" s="331">
        <v>1</v>
      </c>
      <c r="L265" s="83">
        <v>59</v>
      </c>
      <c r="M265" s="84">
        <v>864.35</v>
      </c>
      <c r="N265" s="232" t="s">
        <v>3830</v>
      </c>
    </row>
    <row r="266" spans="2:14" ht="15" customHeight="1">
      <c r="B266" s="79" t="s">
        <v>736</v>
      </c>
      <c r="C266" s="80" t="s">
        <v>737</v>
      </c>
      <c r="D266" s="81">
        <v>22.19</v>
      </c>
      <c r="E266" s="222">
        <v>16</v>
      </c>
      <c r="F266" s="186"/>
      <c r="G266" s="186"/>
      <c r="H266" s="308"/>
      <c r="I266" s="227">
        <v>1</v>
      </c>
      <c r="J266" s="82">
        <v>15</v>
      </c>
      <c r="K266" s="331">
        <v>13</v>
      </c>
      <c r="L266" s="83">
        <v>2</v>
      </c>
      <c r="M266" s="84">
        <v>44.379999999999995</v>
      </c>
      <c r="N266" s="85"/>
    </row>
    <row r="267" spans="2:14" ht="15" customHeight="1">
      <c r="B267" s="79" t="s">
        <v>3735</v>
      </c>
      <c r="C267" s="80" t="s">
        <v>3736</v>
      </c>
      <c r="D267" s="81">
        <v>22.19</v>
      </c>
      <c r="E267" s="222">
        <v>23</v>
      </c>
      <c r="F267" s="186"/>
      <c r="G267" s="186"/>
      <c r="H267" s="308"/>
      <c r="I267" s="227">
        <v>1</v>
      </c>
      <c r="J267" s="82">
        <v>22</v>
      </c>
      <c r="K267" s="331">
        <v>17</v>
      </c>
      <c r="L267" s="83">
        <v>5</v>
      </c>
      <c r="M267" s="84">
        <v>110.94999999999999</v>
      </c>
      <c r="N267" s="85"/>
    </row>
    <row r="268" spans="2:14" ht="15" customHeight="1">
      <c r="B268" s="79" t="s">
        <v>772</v>
      </c>
      <c r="C268" s="80" t="s">
        <v>773</v>
      </c>
      <c r="D268" s="81">
        <v>58.14</v>
      </c>
      <c r="E268" s="222">
        <v>1</v>
      </c>
      <c r="F268" s="186"/>
      <c r="G268" s="186"/>
      <c r="H268" s="308"/>
      <c r="I268" s="227"/>
      <c r="J268" s="82">
        <v>1</v>
      </c>
      <c r="K268" s="331"/>
      <c r="L268" s="83">
        <v>1</v>
      </c>
      <c r="M268" s="84">
        <v>58.14</v>
      </c>
      <c r="N268" s="85"/>
    </row>
    <row r="269" spans="2:14" ht="15" customHeight="1">
      <c r="B269" s="79" t="s">
        <v>3749</v>
      </c>
      <c r="C269" s="80" t="s">
        <v>3783</v>
      </c>
      <c r="D269" s="81">
        <v>50.88</v>
      </c>
      <c r="E269" s="222">
        <v>23</v>
      </c>
      <c r="F269" s="186"/>
      <c r="G269" s="186"/>
      <c r="H269" s="308"/>
      <c r="I269" s="227">
        <v>4</v>
      </c>
      <c r="J269" s="82">
        <v>19</v>
      </c>
      <c r="K269" s="331">
        <v>18</v>
      </c>
      <c r="L269" s="83">
        <v>1</v>
      </c>
      <c r="M269" s="84">
        <v>50.879999999999995</v>
      </c>
      <c r="N269" s="85"/>
    </row>
    <row r="270" spans="2:14" ht="15" customHeight="1">
      <c r="B270" s="79" t="s">
        <v>780</v>
      </c>
      <c r="C270" s="80" t="s">
        <v>781</v>
      </c>
      <c r="D270" s="81">
        <v>38</v>
      </c>
      <c r="E270" s="222">
        <v>5</v>
      </c>
      <c r="F270" s="186"/>
      <c r="G270" s="186"/>
      <c r="H270" s="308"/>
      <c r="I270" s="227"/>
      <c r="J270" s="82">
        <v>5</v>
      </c>
      <c r="K270" s="331"/>
      <c r="L270" s="83">
        <v>5</v>
      </c>
      <c r="M270" s="84">
        <v>190</v>
      </c>
      <c r="N270" s="85"/>
    </row>
    <row r="271" spans="2:14" ht="15" customHeight="1">
      <c r="B271" s="79" t="s">
        <v>788</v>
      </c>
      <c r="C271" s="80" t="s">
        <v>789</v>
      </c>
      <c r="D271" s="81">
        <v>38</v>
      </c>
      <c r="E271" s="222">
        <v>4</v>
      </c>
      <c r="F271" s="186"/>
      <c r="G271" s="186"/>
      <c r="H271" s="308"/>
      <c r="I271" s="227"/>
      <c r="J271" s="82">
        <v>4</v>
      </c>
      <c r="K271" s="331"/>
      <c r="L271" s="83">
        <v>4</v>
      </c>
      <c r="M271" s="84">
        <v>152</v>
      </c>
      <c r="N271" s="85" t="s">
        <v>790</v>
      </c>
    </row>
    <row r="272" spans="2:14" ht="15" customHeight="1">
      <c r="B272" s="79" t="s">
        <v>791</v>
      </c>
      <c r="C272" s="80" t="s">
        <v>792</v>
      </c>
      <c r="D272" s="81">
        <v>38</v>
      </c>
      <c r="E272" s="222">
        <v>1</v>
      </c>
      <c r="F272" s="186"/>
      <c r="G272" s="186"/>
      <c r="H272" s="308"/>
      <c r="I272" s="227"/>
      <c r="J272" s="82">
        <v>1</v>
      </c>
      <c r="K272" s="331"/>
      <c r="L272" s="83">
        <v>1</v>
      </c>
      <c r="M272" s="84">
        <v>38</v>
      </c>
      <c r="N272" s="91">
        <v>45427</v>
      </c>
    </row>
    <row r="273" spans="2:14" ht="15" customHeight="1">
      <c r="B273" s="79" t="s">
        <v>800</v>
      </c>
      <c r="C273" s="80" t="s">
        <v>801</v>
      </c>
      <c r="D273" s="81">
        <v>3.94</v>
      </c>
      <c r="E273" s="222">
        <v>10</v>
      </c>
      <c r="F273" s="186"/>
      <c r="G273" s="186"/>
      <c r="H273" s="308"/>
      <c r="I273" s="227">
        <v>2</v>
      </c>
      <c r="J273" s="82">
        <v>8</v>
      </c>
      <c r="K273" s="331"/>
      <c r="L273" s="83">
        <v>8</v>
      </c>
      <c r="M273" s="84">
        <v>31.52</v>
      </c>
      <c r="N273" s="85"/>
    </row>
    <row r="274" spans="2:14" ht="15" customHeight="1">
      <c r="B274" s="79" t="s">
        <v>823</v>
      </c>
      <c r="C274" s="80" t="s">
        <v>824</v>
      </c>
      <c r="D274" s="81">
        <v>46.3</v>
      </c>
      <c r="E274" s="222">
        <v>18</v>
      </c>
      <c r="F274" s="186"/>
      <c r="G274" s="186"/>
      <c r="H274" s="308"/>
      <c r="I274" s="227">
        <v>3</v>
      </c>
      <c r="J274" s="82">
        <v>15</v>
      </c>
      <c r="K274" s="331">
        <v>12</v>
      </c>
      <c r="L274" s="83">
        <v>3</v>
      </c>
      <c r="M274" s="84">
        <v>138.90000000000009</v>
      </c>
      <c r="N274" s="85"/>
    </row>
    <row r="275" spans="2:14" ht="15" customHeight="1">
      <c r="B275" s="79" t="s">
        <v>3761</v>
      </c>
      <c r="C275" s="80" t="s">
        <v>3762</v>
      </c>
      <c r="D275" s="81">
        <v>79.95</v>
      </c>
      <c r="E275" s="222">
        <v>10</v>
      </c>
      <c r="F275" s="186"/>
      <c r="G275" s="186"/>
      <c r="H275" s="308"/>
      <c r="I275" s="227">
        <v>1</v>
      </c>
      <c r="J275" s="82">
        <v>9</v>
      </c>
      <c r="K275" s="331">
        <v>5</v>
      </c>
      <c r="L275" s="83">
        <v>4</v>
      </c>
      <c r="M275" s="84">
        <v>319.80000000000007</v>
      </c>
      <c r="N275" s="85"/>
    </row>
    <row r="276" spans="2:14" ht="15" customHeight="1">
      <c r="B276" s="79" t="s">
        <v>833</v>
      </c>
      <c r="C276" s="80" t="s">
        <v>834</v>
      </c>
      <c r="D276" s="81">
        <v>102.9</v>
      </c>
      <c r="E276" s="222">
        <v>1</v>
      </c>
      <c r="F276" s="186"/>
      <c r="G276" s="186"/>
      <c r="H276" s="308"/>
      <c r="I276" s="227"/>
      <c r="J276" s="82">
        <v>1</v>
      </c>
      <c r="K276" s="331"/>
      <c r="L276" s="83">
        <v>1</v>
      </c>
      <c r="M276" s="84">
        <v>102.9</v>
      </c>
      <c r="N276" s="85"/>
    </row>
    <row r="277" spans="2:14" ht="15" customHeight="1">
      <c r="B277" s="79" t="s">
        <v>853</v>
      </c>
      <c r="C277" s="80" t="s">
        <v>854</v>
      </c>
      <c r="D277" s="81">
        <v>262.92</v>
      </c>
      <c r="E277" s="222">
        <v>5</v>
      </c>
      <c r="F277" s="186"/>
      <c r="G277" s="186"/>
      <c r="H277" s="308"/>
      <c r="I277" s="227"/>
      <c r="J277" s="82">
        <v>5</v>
      </c>
      <c r="K277" s="331"/>
      <c r="L277" s="83">
        <v>5</v>
      </c>
      <c r="M277" s="84">
        <v>1314.6000000000001</v>
      </c>
      <c r="N277" s="85" t="s">
        <v>855</v>
      </c>
    </row>
    <row r="278" spans="2:14" ht="15" customHeight="1">
      <c r="B278" s="79" t="s">
        <v>870</v>
      </c>
      <c r="C278" s="80" t="s">
        <v>871</v>
      </c>
      <c r="D278" s="81">
        <v>16.2</v>
      </c>
      <c r="E278" s="222">
        <v>54</v>
      </c>
      <c r="F278" s="186"/>
      <c r="G278" s="186"/>
      <c r="H278" s="308"/>
      <c r="I278" s="227"/>
      <c r="J278" s="82">
        <v>54</v>
      </c>
      <c r="K278" s="331"/>
      <c r="L278" s="83">
        <v>54</v>
      </c>
      <c r="M278" s="84">
        <v>874.8</v>
      </c>
      <c r="N278" s="77"/>
    </row>
    <row r="279" spans="2:14" ht="15" customHeight="1">
      <c r="B279" s="79" t="s">
        <v>872</v>
      </c>
      <c r="C279" s="80" t="s">
        <v>873</v>
      </c>
      <c r="D279" s="81">
        <v>521</v>
      </c>
      <c r="E279" s="222">
        <v>1</v>
      </c>
      <c r="F279" s="186"/>
      <c r="G279" s="186"/>
      <c r="H279" s="308"/>
      <c r="I279" s="227"/>
      <c r="J279" s="82">
        <v>1</v>
      </c>
      <c r="K279" s="331"/>
      <c r="L279" s="83">
        <v>1</v>
      </c>
      <c r="M279" s="84">
        <v>521</v>
      </c>
      <c r="N279" s="85"/>
    </row>
    <row r="280" spans="2:14" ht="15" customHeight="1">
      <c r="B280" s="79" t="s">
        <v>880</v>
      </c>
      <c r="C280" s="80" t="s">
        <v>881</v>
      </c>
      <c r="D280" s="81">
        <v>14.37</v>
      </c>
      <c r="E280" s="222">
        <v>61</v>
      </c>
      <c r="F280" s="186"/>
      <c r="G280" s="186"/>
      <c r="H280" s="308"/>
      <c r="I280" s="227"/>
      <c r="J280" s="82">
        <v>61</v>
      </c>
      <c r="K280" s="331"/>
      <c r="L280" s="83">
        <v>61</v>
      </c>
      <c r="M280" s="84">
        <v>876.56999999999994</v>
      </c>
      <c r="N280" s="91">
        <v>45672</v>
      </c>
    </row>
    <row r="281" spans="2:14" ht="15" customHeight="1">
      <c r="B281" s="79" t="s">
        <v>891</v>
      </c>
      <c r="C281" s="80" t="s">
        <v>892</v>
      </c>
      <c r="D281" s="81">
        <v>39.28</v>
      </c>
      <c r="E281" s="222">
        <v>6</v>
      </c>
      <c r="F281" s="186"/>
      <c r="G281" s="186"/>
      <c r="H281" s="308"/>
      <c r="I281" s="227"/>
      <c r="J281" s="82">
        <v>6</v>
      </c>
      <c r="K281" s="331"/>
      <c r="L281" s="83">
        <v>6</v>
      </c>
      <c r="M281" s="84">
        <v>235.68</v>
      </c>
      <c r="N281" s="85"/>
    </row>
    <row r="282" spans="2:14" ht="15" customHeight="1">
      <c r="B282" s="79" t="s">
        <v>902</v>
      </c>
      <c r="C282" s="80" t="s">
        <v>903</v>
      </c>
      <c r="D282" s="81">
        <v>24.35</v>
      </c>
      <c r="E282" s="222">
        <v>62</v>
      </c>
      <c r="F282" s="186"/>
      <c r="G282" s="186"/>
      <c r="H282" s="308"/>
      <c r="I282" s="227"/>
      <c r="J282" s="82">
        <v>62</v>
      </c>
      <c r="K282" s="331">
        <v>48</v>
      </c>
      <c r="L282" s="83">
        <v>14</v>
      </c>
      <c r="M282" s="84">
        <v>340.89999999999986</v>
      </c>
      <c r="N282" s="232"/>
    </row>
    <row r="283" spans="2:14" ht="15" customHeight="1">
      <c r="B283" s="79" t="s">
        <v>3757</v>
      </c>
      <c r="C283" s="80" t="s">
        <v>3758</v>
      </c>
      <c r="D283" s="81">
        <v>9.26</v>
      </c>
      <c r="E283" s="222">
        <v>117</v>
      </c>
      <c r="F283" s="186"/>
      <c r="G283" s="186"/>
      <c r="H283" s="308"/>
      <c r="I283" s="227">
        <v>2</v>
      </c>
      <c r="J283" s="82">
        <v>115</v>
      </c>
      <c r="K283" s="331"/>
      <c r="L283" s="83">
        <v>115</v>
      </c>
      <c r="M283" s="84">
        <v>1064.8999999999999</v>
      </c>
      <c r="N283" s="85"/>
    </row>
    <row r="284" spans="2:14" ht="15" customHeight="1">
      <c r="B284" s="79" t="s">
        <v>915</v>
      </c>
      <c r="C284" s="80" t="s">
        <v>916</v>
      </c>
      <c r="D284" s="81">
        <v>38.57</v>
      </c>
      <c r="E284" s="222">
        <v>20</v>
      </c>
      <c r="F284" s="186"/>
      <c r="G284" s="186"/>
      <c r="H284" s="308"/>
      <c r="I284" s="227">
        <v>2</v>
      </c>
      <c r="J284" s="82">
        <v>18</v>
      </c>
      <c r="K284" s="331"/>
      <c r="L284" s="83">
        <v>18</v>
      </c>
      <c r="M284" s="84">
        <v>694.26</v>
      </c>
      <c r="N284" s="85"/>
    </row>
    <row r="285" spans="2:14" ht="15" customHeight="1">
      <c r="B285" s="79" t="s">
        <v>917</v>
      </c>
      <c r="C285" s="80" t="s">
        <v>918</v>
      </c>
      <c r="D285" s="81">
        <v>12.56</v>
      </c>
      <c r="E285" s="222">
        <v>58</v>
      </c>
      <c r="F285" s="186"/>
      <c r="G285" s="186"/>
      <c r="H285" s="308"/>
      <c r="I285" s="227">
        <v>2</v>
      </c>
      <c r="J285" s="82">
        <v>56</v>
      </c>
      <c r="K285" s="331">
        <v>47</v>
      </c>
      <c r="L285" s="83">
        <v>9</v>
      </c>
      <c r="M285" s="84">
        <v>113.03999999999996</v>
      </c>
      <c r="N285" s="85"/>
    </row>
    <row r="286" spans="2:14" ht="15" customHeight="1">
      <c r="B286" s="79" t="s">
        <v>919</v>
      </c>
      <c r="C286" s="80" t="s">
        <v>920</v>
      </c>
      <c r="D286" s="81">
        <v>0</v>
      </c>
      <c r="E286" s="222">
        <v>1045</v>
      </c>
      <c r="F286" s="186"/>
      <c r="G286" s="186"/>
      <c r="H286" s="308"/>
      <c r="I286" s="227">
        <v>10</v>
      </c>
      <c r="J286" s="82">
        <v>1035</v>
      </c>
      <c r="K286" s="331">
        <v>70</v>
      </c>
      <c r="L286" s="83">
        <v>965</v>
      </c>
      <c r="M286" s="84">
        <v>0</v>
      </c>
      <c r="N286" s="85" t="s">
        <v>921</v>
      </c>
    </row>
    <row r="287" spans="2:14" ht="15" customHeight="1">
      <c r="B287" s="79" t="s">
        <v>923</v>
      </c>
      <c r="C287" s="80" t="s">
        <v>924</v>
      </c>
      <c r="D287" s="315">
        <v>12.56</v>
      </c>
      <c r="E287" s="222">
        <v>53</v>
      </c>
      <c r="F287" s="186"/>
      <c r="G287" s="186"/>
      <c r="H287" s="308"/>
      <c r="I287" s="227">
        <v>2</v>
      </c>
      <c r="J287" s="82">
        <v>51</v>
      </c>
      <c r="K287" s="331">
        <v>50</v>
      </c>
      <c r="L287" s="83">
        <v>1</v>
      </c>
      <c r="M287" s="84">
        <v>12.560000000000059</v>
      </c>
      <c r="N287" s="85"/>
    </row>
    <row r="288" spans="2:14" ht="15" customHeight="1">
      <c r="B288" s="79" t="s">
        <v>946</v>
      </c>
      <c r="C288" s="80" t="s">
        <v>947</v>
      </c>
      <c r="D288" s="81">
        <v>13.1</v>
      </c>
      <c r="E288" s="222">
        <v>5</v>
      </c>
      <c r="F288" s="186"/>
      <c r="G288" s="186"/>
      <c r="H288" s="308"/>
      <c r="I288" s="69"/>
      <c r="J288" s="82">
        <v>5</v>
      </c>
      <c r="K288" s="331"/>
      <c r="L288" s="83">
        <v>5</v>
      </c>
      <c r="M288" s="84">
        <v>65.5</v>
      </c>
      <c r="N288" s="85"/>
    </row>
    <row r="289" spans="2:14" ht="15" customHeight="1">
      <c r="B289" s="79" t="s">
        <v>948</v>
      </c>
      <c r="C289" s="80" t="s">
        <v>949</v>
      </c>
      <c r="D289" s="81">
        <v>13.1</v>
      </c>
      <c r="E289" s="222">
        <v>14</v>
      </c>
      <c r="F289" s="186"/>
      <c r="G289" s="186"/>
      <c r="H289" s="308"/>
      <c r="I289" s="227"/>
      <c r="J289" s="82">
        <v>14</v>
      </c>
      <c r="K289" s="331">
        <v>2</v>
      </c>
      <c r="L289" s="83">
        <v>12</v>
      </c>
      <c r="M289" s="84">
        <v>157.20000000000002</v>
      </c>
      <c r="N289" s="85" t="s">
        <v>950</v>
      </c>
    </row>
    <row r="290" spans="2:14" ht="15" customHeight="1">
      <c r="B290" s="79" t="s">
        <v>952</v>
      </c>
      <c r="C290" s="80" t="s">
        <v>953</v>
      </c>
      <c r="D290" s="81">
        <v>12.6</v>
      </c>
      <c r="E290" s="222">
        <v>17</v>
      </c>
      <c r="F290" s="186"/>
      <c r="G290" s="186"/>
      <c r="H290" s="308"/>
      <c r="I290" s="227"/>
      <c r="J290" s="82">
        <v>17</v>
      </c>
      <c r="K290" s="331">
        <v>4</v>
      </c>
      <c r="L290" s="83">
        <v>13</v>
      </c>
      <c r="M290" s="84">
        <v>163.79999999999998</v>
      </c>
      <c r="N290" s="85" t="s">
        <v>954</v>
      </c>
    </row>
    <row r="291" spans="2:14" ht="15" customHeight="1">
      <c r="B291" s="79" t="s">
        <v>958</v>
      </c>
      <c r="C291" s="80" t="s">
        <v>959</v>
      </c>
      <c r="D291" s="81">
        <v>150</v>
      </c>
      <c r="E291" s="222">
        <v>7</v>
      </c>
      <c r="F291" s="186"/>
      <c r="G291" s="186"/>
      <c r="H291" s="308"/>
      <c r="I291" s="227">
        <v>1</v>
      </c>
      <c r="J291" s="82">
        <v>6</v>
      </c>
      <c r="K291" s="331">
        <v>4</v>
      </c>
      <c r="L291" s="83">
        <v>2</v>
      </c>
      <c r="M291" s="84">
        <v>300</v>
      </c>
      <c r="N291" s="85"/>
    </row>
    <row r="292" spans="2:14" ht="15" customHeight="1">
      <c r="B292" s="79" t="s">
        <v>960</v>
      </c>
      <c r="C292" s="80" t="s">
        <v>961</v>
      </c>
      <c r="D292" s="81">
        <v>300</v>
      </c>
      <c r="E292" s="222">
        <v>14</v>
      </c>
      <c r="F292" s="186"/>
      <c r="G292" s="186"/>
      <c r="H292" s="308"/>
      <c r="I292" s="227">
        <v>4</v>
      </c>
      <c r="J292" s="82">
        <v>10</v>
      </c>
      <c r="K292" s="331">
        <v>7</v>
      </c>
      <c r="L292" s="83">
        <v>3</v>
      </c>
      <c r="M292" s="84">
        <v>900</v>
      </c>
      <c r="N292" s="85"/>
    </row>
    <row r="293" spans="2:14" ht="15" customHeight="1">
      <c r="B293" s="79" t="s">
        <v>962</v>
      </c>
      <c r="C293" s="80" t="s">
        <v>963</v>
      </c>
      <c r="D293" s="81">
        <v>145.18</v>
      </c>
      <c r="E293" s="222">
        <v>5</v>
      </c>
      <c r="F293" s="186"/>
      <c r="G293" s="186"/>
      <c r="H293" s="308"/>
      <c r="I293" s="227">
        <v>1</v>
      </c>
      <c r="J293" s="82">
        <v>4</v>
      </c>
      <c r="K293" s="331"/>
      <c r="L293" s="83">
        <v>4</v>
      </c>
      <c r="M293" s="84">
        <v>580.72</v>
      </c>
      <c r="N293" s="232"/>
    </row>
    <row r="294" spans="2:14" ht="15" customHeight="1">
      <c r="B294" s="79" t="s">
        <v>977</v>
      </c>
      <c r="C294" s="80" t="s">
        <v>978</v>
      </c>
      <c r="D294" s="81">
        <v>50.43</v>
      </c>
      <c r="E294" s="222">
        <v>73</v>
      </c>
      <c r="F294" s="186"/>
      <c r="G294" s="186"/>
      <c r="H294" s="308"/>
      <c r="I294" s="227"/>
      <c r="J294" s="82">
        <v>73</v>
      </c>
      <c r="K294" s="331">
        <v>72</v>
      </c>
      <c r="L294" s="83">
        <v>1</v>
      </c>
      <c r="M294" s="84">
        <v>50.429999999999836</v>
      </c>
      <c r="N294" s="85"/>
    </row>
    <row r="295" spans="2:14" ht="15" customHeight="1">
      <c r="B295" s="79" t="s">
        <v>985</v>
      </c>
      <c r="C295" s="80" t="s">
        <v>986</v>
      </c>
      <c r="D295" s="81">
        <v>13.32</v>
      </c>
      <c r="E295" s="222">
        <v>129</v>
      </c>
      <c r="F295" s="186"/>
      <c r="G295" s="186"/>
      <c r="H295" s="308"/>
      <c r="I295" s="227">
        <v>9</v>
      </c>
      <c r="J295" s="82">
        <v>120</v>
      </c>
      <c r="K295" s="331">
        <v>95</v>
      </c>
      <c r="L295" s="83">
        <v>25</v>
      </c>
      <c r="M295" s="84">
        <v>333</v>
      </c>
      <c r="N295" s="232"/>
    </row>
    <row r="296" spans="2:14" ht="15" customHeight="1">
      <c r="B296" s="79" t="s">
        <v>995</v>
      </c>
      <c r="C296" s="80" t="s">
        <v>996</v>
      </c>
      <c r="D296" s="81">
        <v>18.57</v>
      </c>
      <c r="E296" s="222">
        <v>124</v>
      </c>
      <c r="F296" s="186"/>
      <c r="G296" s="186"/>
      <c r="H296" s="308"/>
      <c r="I296" s="227">
        <v>4</v>
      </c>
      <c r="J296" s="82">
        <v>120</v>
      </c>
      <c r="K296" s="331">
        <v>115</v>
      </c>
      <c r="L296" s="83">
        <v>5</v>
      </c>
      <c r="M296" s="84">
        <v>92.849999999999909</v>
      </c>
      <c r="N296" s="85"/>
    </row>
    <row r="297" spans="2:14" ht="15" customHeight="1">
      <c r="B297" s="79" t="s">
        <v>1014</v>
      </c>
      <c r="C297" s="80" t="s">
        <v>1015</v>
      </c>
      <c r="D297" s="81">
        <v>44.78</v>
      </c>
      <c r="E297" s="222">
        <v>48</v>
      </c>
      <c r="F297" s="186"/>
      <c r="G297" s="186"/>
      <c r="H297" s="308"/>
      <c r="I297" s="227">
        <v>1</v>
      </c>
      <c r="J297" s="82">
        <v>47</v>
      </c>
      <c r="K297" s="331"/>
      <c r="L297" s="83">
        <v>47</v>
      </c>
      <c r="M297" s="84">
        <v>2104.66</v>
      </c>
      <c r="N297" s="85"/>
    </row>
    <row r="298" spans="2:14" ht="15" customHeight="1">
      <c r="B298" s="79" t="s">
        <v>1016</v>
      </c>
      <c r="C298" s="80" t="s">
        <v>1017</v>
      </c>
      <c r="D298" s="81">
        <v>61.93</v>
      </c>
      <c r="E298" s="222">
        <v>18</v>
      </c>
      <c r="F298" s="186"/>
      <c r="G298" s="186"/>
      <c r="H298" s="308"/>
      <c r="I298" s="227">
        <v>8</v>
      </c>
      <c r="J298" s="82">
        <v>10</v>
      </c>
      <c r="K298" s="331"/>
      <c r="L298" s="83">
        <v>10</v>
      </c>
      <c r="M298" s="84">
        <v>619.29999999999995</v>
      </c>
      <c r="N298" s="85"/>
    </row>
    <row r="299" spans="2:14" ht="15" customHeight="1">
      <c r="B299" s="79" t="s">
        <v>1018</v>
      </c>
      <c r="C299" s="80" t="s">
        <v>1019</v>
      </c>
      <c r="D299" s="81">
        <v>109.57</v>
      </c>
      <c r="E299" s="222">
        <v>11</v>
      </c>
      <c r="F299" s="186"/>
      <c r="G299" s="186"/>
      <c r="H299" s="308"/>
      <c r="I299" s="227">
        <v>9</v>
      </c>
      <c r="J299" s="82">
        <v>2</v>
      </c>
      <c r="K299" s="331"/>
      <c r="L299" s="83">
        <v>2</v>
      </c>
      <c r="M299" s="84">
        <v>219.14</v>
      </c>
      <c r="N299" s="85"/>
    </row>
    <row r="300" spans="2:14" ht="15" customHeight="1">
      <c r="B300" s="79" t="s">
        <v>1020</v>
      </c>
      <c r="C300" s="80" t="s">
        <v>1021</v>
      </c>
      <c r="D300" s="81">
        <v>90.94</v>
      </c>
      <c r="E300" s="222">
        <v>4</v>
      </c>
      <c r="F300" s="186"/>
      <c r="G300" s="186"/>
      <c r="H300" s="308"/>
      <c r="I300" s="227">
        <v>1</v>
      </c>
      <c r="J300" s="82">
        <v>3</v>
      </c>
      <c r="K300" s="331"/>
      <c r="L300" s="83">
        <v>3</v>
      </c>
      <c r="M300" s="84">
        <v>272.82</v>
      </c>
      <c r="N300" s="85"/>
    </row>
    <row r="301" spans="2:14" ht="15" customHeight="1">
      <c r="B301" s="79" t="s">
        <v>1024</v>
      </c>
      <c r="C301" s="80" t="s">
        <v>1025</v>
      </c>
      <c r="D301" s="81">
        <v>8.58</v>
      </c>
      <c r="E301" s="222">
        <v>480</v>
      </c>
      <c r="F301" s="186"/>
      <c r="G301" s="186"/>
      <c r="H301" s="308"/>
      <c r="I301" s="227">
        <v>91</v>
      </c>
      <c r="J301" s="82">
        <v>389</v>
      </c>
      <c r="K301" s="331">
        <v>383</v>
      </c>
      <c r="L301" s="83">
        <v>6</v>
      </c>
      <c r="M301" s="84">
        <v>51.480000000000018</v>
      </c>
      <c r="N301" s="85"/>
    </row>
    <row r="302" spans="2:14" ht="15" customHeight="1">
      <c r="B302" s="79" t="s">
        <v>1044</v>
      </c>
      <c r="C302" s="80" t="s">
        <v>1045</v>
      </c>
      <c r="D302" s="81">
        <v>18.2</v>
      </c>
      <c r="E302" s="222">
        <v>88</v>
      </c>
      <c r="F302" s="186"/>
      <c r="G302" s="186"/>
      <c r="H302" s="308"/>
      <c r="I302" s="227">
        <v>3</v>
      </c>
      <c r="J302" s="82">
        <v>85</v>
      </c>
      <c r="K302" s="331">
        <v>74</v>
      </c>
      <c r="L302" s="83">
        <v>11</v>
      </c>
      <c r="M302" s="84">
        <v>200.20000000000005</v>
      </c>
      <c r="N302" s="85" t="s">
        <v>1046</v>
      </c>
    </row>
    <row r="303" spans="2:14" ht="15" customHeight="1">
      <c r="B303" s="79" t="s">
        <v>1057</v>
      </c>
      <c r="C303" s="80" t="s">
        <v>1058</v>
      </c>
      <c r="D303" s="81">
        <v>140</v>
      </c>
      <c r="E303" s="222">
        <v>10</v>
      </c>
      <c r="F303" s="186"/>
      <c r="G303" s="186">
        <v>16</v>
      </c>
      <c r="H303" s="308"/>
      <c r="I303" s="227">
        <v>5</v>
      </c>
      <c r="J303" s="82">
        <v>21</v>
      </c>
      <c r="K303" s="331">
        <v>18</v>
      </c>
      <c r="L303" s="83">
        <v>3</v>
      </c>
      <c r="M303" s="84">
        <v>420</v>
      </c>
      <c r="N303" s="85"/>
    </row>
    <row r="304" spans="2:14" ht="15" customHeight="1">
      <c r="B304" s="79" t="s">
        <v>1063</v>
      </c>
      <c r="C304" s="80" t="s">
        <v>1064</v>
      </c>
      <c r="D304" s="81">
        <v>48.6</v>
      </c>
      <c r="E304" s="222">
        <v>4</v>
      </c>
      <c r="F304" s="186"/>
      <c r="G304" s="186"/>
      <c r="H304" s="308"/>
      <c r="I304" s="227"/>
      <c r="J304" s="82">
        <v>4</v>
      </c>
      <c r="K304" s="331"/>
      <c r="L304" s="83">
        <v>4</v>
      </c>
      <c r="M304" s="84">
        <v>194.4</v>
      </c>
      <c r="N304" s="85"/>
    </row>
    <row r="305" spans="2:14" ht="15" customHeight="1">
      <c r="B305" s="79" t="s">
        <v>1077</v>
      </c>
      <c r="C305" s="80" t="s">
        <v>1078</v>
      </c>
      <c r="D305" s="81">
        <v>29.17</v>
      </c>
      <c r="E305" s="222">
        <v>3</v>
      </c>
      <c r="F305" s="186"/>
      <c r="G305" s="186"/>
      <c r="H305" s="308"/>
      <c r="I305" s="227"/>
      <c r="J305" s="82">
        <v>3</v>
      </c>
      <c r="K305" s="331"/>
      <c r="L305" s="83">
        <v>3</v>
      </c>
      <c r="M305" s="84">
        <v>87.51</v>
      </c>
      <c r="N305" s="232"/>
    </row>
    <row r="306" spans="2:14" ht="15" customHeight="1">
      <c r="B306" s="79" t="s">
        <v>1079</v>
      </c>
      <c r="C306" s="80" t="s">
        <v>1080</v>
      </c>
      <c r="D306" s="81">
        <v>32</v>
      </c>
      <c r="E306" s="222">
        <v>159</v>
      </c>
      <c r="F306" s="186"/>
      <c r="G306" s="186"/>
      <c r="H306" s="308"/>
      <c r="I306" s="227"/>
      <c r="J306" s="82">
        <v>159</v>
      </c>
      <c r="K306" s="331">
        <v>146</v>
      </c>
      <c r="L306" s="83">
        <v>13</v>
      </c>
      <c r="M306" s="84">
        <v>416</v>
      </c>
      <c r="N306" s="85" t="s">
        <v>1081</v>
      </c>
    </row>
    <row r="307" spans="2:14" ht="15" customHeight="1">
      <c r="B307" s="79" t="s">
        <v>1086</v>
      </c>
      <c r="C307" s="80" t="s">
        <v>1087</v>
      </c>
      <c r="D307" s="81">
        <v>15.2</v>
      </c>
      <c r="E307" s="222">
        <v>71</v>
      </c>
      <c r="F307" s="186"/>
      <c r="G307" s="186"/>
      <c r="H307" s="308"/>
      <c r="I307" s="227"/>
      <c r="J307" s="82">
        <v>71</v>
      </c>
      <c r="K307" s="331">
        <v>66</v>
      </c>
      <c r="L307" s="83">
        <v>5</v>
      </c>
      <c r="M307" s="84">
        <v>76.000000000000114</v>
      </c>
      <c r="N307" s="85"/>
    </row>
    <row r="308" spans="2:14" ht="15" customHeight="1">
      <c r="B308" s="79" t="s">
        <v>1092</v>
      </c>
      <c r="C308" s="80" t="s">
        <v>1093</v>
      </c>
      <c r="D308" s="81">
        <v>8.75</v>
      </c>
      <c r="E308" s="222">
        <v>114</v>
      </c>
      <c r="F308" s="186"/>
      <c r="G308" s="186"/>
      <c r="H308" s="308"/>
      <c r="I308" s="227"/>
      <c r="J308" s="82">
        <v>114</v>
      </c>
      <c r="K308" s="331">
        <v>22</v>
      </c>
      <c r="L308" s="83">
        <v>92</v>
      </c>
      <c r="M308" s="84">
        <v>805</v>
      </c>
      <c r="N308" s="91">
        <v>45709</v>
      </c>
    </row>
    <row r="309" spans="2:14" ht="15" customHeight="1">
      <c r="B309" s="79" t="s">
        <v>1092</v>
      </c>
      <c r="C309" s="80" t="s">
        <v>1093</v>
      </c>
      <c r="D309" s="81">
        <v>9</v>
      </c>
      <c r="E309" s="222"/>
      <c r="F309" s="186"/>
      <c r="G309" s="186">
        <v>24</v>
      </c>
      <c r="H309" s="308"/>
      <c r="I309" s="227">
        <v>2</v>
      </c>
      <c r="J309" s="82">
        <v>22</v>
      </c>
      <c r="K309" s="331"/>
      <c r="L309" s="83">
        <v>22</v>
      </c>
      <c r="M309" s="84">
        <v>198</v>
      </c>
      <c r="N309" s="91">
        <v>45709</v>
      </c>
    </row>
    <row r="310" spans="2:14" ht="15" customHeight="1">
      <c r="B310" s="79" t="s">
        <v>1095</v>
      </c>
      <c r="C310" s="80" t="s">
        <v>1096</v>
      </c>
      <c r="D310" s="81">
        <v>8.75</v>
      </c>
      <c r="E310" s="222">
        <v>41</v>
      </c>
      <c r="F310" s="186"/>
      <c r="G310" s="186"/>
      <c r="H310" s="308"/>
      <c r="I310" s="227">
        <v>1</v>
      </c>
      <c r="J310" s="82">
        <v>40</v>
      </c>
      <c r="K310" s="331">
        <v>30</v>
      </c>
      <c r="L310" s="83">
        <v>10</v>
      </c>
      <c r="M310" s="84">
        <v>87.5</v>
      </c>
      <c r="N310" s="85"/>
    </row>
    <row r="311" spans="2:14" ht="15" customHeight="1">
      <c r="B311" s="79" t="s">
        <v>1119</v>
      </c>
      <c r="C311" s="80" t="s">
        <v>1120</v>
      </c>
      <c r="D311" s="81">
        <v>18.75</v>
      </c>
      <c r="E311" s="222">
        <v>9</v>
      </c>
      <c r="F311" s="186"/>
      <c r="G311" s="186"/>
      <c r="H311" s="308"/>
      <c r="I311" s="227"/>
      <c r="J311" s="82">
        <v>9</v>
      </c>
      <c r="K311" s="331">
        <v>1</v>
      </c>
      <c r="L311" s="83">
        <v>8</v>
      </c>
      <c r="M311" s="84">
        <v>150</v>
      </c>
      <c r="N311" s="85"/>
    </row>
    <row r="312" spans="2:14" ht="15" customHeight="1">
      <c r="B312" s="79" t="s">
        <v>1121</v>
      </c>
      <c r="C312" s="80" t="s">
        <v>1122</v>
      </c>
      <c r="D312" s="193">
        <v>15.25</v>
      </c>
      <c r="E312" s="222">
        <v>9</v>
      </c>
      <c r="F312" s="186"/>
      <c r="G312" s="186"/>
      <c r="H312" s="308"/>
      <c r="I312" s="227">
        <v>3</v>
      </c>
      <c r="J312" s="82">
        <v>6</v>
      </c>
      <c r="K312" s="331">
        <v>5</v>
      </c>
      <c r="L312" s="83">
        <v>1</v>
      </c>
      <c r="M312" s="84">
        <v>15.25</v>
      </c>
      <c r="N312" s="85"/>
    </row>
    <row r="313" spans="2:14" ht="15" customHeight="1">
      <c r="B313" s="79" t="s">
        <v>1123</v>
      </c>
      <c r="C313" s="80" t="s">
        <v>1124</v>
      </c>
      <c r="D313" s="81">
        <v>14</v>
      </c>
      <c r="E313" s="222">
        <v>46</v>
      </c>
      <c r="F313" s="186"/>
      <c r="G313" s="186"/>
      <c r="H313" s="308"/>
      <c r="I313" s="227"/>
      <c r="J313" s="82">
        <v>46</v>
      </c>
      <c r="K313" s="331">
        <v>45</v>
      </c>
      <c r="L313" s="83">
        <v>1</v>
      </c>
      <c r="M313" s="84">
        <v>14</v>
      </c>
      <c r="N313" s="85" t="s">
        <v>1125</v>
      </c>
    </row>
    <row r="314" spans="2:14" ht="15" customHeight="1">
      <c r="B314" s="79" t="s">
        <v>1126</v>
      </c>
      <c r="C314" s="80" t="s">
        <v>1127</v>
      </c>
      <c r="D314" s="81">
        <v>18.5</v>
      </c>
      <c r="E314" s="222">
        <v>6</v>
      </c>
      <c r="F314" s="186"/>
      <c r="G314" s="186"/>
      <c r="H314" s="308"/>
      <c r="I314" s="227"/>
      <c r="J314" s="82">
        <v>6</v>
      </c>
      <c r="K314" s="331">
        <v>1</v>
      </c>
      <c r="L314" s="83">
        <v>5</v>
      </c>
      <c r="M314" s="84">
        <v>92.5</v>
      </c>
      <c r="N314" s="232"/>
    </row>
    <row r="315" spans="2:14" ht="15" customHeight="1">
      <c r="B315" s="79" t="s">
        <v>1128</v>
      </c>
      <c r="C315" s="80" t="s">
        <v>1129</v>
      </c>
      <c r="D315" s="193">
        <v>14.25</v>
      </c>
      <c r="E315" s="222">
        <v>35</v>
      </c>
      <c r="F315" s="186"/>
      <c r="G315" s="186"/>
      <c r="H315" s="308"/>
      <c r="I315" s="227">
        <v>1</v>
      </c>
      <c r="J315" s="82">
        <v>34</v>
      </c>
      <c r="K315" s="331">
        <v>29</v>
      </c>
      <c r="L315" s="83">
        <v>5</v>
      </c>
      <c r="M315" s="84">
        <v>71.25</v>
      </c>
      <c r="N315" s="85" t="s">
        <v>1130</v>
      </c>
    </row>
    <row r="316" spans="2:14" ht="15" customHeight="1">
      <c r="B316" s="79" t="s">
        <v>1131</v>
      </c>
      <c r="C316" s="80" t="s">
        <v>1132</v>
      </c>
      <c r="D316" s="81">
        <v>18.5</v>
      </c>
      <c r="E316" s="222">
        <v>1</v>
      </c>
      <c r="F316" s="186"/>
      <c r="G316" s="186"/>
      <c r="H316" s="308"/>
      <c r="I316" s="227"/>
      <c r="J316" s="82">
        <v>1</v>
      </c>
      <c r="K316" s="331"/>
      <c r="L316" s="83">
        <v>1</v>
      </c>
      <c r="M316" s="84">
        <v>18.5</v>
      </c>
      <c r="N316" s="85"/>
    </row>
    <row r="317" spans="2:14" ht="15" customHeight="1">
      <c r="B317" s="79" t="s">
        <v>1133</v>
      </c>
      <c r="C317" s="80" t="s">
        <v>1134</v>
      </c>
      <c r="D317" s="81">
        <v>14</v>
      </c>
      <c r="E317" s="222">
        <v>42</v>
      </c>
      <c r="F317" s="186"/>
      <c r="G317" s="186"/>
      <c r="H317" s="308"/>
      <c r="I317" s="227"/>
      <c r="J317" s="82">
        <v>42</v>
      </c>
      <c r="K317" s="331"/>
      <c r="L317" s="83">
        <v>42</v>
      </c>
      <c r="M317" s="84">
        <v>588</v>
      </c>
      <c r="N317" s="85"/>
    </row>
    <row r="318" spans="2:14" ht="15" customHeight="1">
      <c r="B318" s="79" t="s">
        <v>1133</v>
      </c>
      <c r="C318" s="80" t="s">
        <v>1134</v>
      </c>
      <c r="D318" s="81">
        <v>14.75</v>
      </c>
      <c r="E318" s="222"/>
      <c r="F318" s="186"/>
      <c r="G318" s="186">
        <v>24</v>
      </c>
      <c r="H318" s="308"/>
      <c r="I318" s="227"/>
      <c r="J318" s="82">
        <v>24</v>
      </c>
      <c r="K318" s="331">
        <v>23</v>
      </c>
      <c r="L318" s="83">
        <v>1</v>
      </c>
      <c r="M318" s="84">
        <v>14.75</v>
      </c>
      <c r="N318" s="85"/>
    </row>
    <row r="319" spans="2:14" ht="15" customHeight="1">
      <c r="B319" s="79" t="s">
        <v>1135</v>
      </c>
      <c r="C319" s="80" t="s">
        <v>1136</v>
      </c>
      <c r="D319" s="81">
        <v>18.5</v>
      </c>
      <c r="E319" s="222">
        <v>6</v>
      </c>
      <c r="F319" s="186"/>
      <c r="G319" s="186"/>
      <c r="H319" s="308"/>
      <c r="I319" s="227"/>
      <c r="J319" s="82">
        <v>6</v>
      </c>
      <c r="K319" s="331"/>
      <c r="L319" s="83">
        <v>6</v>
      </c>
      <c r="M319" s="84">
        <v>111</v>
      </c>
      <c r="N319" s="232"/>
    </row>
    <row r="320" spans="2:14" ht="15" customHeight="1">
      <c r="B320" s="79" t="s">
        <v>1137</v>
      </c>
      <c r="C320" s="80" t="s">
        <v>1138</v>
      </c>
      <c r="D320" s="81">
        <v>14</v>
      </c>
      <c r="E320" s="222">
        <v>21</v>
      </c>
      <c r="F320" s="186"/>
      <c r="G320" s="186"/>
      <c r="H320" s="308"/>
      <c r="I320" s="227"/>
      <c r="J320" s="82">
        <v>21</v>
      </c>
      <c r="K320" s="331">
        <v>4</v>
      </c>
      <c r="L320" s="83">
        <v>17</v>
      </c>
      <c r="M320" s="84">
        <v>238</v>
      </c>
      <c r="N320" s="91">
        <v>45712</v>
      </c>
    </row>
    <row r="321" spans="2:14" ht="15" customHeight="1">
      <c r="B321" s="79" t="s">
        <v>1139</v>
      </c>
      <c r="C321" s="80" t="s">
        <v>1140</v>
      </c>
      <c r="D321" s="81">
        <v>14</v>
      </c>
      <c r="E321" s="222">
        <v>8</v>
      </c>
      <c r="F321" s="186"/>
      <c r="G321" s="186"/>
      <c r="H321" s="308"/>
      <c r="I321" s="227">
        <v>5</v>
      </c>
      <c r="J321" s="82">
        <v>3</v>
      </c>
      <c r="K321" s="331"/>
      <c r="L321" s="83">
        <v>3</v>
      </c>
      <c r="M321" s="84">
        <v>42</v>
      </c>
      <c r="N321" s="85"/>
    </row>
    <row r="322" spans="2:14" ht="15" customHeight="1">
      <c r="B322" s="79" t="s">
        <v>1143</v>
      </c>
      <c r="C322" s="80" t="s">
        <v>1144</v>
      </c>
      <c r="D322" s="81">
        <v>10</v>
      </c>
      <c r="E322" s="222">
        <v>46</v>
      </c>
      <c r="F322" s="186"/>
      <c r="G322" s="186"/>
      <c r="H322" s="308"/>
      <c r="I322" s="227"/>
      <c r="J322" s="82">
        <v>46</v>
      </c>
      <c r="K322" s="331">
        <v>1</v>
      </c>
      <c r="L322" s="83">
        <v>45</v>
      </c>
      <c r="M322" s="84">
        <v>450</v>
      </c>
      <c r="N322" s="85" t="s">
        <v>1145</v>
      </c>
    </row>
    <row r="323" spans="2:14" ht="15" customHeight="1">
      <c r="B323" s="79" t="s">
        <v>1154</v>
      </c>
      <c r="C323" s="80" t="s">
        <v>1155</v>
      </c>
      <c r="D323" s="81">
        <v>20.36</v>
      </c>
      <c r="E323" s="222">
        <v>9</v>
      </c>
      <c r="F323" s="186"/>
      <c r="G323" s="186"/>
      <c r="H323" s="308"/>
      <c r="I323" s="227"/>
      <c r="J323" s="82">
        <v>9</v>
      </c>
      <c r="K323" s="331">
        <v>2</v>
      </c>
      <c r="L323" s="83">
        <v>7</v>
      </c>
      <c r="M323" s="84">
        <v>142.52000000000001</v>
      </c>
      <c r="N323" s="85"/>
    </row>
    <row r="324" spans="2:14" ht="15" customHeight="1">
      <c r="B324" s="79" t="s">
        <v>1154</v>
      </c>
      <c r="C324" s="80" t="s">
        <v>1155</v>
      </c>
      <c r="D324" s="81">
        <v>24.04</v>
      </c>
      <c r="E324" s="222">
        <v>48</v>
      </c>
      <c r="F324" s="186"/>
      <c r="G324" s="186"/>
      <c r="H324" s="308"/>
      <c r="I324" s="227">
        <v>2</v>
      </c>
      <c r="J324" s="82">
        <v>46</v>
      </c>
      <c r="K324" s="331">
        <v>45</v>
      </c>
      <c r="L324" s="83">
        <v>1</v>
      </c>
      <c r="M324" s="84">
        <v>24.039999999999964</v>
      </c>
      <c r="N324" s="85"/>
    </row>
    <row r="325" spans="2:14" ht="15" customHeight="1">
      <c r="B325" s="79" t="s">
        <v>1156</v>
      </c>
      <c r="C325" s="80" t="s">
        <v>1157</v>
      </c>
      <c r="D325" s="81">
        <v>21.88</v>
      </c>
      <c r="E325" s="222">
        <v>48</v>
      </c>
      <c r="F325" s="186"/>
      <c r="G325" s="186"/>
      <c r="H325" s="308"/>
      <c r="I325" s="227">
        <v>1</v>
      </c>
      <c r="J325" s="82">
        <v>47</v>
      </c>
      <c r="K325" s="331">
        <v>41</v>
      </c>
      <c r="L325" s="83">
        <v>6</v>
      </c>
      <c r="M325" s="84">
        <v>131.27999999999997</v>
      </c>
      <c r="N325" s="85"/>
    </row>
    <row r="326" spans="2:14" ht="15" customHeight="1">
      <c r="B326" s="79" t="s">
        <v>1158</v>
      </c>
      <c r="C326" s="80" t="s">
        <v>1159</v>
      </c>
      <c r="D326" s="81">
        <v>21.88</v>
      </c>
      <c r="E326" s="222">
        <v>48</v>
      </c>
      <c r="F326" s="186"/>
      <c r="G326" s="186"/>
      <c r="H326" s="308"/>
      <c r="I326" s="227">
        <v>4</v>
      </c>
      <c r="J326" s="82">
        <v>44</v>
      </c>
      <c r="K326" s="331">
        <v>43</v>
      </c>
      <c r="L326" s="83">
        <v>1</v>
      </c>
      <c r="M326" s="84">
        <v>21.879999999999995</v>
      </c>
      <c r="N326" s="85"/>
    </row>
    <row r="327" spans="2:14" ht="15" customHeight="1">
      <c r="B327" s="79" t="s">
        <v>1172</v>
      </c>
      <c r="C327" s="80" t="s">
        <v>1173</v>
      </c>
      <c r="D327" s="81">
        <v>13.1</v>
      </c>
      <c r="E327" s="222">
        <v>15</v>
      </c>
      <c r="F327" s="186"/>
      <c r="G327" s="186"/>
      <c r="H327" s="308"/>
      <c r="I327" s="227">
        <v>2</v>
      </c>
      <c r="J327" s="82">
        <v>13</v>
      </c>
      <c r="K327" s="331">
        <v>11</v>
      </c>
      <c r="L327" s="83">
        <v>2</v>
      </c>
      <c r="M327" s="84">
        <v>26.199999999999989</v>
      </c>
      <c r="N327" s="232"/>
    </row>
    <row r="328" spans="2:14" ht="15" customHeight="1">
      <c r="B328" s="79" t="s">
        <v>1193</v>
      </c>
      <c r="C328" s="80" t="s">
        <v>1194</v>
      </c>
      <c r="D328" s="81">
        <v>34</v>
      </c>
      <c r="E328" s="222">
        <v>1</v>
      </c>
      <c r="F328" s="186"/>
      <c r="G328" s="186"/>
      <c r="H328" s="308"/>
      <c r="I328" s="227"/>
      <c r="J328" s="82">
        <v>1</v>
      </c>
      <c r="K328" s="331"/>
      <c r="L328" s="83">
        <v>1</v>
      </c>
      <c r="M328" s="84">
        <v>34</v>
      </c>
      <c r="N328" s="85"/>
    </row>
    <row r="329" spans="2:14" ht="15" customHeight="1">
      <c r="B329" s="79" t="s">
        <v>1208</v>
      </c>
      <c r="C329" s="80" t="s">
        <v>1209</v>
      </c>
      <c r="D329" s="81">
        <v>19.059999999999999</v>
      </c>
      <c r="E329" s="222">
        <v>21</v>
      </c>
      <c r="F329" s="186"/>
      <c r="G329" s="186"/>
      <c r="H329" s="308"/>
      <c r="I329" s="227"/>
      <c r="J329" s="82">
        <v>21</v>
      </c>
      <c r="K329" s="345">
        <v>11</v>
      </c>
      <c r="L329" s="83">
        <v>10</v>
      </c>
      <c r="M329" s="84">
        <v>190.6</v>
      </c>
      <c r="N329" s="85" t="s">
        <v>1210</v>
      </c>
    </row>
    <row r="330" spans="2:14" ht="15" customHeight="1">
      <c r="B330" s="79" t="s">
        <v>1211</v>
      </c>
      <c r="C330" s="80" t="s">
        <v>1212</v>
      </c>
      <c r="D330" s="275">
        <v>34.51</v>
      </c>
      <c r="E330" s="222"/>
      <c r="F330" s="186"/>
      <c r="G330" s="186">
        <v>24</v>
      </c>
      <c r="H330" s="308"/>
      <c r="I330" s="227">
        <v>6</v>
      </c>
      <c r="J330" s="82">
        <v>18</v>
      </c>
      <c r="K330" s="331">
        <v>10</v>
      </c>
      <c r="L330" s="83">
        <v>8</v>
      </c>
      <c r="M330" s="84">
        <v>276.08</v>
      </c>
      <c r="N330" s="85" t="s">
        <v>1213</v>
      </c>
    </row>
    <row r="331" spans="2:14" ht="15" customHeight="1">
      <c r="B331" s="79" t="s">
        <v>1216</v>
      </c>
      <c r="C331" s="80" t="s">
        <v>1217</v>
      </c>
      <c r="D331" s="81">
        <v>68.97</v>
      </c>
      <c r="E331" s="222">
        <v>20</v>
      </c>
      <c r="F331" s="186"/>
      <c r="G331" s="186"/>
      <c r="H331" s="308"/>
      <c r="I331" s="227"/>
      <c r="J331" s="82">
        <v>20</v>
      </c>
      <c r="K331" s="331"/>
      <c r="L331" s="83">
        <v>20</v>
      </c>
      <c r="M331" s="84">
        <v>1379.4</v>
      </c>
      <c r="N331" s="85" t="s">
        <v>1218</v>
      </c>
    </row>
    <row r="332" spans="2:14" ht="15" customHeight="1">
      <c r="B332" s="79" t="s">
        <v>1234</v>
      </c>
      <c r="C332" s="80" t="s">
        <v>1235</v>
      </c>
      <c r="D332" s="81">
        <v>21.08</v>
      </c>
      <c r="E332" s="222">
        <v>34</v>
      </c>
      <c r="F332" s="186"/>
      <c r="G332" s="186"/>
      <c r="H332" s="308"/>
      <c r="I332" s="227">
        <v>2</v>
      </c>
      <c r="J332" s="82">
        <v>32</v>
      </c>
      <c r="K332" s="331">
        <v>31</v>
      </c>
      <c r="L332" s="83">
        <v>1</v>
      </c>
      <c r="M332" s="84">
        <v>21.080000000000041</v>
      </c>
      <c r="N332" s="85"/>
    </row>
    <row r="333" spans="2:14" ht="15" customHeight="1">
      <c r="B333" s="79" t="s">
        <v>1248</v>
      </c>
      <c r="C333" s="80" t="s">
        <v>1249</v>
      </c>
      <c r="D333" s="81">
        <v>31.13</v>
      </c>
      <c r="E333" s="222">
        <v>15</v>
      </c>
      <c r="F333" s="186"/>
      <c r="G333" s="186"/>
      <c r="H333" s="308"/>
      <c r="I333" s="227"/>
      <c r="J333" s="82">
        <v>15</v>
      </c>
      <c r="K333" s="331">
        <v>13</v>
      </c>
      <c r="L333" s="83">
        <v>2</v>
      </c>
      <c r="M333" s="84">
        <v>62.259999999999991</v>
      </c>
      <c r="N333" s="85"/>
    </row>
    <row r="334" spans="2:14" ht="15" customHeight="1">
      <c r="B334" s="79" t="s">
        <v>1252</v>
      </c>
      <c r="C334" s="80" t="s">
        <v>1253</v>
      </c>
      <c r="D334" s="81">
        <v>17.600000000000001</v>
      </c>
      <c r="E334" s="222">
        <v>11</v>
      </c>
      <c r="F334" s="186"/>
      <c r="G334" s="186"/>
      <c r="H334" s="308"/>
      <c r="I334" s="227"/>
      <c r="J334" s="82">
        <v>11</v>
      </c>
      <c r="K334" s="331">
        <v>1</v>
      </c>
      <c r="L334" s="83">
        <v>10</v>
      </c>
      <c r="M334" s="84">
        <v>176.00000000000003</v>
      </c>
      <c r="N334" s="85"/>
    </row>
    <row r="335" spans="2:14" ht="15" customHeight="1">
      <c r="B335" s="79" t="s">
        <v>1262</v>
      </c>
      <c r="C335" s="80" t="s">
        <v>1263</v>
      </c>
      <c r="D335" s="81">
        <v>44.86</v>
      </c>
      <c r="E335" s="222">
        <v>48</v>
      </c>
      <c r="F335" s="186"/>
      <c r="G335" s="186"/>
      <c r="H335" s="308"/>
      <c r="I335" s="227">
        <v>5</v>
      </c>
      <c r="J335" s="82">
        <v>43</v>
      </c>
      <c r="K335" s="331">
        <v>39</v>
      </c>
      <c r="L335" s="83">
        <v>4</v>
      </c>
      <c r="M335" s="84">
        <v>179.44000000000005</v>
      </c>
      <c r="N335" s="85"/>
    </row>
    <row r="336" spans="2:14" ht="15" customHeight="1">
      <c r="B336" s="79" t="s">
        <v>1277</v>
      </c>
      <c r="C336" s="80" t="s">
        <v>1278</v>
      </c>
      <c r="D336" s="81">
        <v>28.1</v>
      </c>
      <c r="E336" s="222">
        <v>11</v>
      </c>
      <c r="F336" s="186"/>
      <c r="G336" s="186"/>
      <c r="H336" s="308"/>
      <c r="I336" s="227"/>
      <c r="J336" s="82">
        <v>11</v>
      </c>
      <c r="K336" s="331"/>
      <c r="L336" s="83">
        <v>11</v>
      </c>
      <c r="M336" s="84">
        <v>309.10000000000002</v>
      </c>
      <c r="N336" s="85"/>
    </row>
    <row r="337" spans="2:14" ht="15" customHeight="1">
      <c r="B337" s="79" t="s">
        <v>1281</v>
      </c>
      <c r="C337" s="80" t="s">
        <v>1282</v>
      </c>
      <c r="D337" s="81">
        <v>41.86</v>
      </c>
      <c r="E337" s="222">
        <v>2</v>
      </c>
      <c r="F337" s="186"/>
      <c r="G337" s="186">
        <v>12</v>
      </c>
      <c r="H337" s="308"/>
      <c r="I337" s="227">
        <v>4</v>
      </c>
      <c r="J337" s="82">
        <v>10</v>
      </c>
      <c r="K337" s="331">
        <v>9</v>
      </c>
      <c r="L337" s="83">
        <v>1</v>
      </c>
      <c r="M337" s="84">
        <v>41.860000000000014</v>
      </c>
      <c r="N337" s="85"/>
    </row>
    <row r="338" spans="2:14" ht="15" customHeight="1">
      <c r="B338" s="79" t="s">
        <v>4775</v>
      </c>
      <c r="C338" s="80" t="s">
        <v>4720</v>
      </c>
      <c r="D338" s="81">
        <v>198.71</v>
      </c>
      <c r="E338" s="222"/>
      <c r="F338" s="186"/>
      <c r="G338" s="186">
        <v>3</v>
      </c>
      <c r="H338" s="308"/>
      <c r="I338" s="227"/>
      <c r="J338" s="82">
        <v>3</v>
      </c>
      <c r="K338" s="331"/>
      <c r="L338" s="83">
        <v>3</v>
      </c>
      <c r="M338" s="84">
        <v>596.13</v>
      </c>
      <c r="N338" s="85"/>
    </row>
    <row r="339" spans="2:14" ht="15" customHeight="1">
      <c r="B339" s="79" t="s">
        <v>1317</v>
      </c>
      <c r="C339" s="80" t="s">
        <v>1318</v>
      </c>
      <c r="D339" s="81">
        <v>132.80000000000001</v>
      </c>
      <c r="E339" s="222">
        <v>9</v>
      </c>
      <c r="F339" s="186"/>
      <c r="G339" s="186">
        <v>16</v>
      </c>
      <c r="H339" s="308"/>
      <c r="I339" s="227">
        <v>10</v>
      </c>
      <c r="J339" s="82">
        <v>15</v>
      </c>
      <c r="K339" s="331">
        <v>14</v>
      </c>
      <c r="L339" s="83">
        <v>1</v>
      </c>
      <c r="M339" s="84">
        <v>132.79999999999995</v>
      </c>
      <c r="N339" s="85"/>
    </row>
    <row r="340" spans="2:14" ht="15" customHeight="1">
      <c r="B340" s="79" t="s">
        <v>1372</v>
      </c>
      <c r="C340" s="80" t="s">
        <v>1373</v>
      </c>
      <c r="D340" s="81">
        <v>116</v>
      </c>
      <c r="E340" s="222">
        <v>2</v>
      </c>
      <c r="F340" s="186"/>
      <c r="G340" s="186"/>
      <c r="H340" s="308"/>
      <c r="I340" s="227"/>
      <c r="J340" s="82">
        <v>2</v>
      </c>
      <c r="K340" s="331"/>
      <c r="L340" s="83">
        <v>2</v>
      </c>
      <c r="M340" s="84">
        <v>232</v>
      </c>
      <c r="N340" s="85"/>
    </row>
    <row r="341" spans="2:14" ht="15" customHeight="1">
      <c r="B341" s="79" t="s">
        <v>1384</v>
      </c>
      <c r="C341" s="80" t="s">
        <v>1385</v>
      </c>
      <c r="D341" s="81">
        <v>25.26</v>
      </c>
      <c r="E341" s="222">
        <v>112</v>
      </c>
      <c r="F341" s="186"/>
      <c r="G341" s="186"/>
      <c r="H341" s="308"/>
      <c r="I341" s="227"/>
      <c r="J341" s="82">
        <v>112</v>
      </c>
      <c r="K341" s="331">
        <v>103</v>
      </c>
      <c r="L341" s="83">
        <v>9</v>
      </c>
      <c r="M341" s="84">
        <v>227.34000000000015</v>
      </c>
      <c r="N341" s="85"/>
    </row>
    <row r="342" spans="2:14" ht="15" customHeight="1">
      <c r="B342" s="79" t="s">
        <v>1407</v>
      </c>
      <c r="C342" s="80" t="s">
        <v>1408</v>
      </c>
      <c r="D342" s="81">
        <v>37.409999999999997</v>
      </c>
      <c r="E342" s="222">
        <v>10</v>
      </c>
      <c r="F342" s="186"/>
      <c r="G342" s="186"/>
      <c r="H342" s="308"/>
      <c r="I342" s="227"/>
      <c r="J342" s="82">
        <v>10</v>
      </c>
      <c r="K342" s="331">
        <v>9</v>
      </c>
      <c r="L342" s="83">
        <v>1</v>
      </c>
      <c r="M342" s="84">
        <v>37.410000000000025</v>
      </c>
      <c r="N342" s="85"/>
    </row>
    <row r="343" spans="2:14" ht="15" customHeight="1">
      <c r="B343" s="79" t="s">
        <v>1409</v>
      </c>
      <c r="C343" s="80" t="s">
        <v>1410</v>
      </c>
      <c r="D343" s="81">
        <v>29</v>
      </c>
      <c r="E343" s="222">
        <v>22</v>
      </c>
      <c r="F343" s="186"/>
      <c r="G343" s="186"/>
      <c r="H343" s="308"/>
      <c r="I343" s="227">
        <v>1</v>
      </c>
      <c r="J343" s="82">
        <v>21</v>
      </c>
      <c r="K343" s="331">
        <v>20</v>
      </c>
      <c r="L343" s="83">
        <v>1</v>
      </c>
      <c r="M343" s="84">
        <v>29</v>
      </c>
      <c r="N343" s="85"/>
    </row>
    <row r="344" spans="2:14" ht="15" customHeight="1">
      <c r="B344" s="79" t="s">
        <v>1413</v>
      </c>
      <c r="C344" s="80" t="s">
        <v>1414</v>
      </c>
      <c r="D344" s="81">
        <v>47.95</v>
      </c>
      <c r="E344" s="222">
        <v>48</v>
      </c>
      <c r="F344" s="186"/>
      <c r="G344" s="186"/>
      <c r="H344" s="308"/>
      <c r="I344" s="227"/>
      <c r="J344" s="82">
        <v>48</v>
      </c>
      <c r="K344" s="331">
        <v>46</v>
      </c>
      <c r="L344" s="83">
        <v>2</v>
      </c>
      <c r="M344" s="84">
        <v>95.900000000000091</v>
      </c>
      <c r="N344" s="85"/>
    </row>
    <row r="345" spans="2:14" ht="15" customHeight="1">
      <c r="B345" s="79" t="s">
        <v>1415</v>
      </c>
      <c r="C345" s="80" t="s">
        <v>1416</v>
      </c>
      <c r="D345" s="81">
        <v>27.57</v>
      </c>
      <c r="E345" s="222">
        <v>27</v>
      </c>
      <c r="F345" s="186"/>
      <c r="G345" s="186"/>
      <c r="H345" s="308"/>
      <c r="I345" s="227"/>
      <c r="J345" s="82">
        <v>27</v>
      </c>
      <c r="K345" s="331">
        <v>26</v>
      </c>
      <c r="L345" s="83">
        <v>1</v>
      </c>
      <c r="M345" s="84">
        <v>27.569999999999936</v>
      </c>
      <c r="N345" s="85"/>
    </row>
    <row r="346" spans="2:14" ht="15" customHeight="1">
      <c r="B346" s="79" t="s">
        <v>1431</v>
      </c>
      <c r="C346" s="80" t="s">
        <v>1432</v>
      </c>
      <c r="D346" s="81">
        <v>39.5</v>
      </c>
      <c r="E346" s="222">
        <v>13</v>
      </c>
      <c r="F346" s="186"/>
      <c r="G346" s="186"/>
      <c r="H346" s="308"/>
      <c r="I346" s="227"/>
      <c r="J346" s="82">
        <v>13</v>
      </c>
      <c r="K346" s="331">
        <v>12</v>
      </c>
      <c r="L346" s="83">
        <v>1</v>
      </c>
      <c r="M346" s="84">
        <v>39.5</v>
      </c>
      <c r="N346" s="232"/>
    </row>
    <row r="347" spans="2:14" ht="15" customHeight="1">
      <c r="B347" s="79" t="s">
        <v>1441</v>
      </c>
      <c r="C347" s="80" t="s">
        <v>1442</v>
      </c>
      <c r="D347" s="81">
        <v>32.1</v>
      </c>
      <c r="E347" s="222">
        <v>63</v>
      </c>
      <c r="F347" s="186"/>
      <c r="G347" s="186"/>
      <c r="H347" s="308"/>
      <c r="I347" s="227"/>
      <c r="J347" s="82">
        <v>63</v>
      </c>
      <c r="K347" s="331">
        <v>62</v>
      </c>
      <c r="L347" s="83">
        <v>1</v>
      </c>
      <c r="M347" s="84">
        <v>32.100000000000136</v>
      </c>
      <c r="N347" s="85"/>
    </row>
    <row r="348" spans="2:14" ht="15" customHeight="1">
      <c r="B348" s="79" t="s">
        <v>1487</v>
      </c>
      <c r="C348" s="80" t="s">
        <v>1488</v>
      </c>
      <c r="D348" s="81">
        <v>13.85</v>
      </c>
      <c r="E348" s="222">
        <v>42</v>
      </c>
      <c r="F348" s="186"/>
      <c r="G348" s="186"/>
      <c r="H348" s="308"/>
      <c r="I348" s="227"/>
      <c r="J348" s="82">
        <v>42</v>
      </c>
      <c r="K348" s="331"/>
      <c r="L348" s="83">
        <v>42</v>
      </c>
      <c r="M348" s="84">
        <v>581.69999999999993</v>
      </c>
      <c r="N348" s="85"/>
    </row>
    <row r="349" spans="2:14" ht="15" customHeight="1">
      <c r="B349" s="79" t="s">
        <v>1511</v>
      </c>
      <c r="C349" s="80" t="s">
        <v>1512</v>
      </c>
      <c r="D349" s="81">
        <v>41.25</v>
      </c>
      <c r="E349" s="222">
        <v>7</v>
      </c>
      <c r="F349" s="186"/>
      <c r="G349" s="186"/>
      <c r="H349" s="308"/>
      <c r="I349" s="227">
        <v>2</v>
      </c>
      <c r="J349" s="82">
        <v>5</v>
      </c>
      <c r="K349" s="331">
        <v>4</v>
      </c>
      <c r="L349" s="83">
        <v>1</v>
      </c>
      <c r="M349" s="84">
        <v>41.25</v>
      </c>
      <c r="N349" s="85"/>
    </row>
    <row r="350" spans="2:14" ht="15" customHeight="1">
      <c r="B350" s="79" t="s">
        <v>1521</v>
      </c>
      <c r="C350" s="80" t="s">
        <v>1522</v>
      </c>
      <c r="D350" s="81">
        <v>91.9</v>
      </c>
      <c r="E350" s="222">
        <v>1</v>
      </c>
      <c r="F350" s="186"/>
      <c r="G350" s="186"/>
      <c r="H350" s="308"/>
      <c r="I350" s="227"/>
      <c r="J350" s="82">
        <v>1</v>
      </c>
      <c r="K350" s="331"/>
      <c r="L350" s="83">
        <v>1</v>
      </c>
      <c r="M350" s="84">
        <v>91.9</v>
      </c>
      <c r="N350" s="232" t="s">
        <v>3819</v>
      </c>
    </row>
    <row r="351" spans="2:14" ht="15" customHeight="1">
      <c r="B351" s="79" t="s">
        <v>1523</v>
      </c>
      <c r="C351" s="80" t="s">
        <v>1524</v>
      </c>
      <c r="D351" s="81">
        <v>90.24</v>
      </c>
      <c r="E351" s="222">
        <v>9</v>
      </c>
      <c r="F351" s="186"/>
      <c r="G351" s="186"/>
      <c r="H351" s="308"/>
      <c r="I351" s="227">
        <v>3</v>
      </c>
      <c r="J351" s="82">
        <v>6</v>
      </c>
      <c r="K351" s="331">
        <v>4</v>
      </c>
      <c r="L351" s="83">
        <v>2</v>
      </c>
      <c r="M351" s="84">
        <v>180.47999999999996</v>
      </c>
      <c r="N351" s="85"/>
    </row>
    <row r="352" spans="2:14" ht="15" customHeight="1">
      <c r="B352" s="79" t="s">
        <v>1558</v>
      </c>
      <c r="C352" s="80" t="s">
        <v>1559</v>
      </c>
      <c r="D352" s="81">
        <v>51.97</v>
      </c>
      <c r="E352" s="222">
        <v>14</v>
      </c>
      <c r="F352" s="186"/>
      <c r="G352" s="186"/>
      <c r="H352" s="308"/>
      <c r="I352" s="227"/>
      <c r="J352" s="82">
        <v>14</v>
      </c>
      <c r="K352" s="331">
        <v>9</v>
      </c>
      <c r="L352" s="83">
        <v>5</v>
      </c>
      <c r="M352" s="84">
        <v>259.84999999999991</v>
      </c>
      <c r="N352" s="85"/>
    </row>
    <row r="353" spans="2:14" ht="15" customHeight="1">
      <c r="B353" s="79" t="s">
        <v>1560</v>
      </c>
      <c r="C353" s="80" t="s">
        <v>1561</v>
      </c>
      <c r="D353" s="81">
        <v>6.12</v>
      </c>
      <c r="E353" s="222">
        <v>181</v>
      </c>
      <c r="F353" s="186"/>
      <c r="G353" s="295">
        <v>144</v>
      </c>
      <c r="H353" s="308"/>
      <c r="I353" s="227">
        <v>93</v>
      </c>
      <c r="J353" s="82">
        <v>232</v>
      </c>
      <c r="K353" s="331">
        <v>185</v>
      </c>
      <c r="L353" s="83">
        <v>47</v>
      </c>
      <c r="M353" s="84">
        <v>287.63999999999987</v>
      </c>
      <c r="N353" s="232" t="s">
        <v>3837</v>
      </c>
    </row>
    <row r="354" spans="2:14" ht="15" customHeight="1">
      <c r="B354" s="79" t="s">
        <v>1578</v>
      </c>
      <c r="C354" s="80" t="s">
        <v>1579</v>
      </c>
      <c r="D354" s="267">
        <v>309.11</v>
      </c>
      <c r="E354" s="222"/>
      <c r="F354" s="186"/>
      <c r="G354" s="186">
        <v>6</v>
      </c>
      <c r="H354" s="308"/>
      <c r="I354" s="227">
        <v>1</v>
      </c>
      <c r="J354" s="82">
        <v>5</v>
      </c>
      <c r="K354" s="331">
        <v>4</v>
      </c>
      <c r="L354" s="83">
        <v>1</v>
      </c>
      <c r="M354" s="84">
        <v>309.11000000000013</v>
      </c>
      <c r="N354" s="85"/>
    </row>
    <row r="355" spans="2:14" ht="15" customHeight="1">
      <c r="B355" s="79" t="s">
        <v>1610</v>
      </c>
      <c r="C355" s="80" t="s">
        <v>1611</v>
      </c>
      <c r="D355" s="81">
        <v>37.47</v>
      </c>
      <c r="E355" s="222"/>
      <c r="F355" s="186"/>
      <c r="G355" s="186">
        <v>24</v>
      </c>
      <c r="H355" s="308"/>
      <c r="I355" s="227">
        <v>9</v>
      </c>
      <c r="J355" s="82">
        <v>15</v>
      </c>
      <c r="K355" s="331">
        <v>13</v>
      </c>
      <c r="L355" s="83">
        <v>2</v>
      </c>
      <c r="M355" s="84">
        <v>74.939999999999941</v>
      </c>
      <c r="N355" s="85"/>
    </row>
    <row r="356" spans="2:14" ht="15" customHeight="1">
      <c r="B356" s="79" t="s">
        <v>1622</v>
      </c>
      <c r="C356" s="80" t="s">
        <v>1623</v>
      </c>
      <c r="D356" s="81">
        <v>37.450000000000003</v>
      </c>
      <c r="E356" s="222">
        <v>15</v>
      </c>
      <c r="F356" s="186"/>
      <c r="G356" s="186"/>
      <c r="H356" s="308"/>
      <c r="I356" s="227"/>
      <c r="J356" s="82">
        <v>15</v>
      </c>
      <c r="K356" s="331">
        <v>10</v>
      </c>
      <c r="L356" s="83">
        <v>5</v>
      </c>
      <c r="M356" s="84">
        <v>187.25</v>
      </c>
      <c r="N356" s="85"/>
    </row>
    <row r="357" spans="2:14" ht="15" customHeight="1">
      <c r="B357" s="79" t="s">
        <v>1638</v>
      </c>
      <c r="C357" s="80" t="s">
        <v>1639</v>
      </c>
      <c r="D357" s="81">
        <v>64.489999999999995</v>
      </c>
      <c r="E357" s="222">
        <v>18</v>
      </c>
      <c r="F357" s="186"/>
      <c r="G357" s="186"/>
      <c r="H357" s="308"/>
      <c r="I357" s="227">
        <v>2</v>
      </c>
      <c r="J357" s="82">
        <v>16</v>
      </c>
      <c r="K357" s="331">
        <v>14</v>
      </c>
      <c r="L357" s="83">
        <v>2</v>
      </c>
      <c r="M357" s="84">
        <v>128.98000000000002</v>
      </c>
      <c r="N357" s="85"/>
    </row>
    <row r="358" spans="2:14" ht="15" customHeight="1">
      <c r="B358" s="79" t="s">
        <v>1654</v>
      </c>
      <c r="C358" s="80" t="s">
        <v>1655</v>
      </c>
      <c r="D358" s="81">
        <v>63.2</v>
      </c>
      <c r="E358" s="222">
        <v>9</v>
      </c>
      <c r="F358" s="186"/>
      <c r="G358" s="186"/>
      <c r="H358" s="308"/>
      <c r="I358" s="227">
        <v>3</v>
      </c>
      <c r="J358" s="82">
        <v>6</v>
      </c>
      <c r="K358" s="331">
        <v>5</v>
      </c>
      <c r="L358" s="83">
        <v>1</v>
      </c>
      <c r="M358" s="84">
        <v>63.200000000000045</v>
      </c>
      <c r="N358" s="85"/>
    </row>
    <row r="359" spans="2:14" ht="15" customHeight="1">
      <c r="B359" s="79" t="s">
        <v>1668</v>
      </c>
      <c r="C359" s="80" t="s">
        <v>1669</v>
      </c>
      <c r="D359" s="81">
        <v>17.5</v>
      </c>
      <c r="E359" s="222">
        <v>1</v>
      </c>
      <c r="F359" s="186"/>
      <c r="G359" s="186"/>
      <c r="H359" s="308"/>
      <c r="I359" s="227"/>
      <c r="J359" s="82">
        <v>1</v>
      </c>
      <c r="K359" s="331"/>
      <c r="L359" s="83">
        <v>1</v>
      </c>
      <c r="M359" s="84">
        <v>17.5</v>
      </c>
      <c r="N359" s="85" t="s">
        <v>1670</v>
      </c>
    </row>
    <row r="360" spans="2:14" ht="15" customHeight="1">
      <c r="B360" s="79" t="s">
        <v>1681</v>
      </c>
      <c r="C360" s="80" t="s">
        <v>1682</v>
      </c>
      <c r="D360" s="81">
        <v>31.5</v>
      </c>
      <c r="E360" s="222">
        <v>23</v>
      </c>
      <c r="F360" s="186"/>
      <c r="G360" s="186"/>
      <c r="H360" s="308"/>
      <c r="I360" s="227"/>
      <c r="J360" s="82">
        <v>23</v>
      </c>
      <c r="K360" s="331"/>
      <c r="L360" s="83">
        <v>23</v>
      </c>
      <c r="M360" s="84">
        <v>724.5</v>
      </c>
      <c r="N360" s="85"/>
    </row>
    <row r="361" spans="2:14" ht="15" customHeight="1">
      <c r="B361" s="79" t="s">
        <v>1687</v>
      </c>
      <c r="C361" s="80" t="s">
        <v>1688</v>
      </c>
      <c r="D361" s="81">
        <v>20.88</v>
      </c>
      <c r="E361" s="222">
        <v>30</v>
      </c>
      <c r="F361" s="186"/>
      <c r="G361" s="186"/>
      <c r="H361" s="308"/>
      <c r="I361" s="227">
        <v>1</v>
      </c>
      <c r="J361" s="82">
        <v>29</v>
      </c>
      <c r="K361" s="331"/>
      <c r="L361" s="83">
        <v>29</v>
      </c>
      <c r="M361" s="84">
        <v>605.52</v>
      </c>
      <c r="N361" s="85"/>
    </row>
    <row r="362" spans="2:14" ht="15" customHeight="1">
      <c r="B362" s="79" t="s">
        <v>1689</v>
      </c>
      <c r="C362" s="80" t="s">
        <v>1690</v>
      </c>
      <c r="D362" s="81">
        <v>17.899999999999999</v>
      </c>
      <c r="E362" s="222">
        <v>25</v>
      </c>
      <c r="F362" s="186"/>
      <c r="G362" s="186"/>
      <c r="H362" s="308"/>
      <c r="I362" s="227">
        <v>2</v>
      </c>
      <c r="J362" s="82">
        <v>23</v>
      </c>
      <c r="K362" s="331">
        <v>22</v>
      </c>
      <c r="L362" s="83">
        <v>1</v>
      </c>
      <c r="M362" s="84">
        <v>17.900000000000034</v>
      </c>
      <c r="N362" s="85"/>
    </row>
    <row r="363" spans="2:14" ht="15" customHeight="1">
      <c r="B363" s="79" t="s">
        <v>1697</v>
      </c>
      <c r="C363" s="80" t="s">
        <v>1698</v>
      </c>
      <c r="D363" s="81">
        <v>88</v>
      </c>
      <c r="E363" s="222">
        <v>5</v>
      </c>
      <c r="F363" s="186"/>
      <c r="G363" s="186"/>
      <c r="H363" s="308"/>
      <c r="I363" s="227">
        <v>1</v>
      </c>
      <c r="J363" s="82">
        <v>4</v>
      </c>
      <c r="K363" s="331"/>
      <c r="L363" s="83">
        <v>4</v>
      </c>
      <c r="M363" s="84">
        <v>352</v>
      </c>
      <c r="N363" s="85"/>
    </row>
    <row r="364" spans="2:14" ht="15" customHeight="1">
      <c r="B364" s="79" t="s">
        <v>1729</v>
      </c>
      <c r="C364" s="80" t="s">
        <v>1730</v>
      </c>
      <c r="D364" s="81">
        <v>36.74</v>
      </c>
      <c r="E364" s="222">
        <v>5</v>
      </c>
      <c r="F364" s="186"/>
      <c r="G364" s="186"/>
      <c r="H364" s="308"/>
      <c r="I364" s="227"/>
      <c r="J364" s="82">
        <v>5</v>
      </c>
      <c r="K364" s="331"/>
      <c r="L364" s="83">
        <v>5</v>
      </c>
      <c r="M364" s="84">
        <v>183.70000000000002</v>
      </c>
      <c r="N364" s="85"/>
    </row>
    <row r="365" spans="2:14" ht="15" customHeight="1">
      <c r="B365" s="79" t="s">
        <v>1766</v>
      </c>
      <c r="C365" s="80" t="s">
        <v>1767</v>
      </c>
      <c r="D365" s="81">
        <v>24.5</v>
      </c>
      <c r="E365" s="222">
        <v>1</v>
      </c>
      <c r="F365" s="186"/>
      <c r="G365" s="186"/>
      <c r="H365" s="308"/>
      <c r="I365" s="227"/>
      <c r="J365" s="82">
        <v>1</v>
      </c>
      <c r="K365" s="331"/>
      <c r="L365" s="83">
        <v>1</v>
      </c>
      <c r="M365" s="84">
        <v>24.5</v>
      </c>
      <c r="N365" s="85"/>
    </row>
    <row r="366" spans="2:14" ht="15" customHeight="1">
      <c r="B366" s="79" t="s">
        <v>1770</v>
      </c>
      <c r="C366" s="80" t="s">
        <v>1771</v>
      </c>
      <c r="D366" s="81">
        <v>5.46</v>
      </c>
      <c r="E366" s="222">
        <v>36</v>
      </c>
      <c r="F366" s="186"/>
      <c r="G366" s="186"/>
      <c r="H366" s="308"/>
      <c r="I366" s="227"/>
      <c r="J366" s="82">
        <v>36</v>
      </c>
      <c r="K366" s="331">
        <v>34</v>
      </c>
      <c r="L366" s="83">
        <v>2</v>
      </c>
      <c r="M366" s="84">
        <v>10.920000000000016</v>
      </c>
      <c r="N366" s="85"/>
    </row>
    <row r="367" spans="2:14" ht="15" customHeight="1">
      <c r="B367" s="79" t="s">
        <v>1792</v>
      </c>
      <c r="C367" s="80" t="s">
        <v>1793</v>
      </c>
      <c r="D367" s="81">
        <v>15.5</v>
      </c>
      <c r="E367" s="222">
        <v>7</v>
      </c>
      <c r="F367" s="186"/>
      <c r="G367" s="186"/>
      <c r="H367" s="308"/>
      <c r="I367" s="227">
        <v>1</v>
      </c>
      <c r="J367" s="82">
        <v>6</v>
      </c>
      <c r="K367" s="331">
        <v>5</v>
      </c>
      <c r="L367" s="83">
        <v>1</v>
      </c>
      <c r="M367" s="84">
        <v>15.5</v>
      </c>
      <c r="N367" s="85"/>
    </row>
    <row r="368" spans="2:14" ht="15" customHeight="1">
      <c r="B368" s="79" t="s">
        <v>1804</v>
      </c>
      <c r="C368" s="80" t="s">
        <v>1805</v>
      </c>
      <c r="D368" s="81">
        <v>152</v>
      </c>
      <c r="E368" s="222">
        <v>10</v>
      </c>
      <c r="F368" s="186"/>
      <c r="G368" s="186"/>
      <c r="H368" s="308"/>
      <c r="I368" s="227"/>
      <c r="J368" s="82">
        <v>10</v>
      </c>
      <c r="K368" s="331">
        <v>8</v>
      </c>
      <c r="L368" s="83">
        <v>2</v>
      </c>
      <c r="M368" s="84">
        <v>304</v>
      </c>
      <c r="N368" s="85"/>
    </row>
    <row r="369" spans="2:14" ht="15" customHeight="1">
      <c r="B369" s="79" t="s">
        <v>1826</v>
      </c>
      <c r="C369" s="80" t="s">
        <v>1827</v>
      </c>
      <c r="D369" s="81">
        <v>8.3000000000000007</v>
      </c>
      <c r="E369" s="222">
        <v>2</v>
      </c>
      <c r="F369" s="186"/>
      <c r="G369" s="186"/>
      <c r="H369" s="308"/>
      <c r="I369" s="227"/>
      <c r="J369" s="82">
        <v>2</v>
      </c>
      <c r="K369" s="331">
        <v>1</v>
      </c>
      <c r="L369" s="83">
        <v>1</v>
      </c>
      <c r="M369" s="84">
        <v>8.3000000000000007</v>
      </c>
      <c r="N369" s="85"/>
    </row>
    <row r="370" spans="2:14" ht="15" customHeight="1">
      <c r="B370" s="79" t="s">
        <v>1869</v>
      </c>
      <c r="C370" s="80" t="s">
        <v>1870</v>
      </c>
      <c r="D370" s="81">
        <v>4.8</v>
      </c>
      <c r="E370" s="222">
        <v>5</v>
      </c>
      <c r="F370" s="186"/>
      <c r="G370" s="186"/>
      <c r="H370" s="308"/>
      <c r="I370" s="227"/>
      <c r="J370" s="82">
        <v>5</v>
      </c>
      <c r="K370" s="331">
        <v>1</v>
      </c>
      <c r="L370" s="83">
        <v>4</v>
      </c>
      <c r="M370" s="84">
        <v>19.2</v>
      </c>
      <c r="N370" s="85"/>
    </row>
    <row r="371" spans="2:14" ht="15" customHeight="1">
      <c r="B371" s="79" t="s">
        <v>1871</v>
      </c>
      <c r="C371" s="80" t="s">
        <v>1872</v>
      </c>
      <c r="D371" s="81">
        <v>5.3</v>
      </c>
      <c r="E371" s="222">
        <v>20</v>
      </c>
      <c r="F371" s="186"/>
      <c r="G371" s="186"/>
      <c r="H371" s="308"/>
      <c r="I371" s="227"/>
      <c r="J371" s="82">
        <v>20</v>
      </c>
      <c r="K371" s="331">
        <v>19</v>
      </c>
      <c r="L371" s="83">
        <v>1</v>
      </c>
      <c r="M371" s="84">
        <v>5.2999999999999972</v>
      </c>
      <c r="N371" s="85"/>
    </row>
    <row r="372" spans="2:14" ht="15" customHeight="1">
      <c r="B372" s="79" t="s">
        <v>1877</v>
      </c>
      <c r="C372" s="80" t="s">
        <v>1878</v>
      </c>
      <c r="D372" s="81">
        <v>6.35</v>
      </c>
      <c r="E372" s="222">
        <v>220</v>
      </c>
      <c r="F372" s="186"/>
      <c r="G372" s="186"/>
      <c r="H372" s="308"/>
      <c r="I372" s="227"/>
      <c r="J372" s="82">
        <v>220</v>
      </c>
      <c r="K372" s="331">
        <v>216</v>
      </c>
      <c r="L372" s="83">
        <v>4</v>
      </c>
      <c r="M372" s="84">
        <v>25.400000000000091</v>
      </c>
      <c r="N372" s="85"/>
    </row>
    <row r="373" spans="2:14" ht="15" customHeight="1">
      <c r="B373" s="79" t="s">
        <v>1883</v>
      </c>
      <c r="C373" s="80" t="s">
        <v>1884</v>
      </c>
      <c r="D373" s="81">
        <v>57.22</v>
      </c>
      <c r="E373" s="222">
        <v>18</v>
      </c>
      <c r="F373" s="186"/>
      <c r="G373" s="186"/>
      <c r="H373" s="308"/>
      <c r="I373" s="227">
        <v>1</v>
      </c>
      <c r="J373" s="82">
        <v>17</v>
      </c>
      <c r="K373" s="331"/>
      <c r="L373" s="83">
        <v>17</v>
      </c>
      <c r="M373" s="84">
        <v>972.74</v>
      </c>
      <c r="N373" s="85"/>
    </row>
    <row r="374" spans="2:14" ht="15" customHeight="1">
      <c r="B374" s="79" t="s">
        <v>1887</v>
      </c>
      <c r="C374" s="80" t="s">
        <v>1888</v>
      </c>
      <c r="D374" s="81">
        <v>4.3</v>
      </c>
      <c r="E374" s="222">
        <v>2</v>
      </c>
      <c r="F374" s="186"/>
      <c r="G374" s="186"/>
      <c r="H374" s="308"/>
      <c r="I374" s="227"/>
      <c r="J374" s="82">
        <v>2</v>
      </c>
      <c r="K374" s="331">
        <v>1</v>
      </c>
      <c r="L374" s="83">
        <v>1</v>
      </c>
      <c r="M374" s="84">
        <v>4.3</v>
      </c>
      <c r="N374" s="85"/>
    </row>
    <row r="375" spans="2:14" ht="15" customHeight="1">
      <c r="B375" s="79" t="s">
        <v>1899</v>
      </c>
      <c r="C375" s="80" t="s">
        <v>1900</v>
      </c>
      <c r="D375" s="81">
        <v>3.75</v>
      </c>
      <c r="E375" s="222">
        <v>251</v>
      </c>
      <c r="F375" s="186"/>
      <c r="G375" s="186"/>
      <c r="H375" s="308"/>
      <c r="I375" s="227">
        <v>1</v>
      </c>
      <c r="J375" s="82">
        <v>250</v>
      </c>
      <c r="K375" s="331">
        <v>238</v>
      </c>
      <c r="L375" s="83">
        <v>12</v>
      </c>
      <c r="M375" s="84">
        <v>45</v>
      </c>
      <c r="N375" s="85"/>
    </row>
    <row r="376" spans="2:14" ht="15" customHeight="1">
      <c r="B376" s="79" t="s">
        <v>1903</v>
      </c>
      <c r="C376" s="80" t="s">
        <v>1904</v>
      </c>
      <c r="D376" s="81">
        <v>30.96</v>
      </c>
      <c r="E376" s="222">
        <v>1</v>
      </c>
      <c r="F376" s="186"/>
      <c r="G376" s="186"/>
      <c r="H376" s="308"/>
      <c r="I376" s="227"/>
      <c r="J376" s="82">
        <v>1</v>
      </c>
      <c r="K376" s="331"/>
      <c r="L376" s="83">
        <v>1</v>
      </c>
      <c r="M376" s="84">
        <v>30.96</v>
      </c>
      <c r="N376" s="85"/>
    </row>
    <row r="377" spans="2:14" ht="15" customHeight="1">
      <c r="B377" s="79" t="s">
        <v>1909</v>
      </c>
      <c r="C377" s="80" t="s">
        <v>1910</v>
      </c>
      <c r="D377" s="81">
        <v>83.55</v>
      </c>
      <c r="E377" s="222">
        <v>12</v>
      </c>
      <c r="F377" s="186"/>
      <c r="G377" s="186"/>
      <c r="H377" s="308"/>
      <c r="I377" s="227">
        <v>6</v>
      </c>
      <c r="J377" s="82">
        <v>6</v>
      </c>
      <c r="K377" s="331"/>
      <c r="L377" s="83">
        <v>6</v>
      </c>
      <c r="M377" s="84">
        <v>501.29999999999995</v>
      </c>
      <c r="N377" s="85"/>
    </row>
    <row r="378" spans="2:14" ht="15" customHeight="1">
      <c r="B378" s="79" t="s">
        <v>1913</v>
      </c>
      <c r="C378" s="80" t="s">
        <v>1914</v>
      </c>
      <c r="D378" s="81">
        <v>54.38</v>
      </c>
      <c r="E378" s="222">
        <v>8</v>
      </c>
      <c r="F378" s="186"/>
      <c r="G378" s="186"/>
      <c r="H378" s="308"/>
      <c r="I378" s="227">
        <v>4</v>
      </c>
      <c r="J378" s="82">
        <v>4</v>
      </c>
      <c r="K378" s="331">
        <v>3</v>
      </c>
      <c r="L378" s="83">
        <v>1</v>
      </c>
      <c r="M378" s="84">
        <v>54.379999999999995</v>
      </c>
      <c r="N378" s="85"/>
    </row>
    <row r="379" spans="2:14" ht="15" customHeight="1">
      <c r="B379" s="79" t="s">
        <v>1915</v>
      </c>
      <c r="C379" s="80" t="s">
        <v>1916</v>
      </c>
      <c r="D379" s="81">
        <v>31.05</v>
      </c>
      <c r="E379" s="222">
        <v>25</v>
      </c>
      <c r="F379" s="186"/>
      <c r="G379" s="186"/>
      <c r="H379" s="308"/>
      <c r="I379" s="227">
        <v>1</v>
      </c>
      <c r="J379" s="82">
        <v>24</v>
      </c>
      <c r="K379" s="331">
        <v>23</v>
      </c>
      <c r="L379" s="83">
        <v>1</v>
      </c>
      <c r="M379" s="84">
        <v>31.050000000000068</v>
      </c>
      <c r="N379" s="85"/>
    </row>
    <row r="380" spans="2:14" ht="15" customHeight="1">
      <c r="B380" s="79" t="s">
        <v>1919</v>
      </c>
      <c r="C380" s="80" t="s">
        <v>1920</v>
      </c>
      <c r="D380" s="81">
        <v>21.5</v>
      </c>
      <c r="E380" s="222">
        <v>3</v>
      </c>
      <c r="F380" s="186"/>
      <c r="G380" s="186"/>
      <c r="H380" s="308"/>
      <c r="I380" s="227"/>
      <c r="J380" s="82">
        <v>3</v>
      </c>
      <c r="K380" s="331"/>
      <c r="L380" s="83">
        <v>3</v>
      </c>
      <c r="M380" s="84">
        <v>64.5</v>
      </c>
      <c r="N380" s="85"/>
    </row>
    <row r="381" spans="2:14" ht="15" customHeight="1">
      <c r="B381" s="79" t="s">
        <v>1925</v>
      </c>
      <c r="C381" s="80" t="s">
        <v>1926</v>
      </c>
      <c r="D381" s="81">
        <v>51.3</v>
      </c>
      <c r="E381" s="222">
        <v>4</v>
      </c>
      <c r="F381" s="186"/>
      <c r="G381" s="186"/>
      <c r="H381" s="308"/>
      <c r="I381" s="227"/>
      <c r="J381" s="82">
        <v>4</v>
      </c>
      <c r="K381" s="331">
        <v>3</v>
      </c>
      <c r="L381" s="83">
        <v>1</v>
      </c>
      <c r="M381" s="84">
        <v>51.300000000000011</v>
      </c>
      <c r="N381" s="85"/>
    </row>
    <row r="382" spans="2:14" ht="15" customHeight="1">
      <c r="B382" s="79" t="s">
        <v>1925</v>
      </c>
      <c r="C382" s="80" t="s">
        <v>1926</v>
      </c>
      <c r="D382" s="81">
        <v>51.55</v>
      </c>
      <c r="E382" s="222">
        <v>5</v>
      </c>
      <c r="F382" s="186"/>
      <c r="G382" s="186"/>
      <c r="H382" s="308"/>
      <c r="I382" s="227">
        <v>1</v>
      </c>
      <c r="J382" s="82">
        <v>4</v>
      </c>
      <c r="K382" s="331"/>
      <c r="L382" s="83">
        <v>4</v>
      </c>
      <c r="M382" s="84">
        <v>206.2</v>
      </c>
      <c r="N382" s="85"/>
    </row>
    <row r="383" spans="2:14" ht="15" customHeight="1">
      <c r="B383" s="160" t="s">
        <v>1931</v>
      </c>
      <c r="C383" s="80" t="s">
        <v>1932</v>
      </c>
      <c r="D383" s="81">
        <v>10.95</v>
      </c>
      <c r="E383" s="222">
        <v>52</v>
      </c>
      <c r="F383" s="186"/>
      <c r="G383" s="186"/>
      <c r="H383" s="308"/>
      <c r="I383" s="227">
        <v>5</v>
      </c>
      <c r="J383" s="82">
        <v>47</v>
      </c>
      <c r="K383" s="331">
        <v>35</v>
      </c>
      <c r="L383" s="83">
        <v>12</v>
      </c>
      <c r="M383" s="84">
        <v>131.39999999999998</v>
      </c>
      <c r="N383" s="85"/>
    </row>
    <row r="384" spans="2:14" ht="15" customHeight="1">
      <c r="B384" s="79" t="s">
        <v>1950</v>
      </c>
      <c r="C384" s="80" t="s">
        <v>1951</v>
      </c>
      <c r="D384" s="81">
        <v>5.43</v>
      </c>
      <c r="E384" s="222">
        <v>3</v>
      </c>
      <c r="F384" s="186"/>
      <c r="G384" s="186"/>
      <c r="H384" s="308"/>
      <c r="I384" s="227"/>
      <c r="J384" s="82">
        <v>3</v>
      </c>
      <c r="K384" s="331"/>
      <c r="L384" s="83">
        <v>3</v>
      </c>
      <c r="M384" s="84">
        <v>16.29</v>
      </c>
      <c r="N384" s="85"/>
    </row>
    <row r="385" spans="2:14" ht="15" customHeight="1">
      <c r="B385" s="79" t="s">
        <v>1954</v>
      </c>
      <c r="C385" s="80" t="s">
        <v>1955</v>
      </c>
      <c r="D385" s="81">
        <v>6.92</v>
      </c>
      <c r="E385" s="222">
        <v>1529</v>
      </c>
      <c r="F385" s="186"/>
      <c r="G385" s="186"/>
      <c r="H385" s="308"/>
      <c r="I385" s="227">
        <v>10</v>
      </c>
      <c r="J385" s="82">
        <v>1519</v>
      </c>
      <c r="K385" s="331">
        <v>1511</v>
      </c>
      <c r="L385" s="83">
        <v>8</v>
      </c>
      <c r="M385" s="84">
        <v>55.359999999998763</v>
      </c>
      <c r="N385" s="232"/>
    </row>
    <row r="386" spans="2:14" ht="15" customHeight="1">
      <c r="B386" s="79" t="s">
        <v>1956</v>
      </c>
      <c r="C386" s="80" t="s">
        <v>1957</v>
      </c>
      <c r="D386" s="81">
        <v>6.59</v>
      </c>
      <c r="E386" s="222">
        <v>975</v>
      </c>
      <c r="F386" s="186"/>
      <c r="G386" s="186"/>
      <c r="H386" s="308"/>
      <c r="I386" s="227"/>
      <c r="J386" s="82">
        <v>975</v>
      </c>
      <c r="K386" s="331">
        <v>135</v>
      </c>
      <c r="L386" s="83">
        <v>840</v>
      </c>
      <c r="M386" s="84">
        <v>5535.6</v>
      </c>
      <c r="N386" s="85"/>
    </row>
    <row r="387" spans="2:14" ht="15" customHeight="1">
      <c r="B387" s="79" t="s">
        <v>1998</v>
      </c>
      <c r="C387" s="80" t="s">
        <v>1999</v>
      </c>
      <c r="D387" s="81">
        <v>117.91</v>
      </c>
      <c r="E387" s="222">
        <v>14</v>
      </c>
      <c r="F387" s="186"/>
      <c r="G387" s="186"/>
      <c r="H387" s="308"/>
      <c r="I387" s="227"/>
      <c r="J387" s="82">
        <v>14</v>
      </c>
      <c r="K387" s="331">
        <v>10</v>
      </c>
      <c r="L387" s="83">
        <v>4</v>
      </c>
      <c r="M387" s="84">
        <v>471.6400000000001</v>
      </c>
      <c r="N387" s="85"/>
    </row>
    <row r="388" spans="2:14" ht="15" customHeight="1">
      <c r="B388" s="79" t="s">
        <v>3753</v>
      </c>
      <c r="C388" s="80" t="s">
        <v>3754</v>
      </c>
      <c r="D388" s="81">
        <v>197.3</v>
      </c>
      <c r="E388" s="222">
        <v>3</v>
      </c>
      <c r="F388" s="186"/>
      <c r="G388" s="186"/>
      <c r="H388" s="308"/>
      <c r="I388" s="227"/>
      <c r="J388" s="82">
        <v>3</v>
      </c>
      <c r="K388" s="331"/>
      <c r="L388" s="83">
        <v>3</v>
      </c>
      <c r="M388" s="84">
        <v>591.90000000000009</v>
      </c>
      <c r="N388" s="85"/>
    </row>
    <row r="389" spans="2:14" ht="15" customHeight="1">
      <c r="B389" s="79" t="s">
        <v>2024</v>
      </c>
      <c r="C389" s="80" t="s">
        <v>2025</v>
      </c>
      <c r="D389" s="260">
        <v>27.8</v>
      </c>
      <c r="E389" s="222"/>
      <c r="F389" s="186"/>
      <c r="G389" s="186">
        <v>30</v>
      </c>
      <c r="H389" s="308"/>
      <c r="I389" s="227">
        <v>2</v>
      </c>
      <c r="J389" s="82">
        <v>28</v>
      </c>
      <c r="K389" s="331">
        <v>27</v>
      </c>
      <c r="L389" s="83">
        <v>1</v>
      </c>
      <c r="M389" s="84">
        <v>27.799999999999955</v>
      </c>
      <c r="N389" s="85"/>
    </row>
    <row r="390" spans="2:14" ht="15" customHeight="1">
      <c r="B390" s="79" t="s">
        <v>2034</v>
      </c>
      <c r="C390" s="80" t="s">
        <v>2035</v>
      </c>
      <c r="D390" s="81">
        <v>82.1</v>
      </c>
      <c r="E390" s="222">
        <v>2</v>
      </c>
      <c r="F390" s="186"/>
      <c r="G390" s="186"/>
      <c r="H390" s="308"/>
      <c r="I390" s="227"/>
      <c r="J390" s="82">
        <v>2</v>
      </c>
      <c r="K390" s="331"/>
      <c r="L390" s="83">
        <v>2</v>
      </c>
      <c r="M390" s="84">
        <v>164.2</v>
      </c>
      <c r="N390" s="85"/>
    </row>
    <row r="391" spans="2:14" ht="15" customHeight="1">
      <c r="B391" s="79" t="s">
        <v>2044</v>
      </c>
      <c r="C391" s="80" t="s">
        <v>2045</v>
      </c>
      <c r="D391" s="81">
        <v>30.9</v>
      </c>
      <c r="E391" s="222">
        <v>36</v>
      </c>
      <c r="F391" s="186"/>
      <c r="G391" s="186"/>
      <c r="H391" s="308">
        <v>9</v>
      </c>
      <c r="I391" s="227"/>
      <c r="J391" s="82">
        <v>27</v>
      </c>
      <c r="K391" s="331">
        <v>25</v>
      </c>
      <c r="L391" s="83">
        <v>2</v>
      </c>
      <c r="M391" s="84">
        <v>61.799999999999955</v>
      </c>
      <c r="N391" s="85"/>
    </row>
    <row r="392" spans="2:14" ht="15" customHeight="1">
      <c r="B392" s="79" t="s">
        <v>2044</v>
      </c>
      <c r="C392" s="80" t="s">
        <v>2045</v>
      </c>
      <c r="D392" s="260">
        <v>30.21</v>
      </c>
      <c r="E392" s="222"/>
      <c r="F392" s="186"/>
      <c r="G392" s="186">
        <v>30</v>
      </c>
      <c r="H392" s="308">
        <v>27</v>
      </c>
      <c r="I392" s="227">
        <v>1</v>
      </c>
      <c r="J392" s="82">
        <v>2</v>
      </c>
      <c r="K392" s="331"/>
      <c r="L392" s="83">
        <v>2</v>
      </c>
      <c r="M392" s="84">
        <v>60.42</v>
      </c>
      <c r="N392" s="85"/>
    </row>
    <row r="393" spans="2:14" ht="15" customHeight="1">
      <c r="B393" s="79" t="s">
        <v>2054</v>
      </c>
      <c r="C393" s="80" t="s">
        <v>2055</v>
      </c>
      <c r="D393" s="81">
        <v>230.19</v>
      </c>
      <c r="E393" s="222">
        <v>4</v>
      </c>
      <c r="F393" s="186"/>
      <c r="G393" s="186"/>
      <c r="H393" s="308"/>
      <c r="I393" s="227"/>
      <c r="J393" s="82">
        <v>4</v>
      </c>
      <c r="K393" s="331">
        <v>3</v>
      </c>
      <c r="L393" s="83">
        <v>1</v>
      </c>
      <c r="M393" s="84">
        <v>230.19000000000005</v>
      </c>
      <c r="N393" s="85"/>
    </row>
    <row r="394" spans="2:14" ht="15" customHeight="1">
      <c r="B394" s="79" t="s">
        <v>2072</v>
      </c>
      <c r="C394" s="80" t="s">
        <v>2073</v>
      </c>
      <c r="D394" s="315">
        <v>64.58</v>
      </c>
      <c r="E394" s="222">
        <v>7</v>
      </c>
      <c r="F394" s="186"/>
      <c r="G394" s="186"/>
      <c r="H394" s="308"/>
      <c r="I394" s="227">
        <v>3</v>
      </c>
      <c r="J394" s="82">
        <v>4</v>
      </c>
      <c r="K394" s="331"/>
      <c r="L394" s="83">
        <v>4</v>
      </c>
      <c r="M394" s="84">
        <v>258.32</v>
      </c>
      <c r="N394" s="85"/>
    </row>
    <row r="395" spans="2:14" ht="15" customHeight="1">
      <c r="B395" s="79" t="s">
        <v>2080</v>
      </c>
      <c r="C395" s="80" t="s">
        <v>2081</v>
      </c>
      <c r="D395" s="81">
        <v>8.6</v>
      </c>
      <c r="E395" s="222">
        <v>15</v>
      </c>
      <c r="F395" s="186"/>
      <c r="G395" s="186"/>
      <c r="H395" s="308"/>
      <c r="I395" s="227">
        <v>1</v>
      </c>
      <c r="J395" s="82">
        <v>14</v>
      </c>
      <c r="K395" s="331">
        <v>13</v>
      </c>
      <c r="L395" s="83">
        <v>1</v>
      </c>
      <c r="M395" s="84">
        <v>8.5999999999999943</v>
      </c>
      <c r="N395" s="85"/>
    </row>
    <row r="396" spans="2:14" ht="15" customHeight="1">
      <c r="B396" s="79" t="s">
        <v>2105</v>
      </c>
      <c r="C396" s="80" t="s">
        <v>2106</v>
      </c>
      <c r="D396" s="81">
        <v>5.25</v>
      </c>
      <c r="E396" s="222">
        <v>530</v>
      </c>
      <c r="F396" s="186"/>
      <c r="G396" s="186"/>
      <c r="H396" s="308"/>
      <c r="I396" s="227">
        <v>2</v>
      </c>
      <c r="J396" s="82">
        <v>528</v>
      </c>
      <c r="K396" s="331">
        <v>522</v>
      </c>
      <c r="L396" s="83">
        <v>6</v>
      </c>
      <c r="M396" s="84">
        <v>31.5</v>
      </c>
      <c r="N396" s="85"/>
    </row>
    <row r="397" spans="2:14" ht="15" customHeight="1">
      <c r="B397" s="79" t="s">
        <v>2109</v>
      </c>
      <c r="C397" s="80" t="s">
        <v>2110</v>
      </c>
      <c r="D397" s="81">
        <v>6.63</v>
      </c>
      <c r="E397" s="222">
        <v>394</v>
      </c>
      <c r="F397" s="186"/>
      <c r="G397" s="186"/>
      <c r="H397" s="308"/>
      <c r="I397" s="227">
        <v>3</v>
      </c>
      <c r="J397" s="82">
        <v>391</v>
      </c>
      <c r="K397" s="331">
        <v>379</v>
      </c>
      <c r="L397" s="83">
        <v>12</v>
      </c>
      <c r="M397" s="84">
        <v>79.559999999999945</v>
      </c>
      <c r="N397" s="85"/>
    </row>
    <row r="398" spans="2:14" ht="15" customHeight="1">
      <c r="B398" s="219" t="s">
        <v>4808</v>
      </c>
      <c r="C398" s="284" t="s">
        <v>4753</v>
      </c>
      <c r="D398" s="81">
        <v>220</v>
      </c>
      <c r="E398" s="222"/>
      <c r="F398" s="186"/>
      <c r="G398" s="186">
        <v>1</v>
      </c>
      <c r="H398" s="308"/>
      <c r="I398" s="227"/>
      <c r="J398" s="82">
        <v>1</v>
      </c>
      <c r="K398" s="331"/>
      <c r="L398" s="83">
        <v>1</v>
      </c>
      <c r="M398" s="84">
        <v>220</v>
      </c>
      <c r="N398" s="85"/>
    </row>
    <row r="399" spans="2:14" ht="15" customHeight="1">
      <c r="B399" s="79" t="s">
        <v>2142</v>
      </c>
      <c r="C399" s="80" t="s">
        <v>2143</v>
      </c>
      <c r="D399" s="81">
        <v>4.7</v>
      </c>
      <c r="E399" s="222">
        <v>15</v>
      </c>
      <c r="F399" s="186"/>
      <c r="G399" s="186"/>
      <c r="H399" s="308"/>
      <c r="I399" s="227"/>
      <c r="J399" s="82">
        <v>15</v>
      </c>
      <c r="K399" s="331">
        <v>1</v>
      </c>
      <c r="L399" s="83">
        <v>14</v>
      </c>
      <c r="M399" s="84">
        <v>65.8</v>
      </c>
      <c r="N399" s="85"/>
    </row>
    <row r="400" spans="2:14" ht="15" customHeight="1">
      <c r="B400" s="79" t="s">
        <v>2144</v>
      </c>
      <c r="C400" s="80" t="s">
        <v>2145</v>
      </c>
      <c r="D400" s="81">
        <v>6.73</v>
      </c>
      <c r="E400" s="222">
        <v>30</v>
      </c>
      <c r="F400" s="186"/>
      <c r="G400" s="186"/>
      <c r="H400" s="308"/>
      <c r="I400" s="227">
        <v>4</v>
      </c>
      <c r="J400" s="82">
        <v>26</v>
      </c>
      <c r="K400" s="331">
        <v>24</v>
      </c>
      <c r="L400" s="83">
        <v>2</v>
      </c>
      <c r="M400" s="84">
        <v>13.460000000000008</v>
      </c>
      <c r="N400" s="85"/>
    </row>
    <row r="401" spans="2:14" ht="15" customHeight="1">
      <c r="B401" s="79" t="s">
        <v>2157</v>
      </c>
      <c r="C401" s="80" t="s">
        <v>2158</v>
      </c>
      <c r="D401" s="81">
        <v>6.73</v>
      </c>
      <c r="E401" s="222">
        <v>29</v>
      </c>
      <c r="F401" s="186"/>
      <c r="G401" s="186"/>
      <c r="H401" s="308"/>
      <c r="I401" s="227"/>
      <c r="J401" s="82">
        <v>29</v>
      </c>
      <c r="K401" s="331">
        <v>28</v>
      </c>
      <c r="L401" s="83">
        <v>1</v>
      </c>
      <c r="M401" s="84">
        <v>6.7300000000000182</v>
      </c>
      <c r="N401" s="85"/>
    </row>
    <row r="402" spans="2:14" ht="15" customHeight="1">
      <c r="B402" s="79" t="s">
        <v>2163</v>
      </c>
      <c r="C402" s="80" t="s">
        <v>2164</v>
      </c>
      <c r="D402" s="81">
        <v>81.39</v>
      </c>
      <c r="E402" s="222">
        <v>10</v>
      </c>
      <c r="F402" s="186"/>
      <c r="G402" s="186"/>
      <c r="H402" s="308"/>
      <c r="I402" s="227"/>
      <c r="J402" s="82">
        <v>10</v>
      </c>
      <c r="K402" s="331"/>
      <c r="L402" s="83">
        <v>10</v>
      </c>
      <c r="M402" s="84">
        <v>813.9</v>
      </c>
      <c r="N402" s="85"/>
    </row>
    <row r="403" spans="2:14" ht="15" customHeight="1">
      <c r="B403" s="79" t="s">
        <v>2165</v>
      </c>
      <c r="C403" s="80" t="s">
        <v>2166</v>
      </c>
      <c r="D403" s="81">
        <v>75.47</v>
      </c>
      <c r="E403" s="222">
        <v>1</v>
      </c>
      <c r="F403" s="186"/>
      <c r="G403" s="186"/>
      <c r="H403" s="308"/>
      <c r="I403" s="227"/>
      <c r="J403" s="82">
        <v>1</v>
      </c>
      <c r="K403" s="331"/>
      <c r="L403" s="83">
        <v>1</v>
      </c>
      <c r="M403" s="84">
        <v>75.47</v>
      </c>
      <c r="N403" s="85"/>
    </row>
    <row r="404" spans="2:14" ht="15" customHeight="1">
      <c r="B404" s="79" t="s">
        <v>2183</v>
      </c>
      <c r="C404" s="80" t="s">
        <v>2184</v>
      </c>
      <c r="D404" s="193">
        <v>20.57</v>
      </c>
      <c r="E404" s="222">
        <v>38</v>
      </c>
      <c r="F404" s="186"/>
      <c r="G404" s="186"/>
      <c r="H404" s="308"/>
      <c r="I404" s="227">
        <v>4</v>
      </c>
      <c r="J404" s="82">
        <v>34</v>
      </c>
      <c r="K404" s="332">
        <v>31</v>
      </c>
      <c r="L404" s="83">
        <v>3</v>
      </c>
      <c r="M404" s="84">
        <v>61.710000000000036</v>
      </c>
      <c r="N404" s="85"/>
    </row>
    <row r="405" spans="2:14" ht="15" customHeight="1">
      <c r="B405" s="79" t="s">
        <v>2191</v>
      </c>
      <c r="C405" s="80" t="s">
        <v>2192</v>
      </c>
      <c r="D405" s="81">
        <v>55.86</v>
      </c>
      <c r="E405" s="222">
        <v>31</v>
      </c>
      <c r="F405" s="186"/>
      <c r="G405" s="186"/>
      <c r="H405" s="308"/>
      <c r="I405" s="227"/>
      <c r="J405" s="82">
        <v>31</v>
      </c>
      <c r="K405" s="331">
        <v>21</v>
      </c>
      <c r="L405" s="83">
        <v>10</v>
      </c>
      <c r="M405" s="84">
        <v>558.60000000000014</v>
      </c>
      <c r="N405" s="85"/>
    </row>
    <row r="406" spans="2:14" ht="15" customHeight="1">
      <c r="B406" s="79" t="s">
        <v>2193</v>
      </c>
      <c r="C406" s="80" t="s">
        <v>2194</v>
      </c>
      <c r="D406" s="81">
        <v>18.64</v>
      </c>
      <c r="E406" s="222">
        <v>62</v>
      </c>
      <c r="F406" s="186"/>
      <c r="G406" s="186"/>
      <c r="H406" s="308"/>
      <c r="I406" s="227">
        <v>2</v>
      </c>
      <c r="J406" s="82">
        <v>60</v>
      </c>
      <c r="K406" s="331">
        <v>52</v>
      </c>
      <c r="L406" s="83">
        <v>8</v>
      </c>
      <c r="M406" s="84">
        <v>149.12000000000012</v>
      </c>
      <c r="N406" s="85"/>
    </row>
    <row r="407" spans="2:14" ht="15" customHeight="1">
      <c r="B407" s="79" t="s">
        <v>2195</v>
      </c>
      <c r="C407" s="80" t="s">
        <v>2196</v>
      </c>
      <c r="D407" s="81">
        <v>19.61</v>
      </c>
      <c r="E407" s="222">
        <v>11</v>
      </c>
      <c r="F407" s="186"/>
      <c r="G407" s="186"/>
      <c r="H407" s="308"/>
      <c r="I407" s="227">
        <v>2</v>
      </c>
      <c r="J407" s="82">
        <v>9</v>
      </c>
      <c r="K407" s="331">
        <v>8</v>
      </c>
      <c r="L407" s="83">
        <v>1</v>
      </c>
      <c r="M407" s="84">
        <v>19.610000000000014</v>
      </c>
      <c r="N407" s="85"/>
    </row>
    <row r="408" spans="2:14" ht="15" customHeight="1">
      <c r="B408" s="79" t="s">
        <v>2211</v>
      </c>
      <c r="C408" s="80" t="s">
        <v>2212</v>
      </c>
      <c r="D408" s="81">
        <v>17.059999999999999</v>
      </c>
      <c r="E408" s="222">
        <v>91</v>
      </c>
      <c r="F408" s="186"/>
      <c r="G408" s="186"/>
      <c r="H408" s="308"/>
      <c r="I408" s="227">
        <v>5</v>
      </c>
      <c r="J408" s="82">
        <v>86</v>
      </c>
      <c r="K408" s="331">
        <v>85</v>
      </c>
      <c r="L408" s="83">
        <v>1</v>
      </c>
      <c r="M408" s="84">
        <v>17.059999999999945</v>
      </c>
      <c r="N408" s="232"/>
    </row>
    <row r="409" spans="2:14" ht="15" customHeight="1">
      <c r="B409" s="79" t="s">
        <v>2215</v>
      </c>
      <c r="C409" s="80" t="s">
        <v>2216</v>
      </c>
      <c r="D409" s="81">
        <v>23.75</v>
      </c>
      <c r="E409" s="222">
        <v>8</v>
      </c>
      <c r="F409" s="186"/>
      <c r="G409" s="186"/>
      <c r="H409" s="308"/>
      <c r="I409" s="227">
        <v>1</v>
      </c>
      <c r="J409" s="82">
        <v>7</v>
      </c>
      <c r="K409" s="331">
        <v>5</v>
      </c>
      <c r="L409" s="83">
        <v>2</v>
      </c>
      <c r="M409" s="84">
        <v>47.5</v>
      </c>
      <c r="N409" s="85"/>
    </row>
    <row r="410" spans="2:14" ht="15" customHeight="1">
      <c r="B410" s="79" t="s">
        <v>2228</v>
      </c>
      <c r="C410" s="80" t="s">
        <v>2229</v>
      </c>
      <c r="D410" s="81">
        <v>18.25</v>
      </c>
      <c r="E410" s="222">
        <v>12</v>
      </c>
      <c r="F410" s="186"/>
      <c r="G410" s="186"/>
      <c r="H410" s="308"/>
      <c r="I410" s="227"/>
      <c r="J410" s="82">
        <v>12</v>
      </c>
      <c r="K410" s="331"/>
      <c r="L410" s="83">
        <v>12</v>
      </c>
      <c r="M410" s="84">
        <v>219</v>
      </c>
      <c r="N410" s="85"/>
    </row>
    <row r="411" spans="2:14" ht="15" customHeight="1">
      <c r="B411" s="79" t="s">
        <v>3745</v>
      </c>
      <c r="C411" s="80" t="s">
        <v>3746</v>
      </c>
      <c r="D411" s="81">
        <v>14.5</v>
      </c>
      <c r="E411" s="222">
        <v>17</v>
      </c>
      <c r="F411" s="186"/>
      <c r="G411" s="186"/>
      <c r="H411" s="308"/>
      <c r="I411" s="227">
        <v>4</v>
      </c>
      <c r="J411" s="82">
        <v>13</v>
      </c>
      <c r="K411" s="331"/>
      <c r="L411" s="83">
        <v>13</v>
      </c>
      <c r="M411" s="84">
        <v>188.5</v>
      </c>
      <c r="N411" s="85"/>
    </row>
    <row r="412" spans="2:14" ht="15" customHeight="1">
      <c r="B412" s="79" t="s">
        <v>2247</v>
      </c>
      <c r="C412" s="80" t="s">
        <v>2248</v>
      </c>
      <c r="D412" s="81">
        <v>5.92</v>
      </c>
      <c r="E412" s="222">
        <v>400</v>
      </c>
      <c r="F412" s="186"/>
      <c r="G412" s="186"/>
      <c r="H412" s="308"/>
      <c r="I412" s="227"/>
      <c r="J412" s="82">
        <v>400</v>
      </c>
      <c r="K412" s="331">
        <v>384</v>
      </c>
      <c r="L412" s="83">
        <v>16</v>
      </c>
      <c r="M412" s="84">
        <v>94.720000000000255</v>
      </c>
      <c r="N412" s="85"/>
    </row>
    <row r="413" spans="2:14" ht="15" customHeight="1">
      <c r="B413" s="79" t="s">
        <v>2249</v>
      </c>
      <c r="C413" s="80" t="s">
        <v>2250</v>
      </c>
      <c r="D413" s="81">
        <v>63.95</v>
      </c>
      <c r="E413" s="222">
        <v>147</v>
      </c>
      <c r="F413" s="186"/>
      <c r="G413" s="186"/>
      <c r="H413" s="308"/>
      <c r="I413" s="227"/>
      <c r="J413" s="82">
        <v>147</v>
      </c>
      <c r="K413" s="331">
        <v>70</v>
      </c>
      <c r="L413" s="83">
        <v>77</v>
      </c>
      <c r="M413" s="84">
        <v>4924.1499999999996</v>
      </c>
      <c r="N413" s="232"/>
    </row>
    <row r="414" spans="2:14" ht="15" customHeight="1">
      <c r="B414" s="79" t="s">
        <v>2267</v>
      </c>
      <c r="C414" s="80" t="s">
        <v>2268</v>
      </c>
      <c r="D414" s="81">
        <v>27</v>
      </c>
      <c r="E414" s="222">
        <v>11</v>
      </c>
      <c r="F414" s="186"/>
      <c r="G414" s="186"/>
      <c r="H414" s="308"/>
      <c r="I414" s="227"/>
      <c r="J414" s="82">
        <v>11</v>
      </c>
      <c r="K414" s="331">
        <v>10</v>
      </c>
      <c r="L414" s="83">
        <v>1</v>
      </c>
      <c r="M414" s="84">
        <v>27</v>
      </c>
      <c r="N414" s="85"/>
    </row>
    <row r="415" spans="2:14" ht="15" customHeight="1">
      <c r="B415" s="79" t="s">
        <v>2269</v>
      </c>
      <c r="C415" s="80" t="s">
        <v>2270</v>
      </c>
      <c r="D415" s="81">
        <v>55</v>
      </c>
      <c r="E415" s="222">
        <v>1</v>
      </c>
      <c r="F415" s="186"/>
      <c r="G415" s="186"/>
      <c r="H415" s="308"/>
      <c r="I415" s="227"/>
      <c r="J415" s="82">
        <v>1</v>
      </c>
      <c r="K415" s="331"/>
      <c r="L415" s="83">
        <v>1</v>
      </c>
      <c r="M415" s="84">
        <v>55</v>
      </c>
      <c r="N415" s="85"/>
    </row>
    <row r="416" spans="2:14" ht="15" customHeight="1">
      <c r="B416" s="79" t="s">
        <v>2271</v>
      </c>
      <c r="C416" s="80" t="s">
        <v>2272</v>
      </c>
      <c r="D416" s="81">
        <v>58</v>
      </c>
      <c r="E416" s="222">
        <v>29</v>
      </c>
      <c r="F416" s="186"/>
      <c r="G416" s="186"/>
      <c r="H416" s="308"/>
      <c r="I416" s="227">
        <v>1</v>
      </c>
      <c r="J416" s="82">
        <v>28</v>
      </c>
      <c r="K416" s="331">
        <v>7</v>
      </c>
      <c r="L416" s="83">
        <v>21</v>
      </c>
      <c r="M416" s="84">
        <v>1218</v>
      </c>
      <c r="N416" s="85"/>
    </row>
    <row r="417" spans="2:14" ht="15" customHeight="1">
      <c r="B417" s="79" t="s">
        <v>2275</v>
      </c>
      <c r="C417" s="80" t="s">
        <v>2276</v>
      </c>
      <c r="D417" s="81">
        <v>115.5</v>
      </c>
      <c r="E417" s="222">
        <v>3</v>
      </c>
      <c r="F417" s="186"/>
      <c r="G417" s="186"/>
      <c r="H417" s="308"/>
      <c r="I417" s="227"/>
      <c r="J417" s="82">
        <v>3</v>
      </c>
      <c r="K417" s="331">
        <v>2</v>
      </c>
      <c r="L417" s="83">
        <v>1</v>
      </c>
      <c r="M417" s="84">
        <v>115.5</v>
      </c>
      <c r="N417" s="85"/>
    </row>
    <row r="418" spans="2:14" ht="15" customHeight="1">
      <c r="B418" s="79" t="s">
        <v>2283</v>
      </c>
      <c r="C418" s="80" t="s">
        <v>2284</v>
      </c>
      <c r="D418" s="81">
        <v>60.5</v>
      </c>
      <c r="E418" s="222">
        <v>4</v>
      </c>
      <c r="F418" s="186"/>
      <c r="G418" s="186"/>
      <c r="H418" s="308"/>
      <c r="I418" s="227"/>
      <c r="J418" s="82">
        <v>4</v>
      </c>
      <c r="K418" s="331"/>
      <c r="L418" s="83">
        <v>4</v>
      </c>
      <c r="M418" s="84">
        <v>242</v>
      </c>
      <c r="N418" s="85"/>
    </row>
    <row r="419" spans="2:14" ht="15" customHeight="1">
      <c r="B419" s="79" t="s">
        <v>2287</v>
      </c>
      <c r="C419" s="80" t="s">
        <v>2288</v>
      </c>
      <c r="D419" s="81">
        <v>6</v>
      </c>
      <c r="E419" s="222">
        <v>124</v>
      </c>
      <c r="F419" s="186"/>
      <c r="G419" s="186"/>
      <c r="H419" s="308"/>
      <c r="I419" s="227">
        <v>2</v>
      </c>
      <c r="J419" s="82">
        <v>122</v>
      </c>
      <c r="K419" s="331">
        <v>112</v>
      </c>
      <c r="L419" s="83">
        <v>10</v>
      </c>
      <c r="M419" s="84">
        <v>60</v>
      </c>
      <c r="N419" s="85"/>
    </row>
    <row r="420" spans="2:14" ht="15" customHeight="1">
      <c r="B420" s="79" t="s">
        <v>2303</v>
      </c>
      <c r="C420" s="80" t="s">
        <v>2304</v>
      </c>
      <c r="D420" s="81">
        <v>56.66</v>
      </c>
      <c r="E420" s="222">
        <v>5</v>
      </c>
      <c r="F420" s="186"/>
      <c r="G420" s="186"/>
      <c r="H420" s="308"/>
      <c r="I420" s="227">
        <v>2</v>
      </c>
      <c r="J420" s="82">
        <v>3</v>
      </c>
      <c r="K420" s="331"/>
      <c r="L420" s="83">
        <v>3</v>
      </c>
      <c r="M420" s="84">
        <v>169.98</v>
      </c>
      <c r="N420" s="232"/>
    </row>
    <row r="421" spans="2:14" ht="15" customHeight="1">
      <c r="B421" s="79" t="s">
        <v>2309</v>
      </c>
      <c r="C421" s="80" t="s">
        <v>2310</v>
      </c>
      <c r="D421" s="81">
        <v>25</v>
      </c>
      <c r="E421" s="222">
        <v>2</v>
      </c>
      <c r="F421" s="186"/>
      <c r="G421" s="186"/>
      <c r="H421" s="308"/>
      <c r="I421" s="227"/>
      <c r="J421" s="82">
        <v>2</v>
      </c>
      <c r="K421" s="331"/>
      <c r="L421" s="83">
        <v>2</v>
      </c>
      <c r="M421" s="84">
        <v>50</v>
      </c>
      <c r="N421" s="85" t="s">
        <v>2150</v>
      </c>
    </row>
    <row r="422" spans="2:14" ht="15" customHeight="1">
      <c r="B422" s="79" t="s">
        <v>2357</v>
      </c>
      <c r="C422" s="80" t="s">
        <v>2358</v>
      </c>
      <c r="D422" s="81">
        <v>43.5</v>
      </c>
      <c r="E422" s="222">
        <v>8</v>
      </c>
      <c r="F422" s="186"/>
      <c r="G422" s="186"/>
      <c r="H422" s="308"/>
      <c r="I422" s="227">
        <v>1</v>
      </c>
      <c r="J422" s="82">
        <v>7</v>
      </c>
      <c r="K422" s="331">
        <v>2</v>
      </c>
      <c r="L422" s="83">
        <v>5</v>
      </c>
      <c r="M422" s="84">
        <v>217.5</v>
      </c>
      <c r="N422" s="85"/>
    </row>
    <row r="423" spans="2:14" ht="15" customHeight="1">
      <c r="B423" s="79" t="s">
        <v>2366</v>
      </c>
      <c r="C423" s="80" t="s">
        <v>2367</v>
      </c>
      <c r="D423" s="81">
        <v>14.42</v>
      </c>
      <c r="E423" s="222">
        <v>293</v>
      </c>
      <c r="F423" s="186"/>
      <c r="G423" s="186"/>
      <c r="H423" s="308"/>
      <c r="I423" s="227">
        <v>6</v>
      </c>
      <c r="J423" s="82">
        <v>287</v>
      </c>
      <c r="K423" s="331">
        <v>282</v>
      </c>
      <c r="L423" s="83">
        <v>5</v>
      </c>
      <c r="M423" s="84">
        <v>72.099999999999909</v>
      </c>
      <c r="N423" s="232" t="s">
        <v>3841</v>
      </c>
    </row>
    <row r="424" spans="2:14" ht="15" customHeight="1">
      <c r="B424" s="79" t="s">
        <v>2366</v>
      </c>
      <c r="C424" s="80" t="s">
        <v>2367</v>
      </c>
      <c r="D424" s="277">
        <v>14.917999999999999</v>
      </c>
      <c r="E424" s="222"/>
      <c r="F424" s="186"/>
      <c r="G424" s="186">
        <v>6</v>
      </c>
      <c r="H424" s="308"/>
      <c r="I424" s="227"/>
      <c r="J424" s="82">
        <v>6</v>
      </c>
      <c r="K424" s="331"/>
      <c r="L424" s="83">
        <v>6</v>
      </c>
      <c r="M424" s="84">
        <v>89.507999999999996</v>
      </c>
      <c r="N424" s="232" t="s">
        <v>3841</v>
      </c>
    </row>
    <row r="425" spans="2:14" ht="15" customHeight="1">
      <c r="B425" s="79" t="s">
        <v>2368</v>
      </c>
      <c r="C425" s="80" t="s">
        <v>2369</v>
      </c>
      <c r="D425" s="81">
        <v>14.91</v>
      </c>
      <c r="E425" s="222">
        <v>545</v>
      </c>
      <c r="F425" s="186"/>
      <c r="G425" s="186">
        <v>6</v>
      </c>
      <c r="H425" s="308"/>
      <c r="I425" s="227">
        <v>4</v>
      </c>
      <c r="J425" s="82">
        <v>547</v>
      </c>
      <c r="K425" s="331">
        <v>486</v>
      </c>
      <c r="L425" s="83">
        <v>61</v>
      </c>
      <c r="M425" s="84">
        <v>909.51000000000022</v>
      </c>
      <c r="N425" s="85"/>
    </row>
    <row r="426" spans="2:14" ht="15" customHeight="1">
      <c r="B426" s="79" t="s">
        <v>2370</v>
      </c>
      <c r="C426" s="80" t="s">
        <v>2371</v>
      </c>
      <c r="D426" s="81">
        <v>19.47</v>
      </c>
      <c r="E426" s="222">
        <v>26</v>
      </c>
      <c r="F426" s="186"/>
      <c r="G426" s="186"/>
      <c r="H426" s="308"/>
      <c r="I426" s="227"/>
      <c r="J426" s="82">
        <v>26</v>
      </c>
      <c r="K426" s="331">
        <v>25</v>
      </c>
      <c r="L426" s="83">
        <v>1</v>
      </c>
      <c r="M426" s="84">
        <v>19.46999999999997</v>
      </c>
      <c r="N426" s="85"/>
    </row>
    <row r="427" spans="2:14" ht="15" customHeight="1">
      <c r="B427" s="79" t="s">
        <v>2372</v>
      </c>
      <c r="C427" s="80" t="s">
        <v>2373</v>
      </c>
      <c r="D427" s="277">
        <v>14.917999999999999</v>
      </c>
      <c r="E427" s="222"/>
      <c r="F427" s="186"/>
      <c r="G427" s="186">
        <v>6</v>
      </c>
      <c r="H427" s="308"/>
      <c r="I427" s="227"/>
      <c r="J427" s="82">
        <v>6</v>
      </c>
      <c r="K427" s="331"/>
      <c r="L427" s="83">
        <v>6</v>
      </c>
      <c r="M427" s="84">
        <v>89.507999999999996</v>
      </c>
      <c r="N427" s="232"/>
    </row>
    <row r="428" spans="2:14" ht="15" customHeight="1">
      <c r="B428" s="79" t="s">
        <v>2376</v>
      </c>
      <c r="C428" s="80" t="s">
        <v>2377</v>
      </c>
      <c r="D428" s="81">
        <v>20.2</v>
      </c>
      <c r="E428" s="222">
        <v>49</v>
      </c>
      <c r="F428" s="186"/>
      <c r="G428" s="186"/>
      <c r="H428" s="308"/>
      <c r="I428" s="227"/>
      <c r="J428" s="82">
        <v>49</v>
      </c>
      <c r="K428" s="331">
        <v>47</v>
      </c>
      <c r="L428" s="83">
        <v>2</v>
      </c>
      <c r="M428" s="84">
        <v>40.399999999999977</v>
      </c>
      <c r="N428" s="85"/>
    </row>
    <row r="429" spans="2:14" ht="15" customHeight="1">
      <c r="B429" s="79" t="s">
        <v>2380</v>
      </c>
      <c r="C429" s="80" t="s">
        <v>2381</v>
      </c>
      <c r="D429" s="81">
        <v>360.65</v>
      </c>
      <c r="E429" s="222">
        <v>8</v>
      </c>
      <c r="F429" s="186"/>
      <c r="G429" s="186"/>
      <c r="H429" s="308"/>
      <c r="I429" s="227"/>
      <c r="J429" s="82">
        <v>8</v>
      </c>
      <c r="K429" s="331"/>
      <c r="L429" s="83">
        <v>8</v>
      </c>
      <c r="M429" s="84">
        <v>2885.2</v>
      </c>
      <c r="N429" s="85"/>
    </row>
    <row r="430" spans="2:14" ht="15" customHeight="1">
      <c r="B430" s="79" t="s">
        <v>2384</v>
      </c>
      <c r="C430" s="80" t="s">
        <v>2385</v>
      </c>
      <c r="D430" s="81">
        <v>333.8</v>
      </c>
      <c r="E430" s="222">
        <v>16</v>
      </c>
      <c r="F430" s="186"/>
      <c r="G430" s="186"/>
      <c r="H430" s="308"/>
      <c r="I430" s="227"/>
      <c r="J430" s="82">
        <v>16</v>
      </c>
      <c r="K430" s="331">
        <v>15</v>
      </c>
      <c r="L430" s="83">
        <v>1</v>
      </c>
      <c r="M430" s="84">
        <v>333.80000000000018</v>
      </c>
      <c r="N430" s="85"/>
    </row>
    <row r="431" spans="2:14" ht="15" customHeight="1">
      <c r="B431" s="79" t="s">
        <v>2392</v>
      </c>
      <c r="C431" s="80" t="s">
        <v>2393</v>
      </c>
      <c r="D431" s="81">
        <v>76.19</v>
      </c>
      <c r="E431" s="222">
        <v>63</v>
      </c>
      <c r="F431" s="186"/>
      <c r="G431" s="186"/>
      <c r="H431" s="308"/>
      <c r="I431" s="227"/>
      <c r="J431" s="82">
        <v>63</v>
      </c>
      <c r="K431" s="331">
        <v>9</v>
      </c>
      <c r="L431" s="83">
        <v>54</v>
      </c>
      <c r="M431" s="84">
        <v>4114.26</v>
      </c>
      <c r="N431" s="85"/>
    </row>
    <row r="432" spans="2:14" ht="15" customHeight="1">
      <c r="B432" s="79" t="s">
        <v>2400</v>
      </c>
      <c r="C432" s="80" t="s">
        <v>2401</v>
      </c>
      <c r="D432" s="81">
        <v>6.29</v>
      </c>
      <c r="E432" s="222">
        <v>24</v>
      </c>
      <c r="F432" s="186"/>
      <c r="G432" s="186"/>
      <c r="H432" s="308"/>
      <c r="I432" s="227"/>
      <c r="J432" s="82">
        <v>24</v>
      </c>
      <c r="K432" s="331">
        <v>1</v>
      </c>
      <c r="L432" s="83">
        <v>23</v>
      </c>
      <c r="M432" s="84">
        <v>144.67000000000002</v>
      </c>
      <c r="N432" s="85"/>
    </row>
    <row r="433" spans="2:14" ht="15" customHeight="1">
      <c r="B433" s="79" t="s">
        <v>2414</v>
      </c>
      <c r="C433" s="80" t="s">
        <v>2415</v>
      </c>
      <c r="D433" s="81">
        <v>5.34</v>
      </c>
      <c r="E433" s="222">
        <v>385</v>
      </c>
      <c r="F433" s="186"/>
      <c r="G433" s="186"/>
      <c r="H433" s="308"/>
      <c r="I433" s="227"/>
      <c r="J433" s="82">
        <v>385</v>
      </c>
      <c r="K433" s="331">
        <v>212</v>
      </c>
      <c r="L433" s="83">
        <v>173</v>
      </c>
      <c r="M433" s="84">
        <v>923.82000000000016</v>
      </c>
      <c r="N433" s="85"/>
    </row>
    <row r="434" spans="2:14" ht="15" customHeight="1">
      <c r="B434" s="79" t="s">
        <v>2423</v>
      </c>
      <c r="C434" s="80" t="s">
        <v>2424</v>
      </c>
      <c r="D434" s="81">
        <v>5.34</v>
      </c>
      <c r="E434" s="222">
        <v>244</v>
      </c>
      <c r="F434" s="186"/>
      <c r="G434" s="186"/>
      <c r="H434" s="308"/>
      <c r="I434" s="227"/>
      <c r="J434" s="82">
        <v>244</v>
      </c>
      <c r="K434" s="331">
        <v>239</v>
      </c>
      <c r="L434" s="83">
        <v>5</v>
      </c>
      <c r="M434" s="84">
        <v>26.700000000000045</v>
      </c>
      <c r="N434" s="85"/>
    </row>
    <row r="435" spans="2:14" ht="15" customHeight="1">
      <c r="B435" s="79" t="s">
        <v>2429</v>
      </c>
      <c r="C435" s="80" t="s">
        <v>2430</v>
      </c>
      <c r="D435" s="81">
        <v>36.51</v>
      </c>
      <c r="E435" s="222">
        <v>83</v>
      </c>
      <c r="F435" s="186"/>
      <c r="G435" s="186"/>
      <c r="H435" s="308"/>
      <c r="I435" s="227">
        <v>4</v>
      </c>
      <c r="J435" s="82">
        <v>79</v>
      </c>
      <c r="K435" s="331">
        <v>23</v>
      </c>
      <c r="L435" s="83">
        <v>56</v>
      </c>
      <c r="M435" s="84">
        <v>2044.56</v>
      </c>
      <c r="N435" s="85"/>
    </row>
    <row r="436" spans="2:14" ht="15" customHeight="1">
      <c r="B436" s="79" t="s">
        <v>2431</v>
      </c>
      <c r="C436" s="80" t="s">
        <v>2432</v>
      </c>
      <c r="D436" s="81">
        <v>19.66</v>
      </c>
      <c r="E436" s="222">
        <v>79</v>
      </c>
      <c r="F436" s="186"/>
      <c r="G436" s="186"/>
      <c r="H436" s="308"/>
      <c r="I436" s="227">
        <v>16</v>
      </c>
      <c r="J436" s="82">
        <v>63</v>
      </c>
      <c r="K436" s="331">
        <v>27</v>
      </c>
      <c r="L436" s="83">
        <v>36</v>
      </c>
      <c r="M436" s="84">
        <v>707.75999999999988</v>
      </c>
      <c r="N436" s="85"/>
    </row>
    <row r="437" spans="2:14" ht="15" customHeight="1">
      <c r="B437" s="79" t="s">
        <v>2433</v>
      </c>
      <c r="C437" s="80" t="s">
        <v>2434</v>
      </c>
      <c r="D437" s="81">
        <v>48</v>
      </c>
      <c r="E437" s="222">
        <v>3</v>
      </c>
      <c r="F437" s="186"/>
      <c r="G437" s="186"/>
      <c r="H437" s="308"/>
      <c r="I437" s="227"/>
      <c r="J437" s="82">
        <v>3</v>
      </c>
      <c r="K437" s="331">
        <v>1</v>
      </c>
      <c r="L437" s="83">
        <v>2</v>
      </c>
      <c r="M437" s="84">
        <v>96</v>
      </c>
      <c r="N437" s="85"/>
    </row>
    <row r="438" spans="2:14" ht="15" customHeight="1">
      <c r="B438" s="79" t="s">
        <v>2439</v>
      </c>
      <c r="C438" s="80" t="s">
        <v>2440</v>
      </c>
      <c r="D438" s="81">
        <v>3.72</v>
      </c>
      <c r="E438" s="222">
        <v>534</v>
      </c>
      <c r="F438" s="186"/>
      <c r="G438" s="186"/>
      <c r="H438" s="308"/>
      <c r="I438" s="227">
        <v>4</v>
      </c>
      <c r="J438" s="82">
        <v>530</v>
      </c>
      <c r="K438" s="331">
        <v>517</v>
      </c>
      <c r="L438" s="83">
        <v>13</v>
      </c>
      <c r="M438" s="84">
        <v>48.360000000000127</v>
      </c>
      <c r="N438" s="232" t="s">
        <v>3830</v>
      </c>
    </row>
    <row r="439" spans="2:14" ht="15" customHeight="1">
      <c r="B439" s="79" t="s">
        <v>2443</v>
      </c>
      <c r="C439" s="80" t="s">
        <v>2444</v>
      </c>
      <c r="D439" s="81">
        <v>4.7</v>
      </c>
      <c r="E439" s="222">
        <v>391</v>
      </c>
      <c r="F439" s="186"/>
      <c r="G439" s="186"/>
      <c r="H439" s="308"/>
      <c r="I439" s="227"/>
      <c r="J439" s="82">
        <v>391</v>
      </c>
      <c r="K439" s="331">
        <v>380</v>
      </c>
      <c r="L439" s="83">
        <v>11</v>
      </c>
      <c r="M439" s="84">
        <v>51.700000000000045</v>
      </c>
      <c r="N439" s="85"/>
    </row>
    <row r="440" spans="2:14" ht="15" customHeight="1">
      <c r="B440" s="79" t="s">
        <v>2445</v>
      </c>
      <c r="C440" s="80" t="s">
        <v>2446</v>
      </c>
      <c r="D440" s="81">
        <v>4.7</v>
      </c>
      <c r="E440" s="222">
        <v>410</v>
      </c>
      <c r="F440" s="186"/>
      <c r="G440" s="186"/>
      <c r="H440" s="308"/>
      <c r="I440" s="227"/>
      <c r="J440" s="82">
        <v>410</v>
      </c>
      <c r="K440" s="331">
        <v>409</v>
      </c>
      <c r="L440" s="83">
        <v>1</v>
      </c>
      <c r="M440" s="84">
        <v>4.6999999999998181</v>
      </c>
      <c r="N440" s="85"/>
    </row>
    <row r="441" spans="2:14" ht="15" customHeight="1">
      <c r="B441" s="79" t="s">
        <v>2449</v>
      </c>
      <c r="C441" s="80" t="s">
        <v>2450</v>
      </c>
      <c r="D441" s="81">
        <v>6.12</v>
      </c>
      <c r="E441" s="222">
        <v>386</v>
      </c>
      <c r="F441" s="186"/>
      <c r="G441" s="186"/>
      <c r="H441" s="308"/>
      <c r="I441" s="227"/>
      <c r="J441" s="82">
        <v>386</v>
      </c>
      <c r="K441" s="331">
        <v>37</v>
      </c>
      <c r="L441" s="83">
        <v>349</v>
      </c>
      <c r="M441" s="84">
        <v>2135.88</v>
      </c>
      <c r="N441" s="85"/>
    </row>
    <row r="442" spans="2:14" ht="15" customHeight="1">
      <c r="B442" s="79" t="s">
        <v>2455</v>
      </c>
      <c r="C442" s="80" t="s">
        <v>2456</v>
      </c>
      <c r="D442" s="81">
        <v>155.63999999999999</v>
      </c>
      <c r="E442" s="222"/>
      <c r="F442" s="186"/>
      <c r="G442" s="186">
        <v>8</v>
      </c>
      <c r="H442" s="308"/>
      <c r="I442" s="227">
        <v>3</v>
      </c>
      <c r="J442" s="82">
        <v>5</v>
      </c>
      <c r="K442" s="331"/>
      <c r="L442" s="83">
        <v>5</v>
      </c>
      <c r="M442" s="84">
        <v>778.19999999999993</v>
      </c>
      <c r="N442" s="85"/>
    </row>
    <row r="443" spans="2:14" ht="15" customHeight="1">
      <c r="B443" s="79" t="s">
        <v>2461</v>
      </c>
      <c r="C443" s="80" t="s">
        <v>2462</v>
      </c>
      <c r="D443" s="81">
        <v>6.12</v>
      </c>
      <c r="E443" s="222">
        <v>255</v>
      </c>
      <c r="F443" s="186"/>
      <c r="G443" s="186"/>
      <c r="H443" s="308"/>
      <c r="I443" s="227">
        <v>60</v>
      </c>
      <c r="J443" s="82">
        <v>195</v>
      </c>
      <c r="K443" s="331">
        <v>172</v>
      </c>
      <c r="L443" s="83">
        <v>23</v>
      </c>
      <c r="M443" s="84">
        <v>140.76</v>
      </c>
      <c r="N443" s="85"/>
    </row>
    <row r="444" spans="2:14" ht="15" customHeight="1">
      <c r="B444" s="79" t="s">
        <v>2461</v>
      </c>
      <c r="C444" s="80" t="s">
        <v>2462</v>
      </c>
      <c r="D444" s="277">
        <v>6.3490000000000002</v>
      </c>
      <c r="E444" s="222"/>
      <c r="F444" s="186"/>
      <c r="G444" s="186">
        <v>6</v>
      </c>
      <c r="H444" s="308"/>
      <c r="I444" s="227"/>
      <c r="J444" s="82">
        <v>6</v>
      </c>
      <c r="K444" s="331"/>
      <c r="L444" s="83">
        <v>6</v>
      </c>
      <c r="M444" s="84">
        <v>38.094000000000001</v>
      </c>
      <c r="N444" s="85"/>
    </row>
    <row r="445" spans="2:14" ht="15" customHeight="1">
      <c r="B445" s="79" t="s">
        <v>2465</v>
      </c>
      <c r="C445" s="80" t="s">
        <v>2466</v>
      </c>
      <c r="D445" s="81">
        <v>152.97</v>
      </c>
      <c r="E445" s="222">
        <v>6</v>
      </c>
      <c r="F445" s="186"/>
      <c r="G445" s="186"/>
      <c r="H445" s="308"/>
      <c r="I445" s="227"/>
      <c r="J445" s="82">
        <v>6</v>
      </c>
      <c r="K445" s="331">
        <v>5</v>
      </c>
      <c r="L445" s="83">
        <v>1</v>
      </c>
      <c r="M445" s="84">
        <v>152.96999999999991</v>
      </c>
      <c r="N445" s="85"/>
    </row>
    <row r="446" spans="2:14" ht="15" customHeight="1">
      <c r="B446" s="79" t="s">
        <v>2469</v>
      </c>
      <c r="C446" s="80" t="s">
        <v>2470</v>
      </c>
      <c r="D446" s="81">
        <v>155.6</v>
      </c>
      <c r="E446" s="222">
        <v>18</v>
      </c>
      <c r="F446" s="186"/>
      <c r="G446" s="186"/>
      <c r="H446" s="308"/>
      <c r="I446" s="227"/>
      <c r="J446" s="82">
        <v>18</v>
      </c>
      <c r="K446" s="331">
        <v>17</v>
      </c>
      <c r="L446" s="83">
        <v>1</v>
      </c>
      <c r="M446" s="84">
        <v>155.59999999999991</v>
      </c>
      <c r="N446" s="232" t="s">
        <v>3840</v>
      </c>
    </row>
    <row r="447" spans="2:14" ht="15" customHeight="1">
      <c r="B447" s="79" t="s">
        <v>2469</v>
      </c>
      <c r="C447" s="80" t="s">
        <v>2470</v>
      </c>
      <c r="D447" s="81">
        <v>160.51</v>
      </c>
      <c r="E447" s="222"/>
      <c r="F447" s="186"/>
      <c r="G447" s="186">
        <v>16</v>
      </c>
      <c r="H447" s="308"/>
      <c r="I447" s="227">
        <v>4</v>
      </c>
      <c r="J447" s="82">
        <v>12</v>
      </c>
      <c r="K447" s="331"/>
      <c r="L447" s="83">
        <v>12</v>
      </c>
      <c r="M447" s="84">
        <v>1926.12</v>
      </c>
      <c r="N447" s="85"/>
    </row>
    <row r="448" spans="2:14" ht="15" customHeight="1">
      <c r="B448" s="219" t="s">
        <v>4806</v>
      </c>
      <c r="C448" s="276" t="s">
        <v>4751</v>
      </c>
      <c r="D448" s="277">
        <v>6.3448000000000002</v>
      </c>
      <c r="E448" s="222"/>
      <c r="F448" s="186"/>
      <c r="G448" s="186">
        <v>6</v>
      </c>
      <c r="H448" s="308"/>
      <c r="I448" s="227"/>
      <c r="J448" s="82">
        <v>6</v>
      </c>
      <c r="K448" s="331"/>
      <c r="L448" s="83">
        <v>6</v>
      </c>
      <c r="M448" s="84">
        <v>38.068800000000003</v>
      </c>
      <c r="N448" s="85"/>
    </row>
    <row r="449" spans="2:14" ht="15" customHeight="1">
      <c r="B449" s="79">
        <v>9555222610649</v>
      </c>
      <c r="C449" s="80" t="s">
        <v>2475</v>
      </c>
      <c r="D449" s="81">
        <v>242.5</v>
      </c>
      <c r="E449" s="222">
        <v>3</v>
      </c>
      <c r="F449" s="186"/>
      <c r="G449" s="186"/>
      <c r="H449" s="308"/>
      <c r="I449" s="227"/>
      <c r="J449" s="82">
        <v>3</v>
      </c>
      <c r="K449" s="331">
        <v>2</v>
      </c>
      <c r="L449" s="83">
        <v>1</v>
      </c>
      <c r="M449" s="84">
        <v>242.5</v>
      </c>
      <c r="N449" s="85"/>
    </row>
    <row r="450" spans="2:14" ht="15" customHeight="1">
      <c r="B450" s="79" t="s">
        <v>2511</v>
      </c>
      <c r="C450" s="80" t="s">
        <v>2512</v>
      </c>
      <c r="D450" s="81">
        <v>144.31</v>
      </c>
      <c r="E450" s="222">
        <v>1</v>
      </c>
      <c r="F450" s="186"/>
      <c r="G450" s="186">
        <v>16</v>
      </c>
      <c r="H450" s="308"/>
      <c r="I450" s="227">
        <v>2</v>
      </c>
      <c r="J450" s="82">
        <v>15</v>
      </c>
      <c r="K450" s="331">
        <v>14</v>
      </c>
      <c r="L450" s="83">
        <v>1</v>
      </c>
      <c r="M450" s="84">
        <v>144.30999999999995</v>
      </c>
      <c r="N450" s="85"/>
    </row>
    <row r="451" spans="2:14" ht="15" customHeight="1">
      <c r="B451" s="79" t="s">
        <v>2517</v>
      </c>
      <c r="C451" s="80" t="s">
        <v>2518</v>
      </c>
      <c r="D451" s="81">
        <v>11.1</v>
      </c>
      <c r="E451" s="222">
        <v>96</v>
      </c>
      <c r="F451" s="186"/>
      <c r="G451" s="186"/>
      <c r="H451" s="308"/>
      <c r="I451" s="227"/>
      <c r="J451" s="82">
        <v>96</v>
      </c>
      <c r="K451" s="331">
        <v>36</v>
      </c>
      <c r="L451" s="83">
        <v>60</v>
      </c>
      <c r="M451" s="84">
        <v>666</v>
      </c>
      <c r="N451" s="85"/>
    </row>
    <row r="452" spans="2:14" ht="15" customHeight="1">
      <c r="B452" s="79" t="s">
        <v>2521</v>
      </c>
      <c r="C452" s="80" t="s">
        <v>2522</v>
      </c>
      <c r="D452" s="81">
        <v>7.2</v>
      </c>
      <c r="E452" s="222">
        <v>3</v>
      </c>
      <c r="F452" s="186"/>
      <c r="G452" s="186"/>
      <c r="H452" s="308"/>
      <c r="I452" s="227"/>
      <c r="J452" s="82">
        <v>3</v>
      </c>
      <c r="K452" s="331"/>
      <c r="L452" s="83">
        <v>3</v>
      </c>
      <c r="M452" s="84">
        <v>21.6</v>
      </c>
      <c r="N452" s="85" t="s">
        <v>1696</v>
      </c>
    </row>
    <row r="453" spans="2:14" ht="15" customHeight="1">
      <c r="B453" s="79" t="s">
        <v>2542</v>
      </c>
      <c r="C453" s="80" t="s">
        <v>2543</v>
      </c>
      <c r="D453" s="81">
        <v>252</v>
      </c>
      <c r="E453" s="222">
        <v>3</v>
      </c>
      <c r="F453" s="186"/>
      <c r="G453" s="186"/>
      <c r="H453" s="308"/>
      <c r="I453" s="227"/>
      <c r="J453" s="82">
        <v>3</v>
      </c>
      <c r="K453" s="331">
        <v>1</v>
      </c>
      <c r="L453" s="83">
        <v>2</v>
      </c>
      <c r="M453" s="84">
        <v>504</v>
      </c>
      <c r="N453" s="85"/>
    </row>
    <row r="454" spans="2:14" ht="15" customHeight="1">
      <c r="B454" s="191" t="s">
        <v>2544</v>
      </c>
      <c r="C454" s="192" t="s">
        <v>2545</v>
      </c>
      <c r="D454" s="193">
        <v>57</v>
      </c>
      <c r="E454" s="236">
        <v>56</v>
      </c>
      <c r="F454" s="237"/>
      <c r="G454" s="237"/>
      <c r="H454" s="309"/>
      <c r="I454" s="238"/>
      <c r="J454" s="82">
        <v>56</v>
      </c>
      <c r="K454" s="336"/>
      <c r="L454" s="194">
        <v>56</v>
      </c>
      <c r="M454" s="195">
        <v>3192</v>
      </c>
      <c r="N454" s="196"/>
    </row>
    <row r="455" spans="2:14" ht="15" customHeight="1">
      <c r="B455" s="79" t="s">
        <v>2550</v>
      </c>
      <c r="C455" s="80" t="s">
        <v>2551</v>
      </c>
      <c r="D455" s="81">
        <v>37.93</v>
      </c>
      <c r="E455" s="222">
        <v>96</v>
      </c>
      <c r="F455" s="186"/>
      <c r="G455" s="186"/>
      <c r="H455" s="308"/>
      <c r="I455" s="227"/>
      <c r="J455" s="82">
        <v>96</v>
      </c>
      <c r="K455" s="331">
        <v>93</v>
      </c>
      <c r="L455" s="83">
        <v>3</v>
      </c>
      <c r="M455" s="84">
        <v>113.78999999999996</v>
      </c>
      <c r="N455" s="85"/>
    </row>
    <row r="456" spans="2:14" ht="15" customHeight="1">
      <c r="B456" s="79" t="s">
        <v>2564</v>
      </c>
      <c r="C456" s="80" t="s">
        <v>2565</v>
      </c>
      <c r="D456" s="81">
        <v>4.58</v>
      </c>
      <c r="E456" s="222">
        <v>187</v>
      </c>
      <c r="F456" s="186"/>
      <c r="G456" s="186"/>
      <c r="H456" s="308"/>
      <c r="I456" s="227"/>
      <c r="J456" s="82">
        <v>187</v>
      </c>
      <c r="K456" s="331">
        <v>180</v>
      </c>
      <c r="L456" s="83">
        <v>7</v>
      </c>
      <c r="M456" s="84">
        <v>32.060000000000059</v>
      </c>
      <c r="N456" s="85"/>
    </row>
    <row r="457" spans="2:14" ht="15" customHeight="1">
      <c r="B457" s="79" t="s">
        <v>2571</v>
      </c>
      <c r="C457" s="80" t="s">
        <v>2572</v>
      </c>
      <c r="D457" s="81">
        <v>11.17</v>
      </c>
      <c r="E457" s="222">
        <v>54</v>
      </c>
      <c r="F457" s="186"/>
      <c r="G457" s="186"/>
      <c r="H457" s="308"/>
      <c r="I457" s="227">
        <v>3</v>
      </c>
      <c r="J457" s="82">
        <v>51</v>
      </c>
      <c r="K457" s="331"/>
      <c r="L457" s="83">
        <v>51</v>
      </c>
      <c r="M457" s="84">
        <v>569.66999999999996</v>
      </c>
      <c r="N457" s="232"/>
    </row>
    <row r="458" spans="2:14" ht="15" customHeight="1">
      <c r="B458" s="79" t="s">
        <v>2587</v>
      </c>
      <c r="C458" s="80" t="s">
        <v>2588</v>
      </c>
      <c r="D458" s="81">
        <v>5.41</v>
      </c>
      <c r="E458" s="222">
        <v>204</v>
      </c>
      <c r="F458" s="186"/>
      <c r="G458" s="186"/>
      <c r="H458" s="308"/>
      <c r="I458" s="227"/>
      <c r="J458" s="82">
        <v>204</v>
      </c>
      <c r="K458" s="331">
        <v>97</v>
      </c>
      <c r="L458" s="83">
        <v>107</v>
      </c>
      <c r="M458" s="84">
        <v>578.87000000000012</v>
      </c>
      <c r="N458" s="85"/>
    </row>
    <row r="459" spans="2:14" ht="15" customHeight="1">
      <c r="B459" s="79" t="s">
        <v>2589</v>
      </c>
      <c r="C459" s="80" t="s">
        <v>2590</v>
      </c>
      <c r="D459" s="81">
        <v>5.41</v>
      </c>
      <c r="E459" s="222">
        <v>923</v>
      </c>
      <c r="F459" s="186"/>
      <c r="G459" s="186"/>
      <c r="H459" s="308"/>
      <c r="I459" s="227">
        <v>74</v>
      </c>
      <c r="J459" s="82">
        <v>849</v>
      </c>
      <c r="K459" s="331">
        <v>264</v>
      </c>
      <c r="L459" s="83">
        <v>585</v>
      </c>
      <c r="M459" s="84">
        <v>3164.8500000000004</v>
      </c>
      <c r="N459" s="85"/>
    </row>
    <row r="460" spans="2:14" ht="15" customHeight="1">
      <c r="B460" s="79" t="s">
        <v>2599</v>
      </c>
      <c r="C460" s="80" t="s">
        <v>2600</v>
      </c>
      <c r="D460" s="81">
        <v>6.37</v>
      </c>
      <c r="E460" s="222">
        <v>648</v>
      </c>
      <c r="F460" s="186"/>
      <c r="G460" s="186"/>
      <c r="H460" s="308"/>
      <c r="I460" s="227"/>
      <c r="J460" s="82">
        <v>648</v>
      </c>
      <c r="K460" s="331">
        <v>642</v>
      </c>
      <c r="L460" s="83">
        <v>6</v>
      </c>
      <c r="M460" s="84">
        <v>38.220000000000255</v>
      </c>
      <c r="N460" s="232"/>
    </row>
    <row r="461" spans="2:14" ht="15" customHeight="1">
      <c r="B461" s="79" t="s">
        <v>2609</v>
      </c>
      <c r="C461" s="80" t="s">
        <v>2610</v>
      </c>
      <c r="D461" s="81">
        <v>37.5</v>
      </c>
      <c r="E461" s="222">
        <v>38</v>
      </c>
      <c r="F461" s="186"/>
      <c r="G461" s="186"/>
      <c r="H461" s="308"/>
      <c r="I461" s="227"/>
      <c r="J461" s="82">
        <v>38</v>
      </c>
      <c r="K461" s="331">
        <v>20</v>
      </c>
      <c r="L461" s="83">
        <v>18</v>
      </c>
      <c r="M461" s="84">
        <v>675</v>
      </c>
      <c r="N461" s="85"/>
    </row>
    <row r="462" spans="2:14" ht="15" customHeight="1">
      <c r="B462" s="79" t="s">
        <v>2615</v>
      </c>
      <c r="C462" s="80" t="s">
        <v>2616</v>
      </c>
      <c r="D462" s="81">
        <v>37.5</v>
      </c>
      <c r="E462" s="222">
        <v>17</v>
      </c>
      <c r="F462" s="186"/>
      <c r="G462" s="186"/>
      <c r="H462" s="308"/>
      <c r="I462" s="227"/>
      <c r="J462" s="82">
        <v>17</v>
      </c>
      <c r="K462" s="331"/>
      <c r="L462" s="83">
        <v>17</v>
      </c>
      <c r="M462" s="84">
        <v>637.5</v>
      </c>
      <c r="N462" s="85"/>
    </row>
    <row r="463" spans="2:14" ht="15" customHeight="1">
      <c r="B463" s="79" t="s">
        <v>2633</v>
      </c>
      <c r="C463" s="80" t="s">
        <v>2634</v>
      </c>
      <c r="D463" s="277">
        <v>14.9185</v>
      </c>
      <c r="E463" s="222"/>
      <c r="F463" s="186"/>
      <c r="G463" s="186">
        <v>6</v>
      </c>
      <c r="H463" s="308"/>
      <c r="I463" s="227"/>
      <c r="J463" s="82">
        <v>6</v>
      </c>
      <c r="K463" s="331"/>
      <c r="L463" s="83">
        <v>6</v>
      </c>
      <c r="M463" s="84">
        <v>89.510999999999996</v>
      </c>
      <c r="N463" s="85"/>
    </row>
    <row r="464" spans="2:14" ht="15" customHeight="1">
      <c r="B464" s="79" t="s">
        <v>2639</v>
      </c>
      <c r="C464" s="80" t="s">
        <v>2640</v>
      </c>
      <c r="D464" s="81">
        <v>27</v>
      </c>
      <c r="E464" s="222">
        <v>4</v>
      </c>
      <c r="F464" s="186"/>
      <c r="G464" s="186"/>
      <c r="H464" s="308"/>
      <c r="I464" s="227"/>
      <c r="J464" s="82">
        <v>4</v>
      </c>
      <c r="K464" s="331">
        <v>2</v>
      </c>
      <c r="L464" s="83">
        <v>2</v>
      </c>
      <c r="M464" s="84">
        <v>54</v>
      </c>
      <c r="N464" s="85"/>
    </row>
    <row r="465" spans="2:14" ht="15" customHeight="1">
      <c r="B465" s="79" t="s">
        <v>2648</v>
      </c>
      <c r="C465" s="80" t="s">
        <v>2649</v>
      </c>
      <c r="D465" s="317">
        <v>18.98</v>
      </c>
      <c r="E465" s="222">
        <v>50</v>
      </c>
      <c r="F465" s="186"/>
      <c r="G465" s="186"/>
      <c r="H465" s="308"/>
      <c r="I465" s="227">
        <v>5</v>
      </c>
      <c r="J465" s="82">
        <v>45</v>
      </c>
      <c r="K465" s="331">
        <v>44</v>
      </c>
      <c r="L465" s="83">
        <v>1</v>
      </c>
      <c r="M465" s="84">
        <v>18.980000000000018</v>
      </c>
      <c r="N465" s="232"/>
    </row>
    <row r="466" spans="2:14" ht="15" customHeight="1">
      <c r="B466" s="79" t="s">
        <v>2650</v>
      </c>
      <c r="C466" s="80" t="s">
        <v>2651</v>
      </c>
      <c r="D466" s="81">
        <v>5.47</v>
      </c>
      <c r="E466" s="222">
        <v>168</v>
      </c>
      <c r="F466" s="186"/>
      <c r="G466" s="186"/>
      <c r="H466" s="308"/>
      <c r="I466" s="227"/>
      <c r="J466" s="82">
        <v>168</v>
      </c>
      <c r="K466" s="331">
        <v>159</v>
      </c>
      <c r="L466" s="83">
        <v>9</v>
      </c>
      <c r="M466" s="84">
        <v>49.230000000000018</v>
      </c>
      <c r="N466" s="85"/>
    </row>
    <row r="467" spans="2:14" ht="15" customHeight="1">
      <c r="B467" s="79" t="s">
        <v>2668</v>
      </c>
      <c r="C467" s="80" t="s">
        <v>2669</v>
      </c>
      <c r="D467" s="81">
        <v>39.880000000000003</v>
      </c>
      <c r="E467" s="222">
        <v>10</v>
      </c>
      <c r="F467" s="186"/>
      <c r="G467" s="186"/>
      <c r="H467" s="308"/>
      <c r="I467" s="227">
        <v>3</v>
      </c>
      <c r="J467" s="82">
        <v>7</v>
      </c>
      <c r="K467" s="331">
        <v>2</v>
      </c>
      <c r="L467" s="83">
        <v>5</v>
      </c>
      <c r="M467" s="84">
        <v>199.40000000000003</v>
      </c>
      <c r="N467" s="232"/>
    </row>
    <row r="468" spans="2:14" ht="15" customHeight="1">
      <c r="B468" s="79" t="s">
        <v>2672</v>
      </c>
      <c r="C468" s="80" t="s">
        <v>2673</v>
      </c>
      <c r="D468" s="193">
        <v>23.15</v>
      </c>
      <c r="E468" s="222">
        <v>92</v>
      </c>
      <c r="F468" s="186"/>
      <c r="G468" s="186"/>
      <c r="H468" s="308"/>
      <c r="I468" s="227">
        <v>7</v>
      </c>
      <c r="J468" s="82">
        <v>85</v>
      </c>
      <c r="K468" s="331">
        <v>74</v>
      </c>
      <c r="L468" s="83">
        <v>11</v>
      </c>
      <c r="M468" s="84">
        <v>254.64999999999986</v>
      </c>
      <c r="N468" s="232"/>
    </row>
    <row r="469" spans="2:14" ht="15" customHeight="1">
      <c r="B469" s="79" t="s">
        <v>2680</v>
      </c>
      <c r="C469" s="80" t="s">
        <v>2681</v>
      </c>
      <c r="D469" s="81">
        <v>38.01</v>
      </c>
      <c r="E469" s="222">
        <v>147</v>
      </c>
      <c r="F469" s="186"/>
      <c r="G469" s="186"/>
      <c r="H469" s="308"/>
      <c r="I469" s="227"/>
      <c r="J469" s="82">
        <v>147</v>
      </c>
      <c r="K469" s="331">
        <v>133</v>
      </c>
      <c r="L469" s="83">
        <v>14</v>
      </c>
      <c r="M469" s="84">
        <v>532.13999999999942</v>
      </c>
      <c r="N469" s="85"/>
    </row>
    <row r="470" spans="2:14" ht="15" customHeight="1">
      <c r="B470" s="79" t="s">
        <v>2682</v>
      </c>
      <c r="C470" s="80" t="s">
        <v>2683</v>
      </c>
      <c r="D470" s="81">
        <v>65.989999999999995</v>
      </c>
      <c r="E470" s="222">
        <v>6</v>
      </c>
      <c r="F470" s="186"/>
      <c r="G470" s="186"/>
      <c r="H470" s="308"/>
      <c r="I470" s="227"/>
      <c r="J470" s="82">
        <v>6</v>
      </c>
      <c r="K470" s="331">
        <v>2</v>
      </c>
      <c r="L470" s="83">
        <v>4</v>
      </c>
      <c r="M470" s="84">
        <v>263.95999999999992</v>
      </c>
      <c r="N470" s="232"/>
    </row>
    <row r="471" spans="2:14" ht="15" customHeight="1">
      <c r="B471" s="219" t="s">
        <v>4777</v>
      </c>
      <c r="C471" s="271" t="s">
        <v>4722</v>
      </c>
      <c r="D471" s="273">
        <v>190</v>
      </c>
      <c r="E471" s="222"/>
      <c r="F471" s="186"/>
      <c r="G471" s="186">
        <v>2</v>
      </c>
      <c r="H471" s="308"/>
      <c r="I471" s="227"/>
      <c r="J471" s="82">
        <v>2</v>
      </c>
      <c r="K471" s="331">
        <v>2</v>
      </c>
      <c r="L471" s="83"/>
      <c r="M471" s="84"/>
      <c r="N471" s="85"/>
    </row>
    <row r="472" spans="2:14" ht="15" customHeight="1">
      <c r="B472" s="79" t="s">
        <v>2713</v>
      </c>
      <c r="C472" s="80" t="s">
        <v>2714</v>
      </c>
      <c r="D472" s="81">
        <v>75</v>
      </c>
      <c r="E472" s="222">
        <v>7</v>
      </c>
      <c r="F472" s="186"/>
      <c r="G472" s="186"/>
      <c r="H472" s="308"/>
      <c r="I472" s="227"/>
      <c r="J472" s="82">
        <v>7</v>
      </c>
      <c r="K472" s="331">
        <v>4</v>
      </c>
      <c r="L472" s="83">
        <v>3</v>
      </c>
      <c r="M472" s="84">
        <v>225</v>
      </c>
      <c r="N472" s="85" t="s">
        <v>387</v>
      </c>
    </row>
    <row r="473" spans="2:14" ht="15" customHeight="1">
      <c r="B473" s="79" t="s">
        <v>2794</v>
      </c>
      <c r="C473" s="80" t="s">
        <v>2795</v>
      </c>
      <c r="D473" s="81">
        <v>279.3</v>
      </c>
      <c r="E473" s="222">
        <v>6</v>
      </c>
      <c r="F473" s="186"/>
      <c r="G473" s="186"/>
      <c r="H473" s="308"/>
      <c r="I473" s="227"/>
      <c r="J473" s="82">
        <v>6</v>
      </c>
      <c r="K473" s="331">
        <v>1</v>
      </c>
      <c r="L473" s="83">
        <v>5</v>
      </c>
      <c r="M473" s="84">
        <v>1396.5000000000002</v>
      </c>
      <c r="N473" s="85"/>
    </row>
    <row r="474" spans="2:14" ht="15" customHeight="1">
      <c r="B474" s="79" t="s">
        <v>2942</v>
      </c>
      <c r="C474" s="80" t="s">
        <v>2943</v>
      </c>
      <c r="D474" s="81">
        <v>140</v>
      </c>
      <c r="E474" s="222">
        <v>5</v>
      </c>
      <c r="F474" s="186"/>
      <c r="G474" s="186"/>
      <c r="H474" s="308"/>
      <c r="I474" s="227"/>
      <c r="J474" s="82">
        <v>5</v>
      </c>
      <c r="K474" s="331">
        <v>3</v>
      </c>
      <c r="L474" s="83">
        <v>2</v>
      </c>
      <c r="M474" s="84">
        <v>280</v>
      </c>
      <c r="N474" s="85" t="s">
        <v>2944</v>
      </c>
    </row>
    <row r="475" spans="2:14" ht="15" customHeight="1">
      <c r="B475" s="79" t="s">
        <v>2945</v>
      </c>
      <c r="C475" s="80" t="s">
        <v>2946</v>
      </c>
      <c r="D475" s="81">
        <v>115</v>
      </c>
      <c r="E475" s="222">
        <v>22</v>
      </c>
      <c r="F475" s="186"/>
      <c r="G475" s="186"/>
      <c r="H475" s="308"/>
      <c r="I475" s="227"/>
      <c r="J475" s="82">
        <v>22</v>
      </c>
      <c r="K475" s="331"/>
      <c r="L475" s="83">
        <v>22</v>
      </c>
      <c r="M475" s="84">
        <v>2530</v>
      </c>
      <c r="N475" s="85"/>
    </row>
    <row r="476" spans="2:14" ht="15" customHeight="1">
      <c r="B476" s="79" t="s">
        <v>2961</v>
      </c>
      <c r="C476" s="80" t="s">
        <v>2962</v>
      </c>
      <c r="D476" s="81">
        <v>90</v>
      </c>
      <c r="E476" s="222">
        <v>20</v>
      </c>
      <c r="F476" s="186"/>
      <c r="G476" s="186">
        <v>40</v>
      </c>
      <c r="H476" s="308"/>
      <c r="I476" s="227">
        <v>46</v>
      </c>
      <c r="J476" s="82">
        <v>14</v>
      </c>
      <c r="K476" s="331">
        <v>8</v>
      </c>
      <c r="L476" s="83">
        <v>6</v>
      </c>
      <c r="M476" s="84">
        <v>540</v>
      </c>
      <c r="N476" s="85"/>
    </row>
    <row r="477" spans="2:14" ht="15" customHeight="1">
      <c r="B477" s="79" t="s">
        <v>2963</v>
      </c>
      <c r="C477" s="80" t="s">
        <v>2964</v>
      </c>
      <c r="D477" s="81">
        <v>139.30000000000001</v>
      </c>
      <c r="E477" s="222">
        <v>4</v>
      </c>
      <c r="F477" s="186"/>
      <c r="G477" s="186"/>
      <c r="H477" s="308"/>
      <c r="I477" s="227"/>
      <c r="J477" s="82">
        <v>4</v>
      </c>
      <c r="K477" s="331">
        <v>2</v>
      </c>
      <c r="L477" s="83">
        <v>2</v>
      </c>
      <c r="M477" s="84">
        <v>278.60000000000002</v>
      </c>
      <c r="N477" s="85"/>
    </row>
    <row r="478" spans="2:14" ht="15" customHeight="1">
      <c r="B478" s="79" t="s">
        <v>3029</v>
      </c>
      <c r="C478" s="80" t="s">
        <v>3030</v>
      </c>
      <c r="D478" s="81">
        <v>62.3</v>
      </c>
      <c r="E478" s="222">
        <v>2</v>
      </c>
      <c r="F478" s="186"/>
      <c r="G478" s="186"/>
      <c r="H478" s="308"/>
      <c r="I478" s="227"/>
      <c r="J478" s="82">
        <v>2</v>
      </c>
      <c r="K478" s="331"/>
      <c r="L478" s="83">
        <v>2</v>
      </c>
      <c r="M478" s="84">
        <v>124.6</v>
      </c>
      <c r="N478" s="85"/>
    </row>
    <row r="479" spans="2:14" ht="15" customHeight="1">
      <c r="B479" s="79" t="s">
        <v>3037</v>
      </c>
      <c r="C479" s="80" t="s">
        <v>3038</v>
      </c>
      <c r="D479" s="81">
        <v>139.30000000000001</v>
      </c>
      <c r="E479" s="222">
        <v>2</v>
      </c>
      <c r="F479" s="186"/>
      <c r="G479" s="186"/>
      <c r="H479" s="308"/>
      <c r="I479" s="227"/>
      <c r="J479" s="82">
        <v>2</v>
      </c>
      <c r="K479" s="331"/>
      <c r="L479" s="83">
        <v>2</v>
      </c>
      <c r="M479" s="84">
        <v>278.60000000000002</v>
      </c>
      <c r="N479" s="85"/>
    </row>
    <row r="480" spans="2:14" ht="15" customHeight="1">
      <c r="B480" s="79" t="s">
        <v>3039</v>
      </c>
      <c r="C480" s="80" t="s">
        <v>3040</v>
      </c>
      <c r="D480" s="81">
        <v>279.3</v>
      </c>
      <c r="E480" s="222">
        <v>2</v>
      </c>
      <c r="F480" s="186"/>
      <c r="G480" s="186"/>
      <c r="H480" s="308"/>
      <c r="I480" s="227"/>
      <c r="J480" s="82">
        <v>2</v>
      </c>
      <c r="K480" s="331"/>
      <c r="L480" s="83">
        <v>2</v>
      </c>
      <c r="M480" s="84">
        <v>558.6</v>
      </c>
      <c r="N480" s="85"/>
    </row>
    <row r="481" spans="2:14" ht="15" customHeight="1">
      <c r="B481" s="79" t="s">
        <v>3041</v>
      </c>
      <c r="C481" s="80" t="s">
        <v>3042</v>
      </c>
      <c r="D481" s="81">
        <v>69.3</v>
      </c>
      <c r="E481" s="222">
        <v>1</v>
      </c>
      <c r="F481" s="186"/>
      <c r="G481" s="186"/>
      <c r="H481" s="308"/>
      <c r="I481" s="227"/>
      <c r="J481" s="82">
        <v>1</v>
      </c>
      <c r="K481" s="331"/>
      <c r="L481" s="83">
        <v>1</v>
      </c>
      <c r="M481" s="84">
        <v>69.3</v>
      </c>
      <c r="N481" s="85"/>
    </row>
    <row r="482" spans="2:14" ht="15" customHeight="1">
      <c r="B482" s="79" t="s">
        <v>3043</v>
      </c>
      <c r="C482" s="80" t="s">
        <v>3044</v>
      </c>
      <c r="D482" s="81">
        <v>153.30000000000001</v>
      </c>
      <c r="E482" s="222">
        <v>1</v>
      </c>
      <c r="F482" s="186"/>
      <c r="G482" s="186"/>
      <c r="H482" s="308"/>
      <c r="I482" s="227"/>
      <c r="J482" s="82">
        <v>1</v>
      </c>
      <c r="K482" s="331"/>
      <c r="L482" s="83">
        <v>1</v>
      </c>
      <c r="M482" s="84">
        <v>153.30000000000001</v>
      </c>
      <c r="N482" s="85"/>
    </row>
    <row r="483" spans="2:14" ht="15" customHeight="1">
      <c r="B483" s="79" t="s">
        <v>3048</v>
      </c>
      <c r="C483" s="80" t="s">
        <v>3049</v>
      </c>
      <c r="D483" s="81">
        <v>18.2</v>
      </c>
      <c r="E483" s="222">
        <v>3</v>
      </c>
      <c r="F483" s="186"/>
      <c r="G483" s="186"/>
      <c r="H483" s="308"/>
      <c r="I483" s="227"/>
      <c r="J483" s="82">
        <v>3</v>
      </c>
      <c r="K483" s="331"/>
      <c r="L483" s="83">
        <v>3</v>
      </c>
      <c r="M483" s="84">
        <v>54.599999999999994</v>
      </c>
      <c r="N483" s="85"/>
    </row>
    <row r="484" spans="2:14" ht="15" customHeight="1">
      <c r="B484" s="79" t="s">
        <v>3056</v>
      </c>
      <c r="C484" s="80" t="s">
        <v>3057</v>
      </c>
      <c r="D484" s="81">
        <v>68.150000000000006</v>
      </c>
      <c r="E484" s="222">
        <v>27</v>
      </c>
      <c r="F484" s="186"/>
      <c r="G484" s="186"/>
      <c r="H484" s="308"/>
      <c r="I484" s="227">
        <v>5</v>
      </c>
      <c r="J484" s="82">
        <v>22</v>
      </c>
      <c r="K484" s="331">
        <v>7</v>
      </c>
      <c r="L484" s="83">
        <v>15</v>
      </c>
      <c r="M484" s="84">
        <v>1022.2500000000001</v>
      </c>
      <c r="N484" s="85"/>
    </row>
    <row r="485" spans="2:14" ht="15" customHeight="1">
      <c r="B485" s="79" t="s">
        <v>3068</v>
      </c>
      <c r="C485" s="80" t="s">
        <v>3069</v>
      </c>
      <c r="D485" s="81">
        <v>54.56</v>
      </c>
      <c r="E485" s="222">
        <v>3</v>
      </c>
      <c r="F485" s="186"/>
      <c r="G485" s="186"/>
      <c r="H485" s="308"/>
      <c r="I485" s="227"/>
      <c r="J485" s="82">
        <v>3</v>
      </c>
      <c r="K485" s="331">
        <v>2</v>
      </c>
      <c r="L485" s="83">
        <v>1</v>
      </c>
      <c r="M485" s="84">
        <v>54.56</v>
      </c>
      <c r="N485" s="85"/>
    </row>
    <row r="486" spans="2:14" ht="15" customHeight="1">
      <c r="B486" s="79" t="s">
        <v>3088</v>
      </c>
      <c r="C486" s="80" t="s">
        <v>3089</v>
      </c>
      <c r="D486" s="81">
        <v>27.3</v>
      </c>
      <c r="E486" s="222">
        <v>73</v>
      </c>
      <c r="F486" s="186"/>
      <c r="G486" s="186"/>
      <c r="H486" s="308"/>
      <c r="I486" s="227">
        <v>2</v>
      </c>
      <c r="J486" s="82">
        <v>71</v>
      </c>
      <c r="K486" s="331">
        <v>47</v>
      </c>
      <c r="L486" s="83">
        <v>24</v>
      </c>
      <c r="M486" s="84">
        <v>655.19999999999982</v>
      </c>
      <c r="N486" s="85"/>
    </row>
    <row r="487" spans="2:14" ht="15" customHeight="1">
      <c r="B487" s="79" t="s">
        <v>3090</v>
      </c>
      <c r="C487" s="80" t="s">
        <v>3091</v>
      </c>
      <c r="D487" s="81">
        <v>20.399999999999999</v>
      </c>
      <c r="E487" s="222">
        <v>49</v>
      </c>
      <c r="F487" s="186"/>
      <c r="G487" s="186"/>
      <c r="H487" s="308"/>
      <c r="I487" s="227">
        <v>2</v>
      </c>
      <c r="J487" s="82">
        <v>47</v>
      </c>
      <c r="K487" s="331">
        <v>38</v>
      </c>
      <c r="L487" s="83">
        <v>9</v>
      </c>
      <c r="M487" s="84">
        <v>183.60000000000002</v>
      </c>
      <c r="N487" s="85"/>
    </row>
    <row r="488" spans="2:14" ht="15" customHeight="1">
      <c r="B488" s="79" t="s">
        <v>3100</v>
      </c>
      <c r="C488" s="80" t="s">
        <v>3101</v>
      </c>
      <c r="D488" s="81">
        <v>23.15</v>
      </c>
      <c r="E488" s="222">
        <v>39</v>
      </c>
      <c r="F488" s="186"/>
      <c r="G488" s="186"/>
      <c r="H488" s="308"/>
      <c r="I488" s="227">
        <v>4</v>
      </c>
      <c r="J488" s="82">
        <v>35</v>
      </c>
      <c r="K488" s="331">
        <v>21</v>
      </c>
      <c r="L488" s="83">
        <v>14</v>
      </c>
      <c r="M488" s="84">
        <v>324.10000000000002</v>
      </c>
      <c r="N488" s="85"/>
    </row>
    <row r="489" spans="2:14" ht="15" customHeight="1">
      <c r="B489" s="79" t="s">
        <v>3102</v>
      </c>
      <c r="C489" s="80" t="s">
        <v>3103</v>
      </c>
      <c r="D489" s="81">
        <v>250</v>
      </c>
      <c r="E489" s="222">
        <v>1</v>
      </c>
      <c r="F489" s="186"/>
      <c r="G489" s="186"/>
      <c r="H489" s="308"/>
      <c r="I489" s="227"/>
      <c r="J489" s="82">
        <v>1</v>
      </c>
      <c r="K489" s="331"/>
      <c r="L489" s="83">
        <v>1</v>
      </c>
      <c r="M489" s="84">
        <v>250</v>
      </c>
      <c r="N489" s="85"/>
    </row>
    <row r="490" spans="2:14" ht="15" customHeight="1">
      <c r="B490" s="79" t="s">
        <v>3140</v>
      </c>
      <c r="C490" s="80" t="s">
        <v>3141</v>
      </c>
      <c r="D490" s="81">
        <v>22.75</v>
      </c>
      <c r="E490" s="222">
        <v>11</v>
      </c>
      <c r="F490" s="186"/>
      <c r="G490" s="186"/>
      <c r="H490" s="308"/>
      <c r="I490" s="227"/>
      <c r="J490" s="82">
        <v>11</v>
      </c>
      <c r="K490" s="331"/>
      <c r="L490" s="83">
        <v>11</v>
      </c>
      <c r="M490" s="84">
        <v>250.25</v>
      </c>
      <c r="N490" s="85"/>
    </row>
    <row r="491" spans="2:14" ht="15" customHeight="1">
      <c r="B491" s="79" t="s">
        <v>3713</v>
      </c>
      <c r="C491" s="80" t="s">
        <v>3714</v>
      </c>
      <c r="D491" s="81">
        <v>9.27</v>
      </c>
      <c r="E491" s="222">
        <v>28</v>
      </c>
      <c r="F491" s="186"/>
      <c r="G491" s="186"/>
      <c r="H491" s="308"/>
      <c r="I491" s="227">
        <v>5</v>
      </c>
      <c r="J491" s="82">
        <v>23</v>
      </c>
      <c r="K491" s="331">
        <v>18</v>
      </c>
      <c r="L491" s="83">
        <v>5</v>
      </c>
      <c r="M491" s="84">
        <v>46.349999999999994</v>
      </c>
      <c r="N491" s="85"/>
    </row>
    <row r="492" spans="2:14" ht="15" customHeight="1">
      <c r="B492" s="79" t="s">
        <v>3149</v>
      </c>
      <c r="C492" s="80" t="s">
        <v>3150</v>
      </c>
      <c r="D492" s="193">
        <v>13.2</v>
      </c>
      <c r="E492" s="222">
        <v>617</v>
      </c>
      <c r="F492" s="186"/>
      <c r="G492" s="186"/>
      <c r="H492" s="308"/>
      <c r="I492" s="227">
        <v>27</v>
      </c>
      <c r="J492" s="82">
        <v>590</v>
      </c>
      <c r="K492" s="331">
        <v>40</v>
      </c>
      <c r="L492" s="83">
        <v>550</v>
      </c>
      <c r="M492" s="84">
        <v>7260</v>
      </c>
      <c r="N492" s="85"/>
    </row>
    <row r="493" spans="2:14" ht="15" customHeight="1">
      <c r="B493" s="79" t="s">
        <v>3168</v>
      </c>
      <c r="C493" s="80" t="s">
        <v>3169</v>
      </c>
      <c r="D493" s="81">
        <v>58.58</v>
      </c>
      <c r="E493" s="222">
        <v>2</v>
      </c>
      <c r="F493" s="186"/>
      <c r="G493" s="186"/>
      <c r="H493" s="308"/>
      <c r="I493" s="227"/>
      <c r="J493" s="82">
        <v>2</v>
      </c>
      <c r="K493" s="331"/>
      <c r="L493" s="83">
        <v>2</v>
      </c>
      <c r="M493" s="84">
        <v>117.16</v>
      </c>
      <c r="N493" s="85"/>
    </row>
    <row r="494" spans="2:14" ht="15" customHeight="1">
      <c r="B494" s="160" t="s">
        <v>3170</v>
      </c>
      <c r="C494" s="178" t="s">
        <v>3171</v>
      </c>
      <c r="D494" s="185">
        <v>16.170000000000002</v>
      </c>
      <c r="E494" s="222">
        <v>24</v>
      </c>
      <c r="F494" s="186"/>
      <c r="G494" s="186"/>
      <c r="H494" s="308"/>
      <c r="I494" s="227"/>
      <c r="J494" s="82">
        <v>24</v>
      </c>
      <c r="K494" s="331">
        <v>3</v>
      </c>
      <c r="L494" s="187">
        <v>21</v>
      </c>
      <c r="M494" s="161">
        <v>339.57000000000005</v>
      </c>
      <c r="N494" s="188"/>
    </row>
    <row r="495" spans="2:14" ht="15" customHeight="1">
      <c r="B495" s="160" t="s">
        <v>3174</v>
      </c>
      <c r="C495" s="178" t="s">
        <v>3175</v>
      </c>
      <c r="D495" s="185">
        <v>10.83</v>
      </c>
      <c r="E495" s="222">
        <v>26</v>
      </c>
      <c r="F495" s="186"/>
      <c r="G495" s="186"/>
      <c r="H495" s="308"/>
      <c r="I495" s="227"/>
      <c r="J495" s="82">
        <v>26</v>
      </c>
      <c r="K495" s="331"/>
      <c r="L495" s="187">
        <v>26</v>
      </c>
      <c r="M495" s="161">
        <v>281.58</v>
      </c>
      <c r="N495" s="188"/>
    </row>
    <row r="496" spans="2:14" ht="15" customHeight="1">
      <c r="B496" s="160" t="s">
        <v>3190</v>
      </c>
      <c r="C496" s="178" t="s">
        <v>3191</v>
      </c>
      <c r="D496" s="185">
        <v>59.58</v>
      </c>
      <c r="E496" s="222">
        <v>43</v>
      </c>
      <c r="F496" s="186"/>
      <c r="G496" s="186"/>
      <c r="H496" s="308"/>
      <c r="I496" s="227"/>
      <c r="J496" s="82">
        <v>43</v>
      </c>
      <c r="K496" s="331">
        <v>2</v>
      </c>
      <c r="L496" s="187">
        <v>41</v>
      </c>
      <c r="M496" s="161">
        <v>2442.7800000000002</v>
      </c>
      <c r="N496" s="188"/>
    </row>
    <row r="497" spans="2:14" ht="15" customHeight="1">
      <c r="B497" s="160" t="s">
        <v>3196</v>
      </c>
      <c r="C497" s="178" t="s">
        <v>3197</v>
      </c>
      <c r="D497" s="185">
        <v>16.170000000000002</v>
      </c>
      <c r="E497" s="222">
        <v>54</v>
      </c>
      <c r="F497" s="186"/>
      <c r="G497" s="186"/>
      <c r="H497" s="308"/>
      <c r="I497" s="227"/>
      <c r="J497" s="82">
        <v>54</v>
      </c>
      <c r="K497" s="331">
        <v>19</v>
      </c>
      <c r="L497" s="187">
        <v>35</v>
      </c>
      <c r="M497" s="161">
        <v>565.95000000000005</v>
      </c>
      <c r="N497" s="188"/>
    </row>
    <row r="498" spans="2:14" ht="15" customHeight="1">
      <c r="B498" s="160" t="s">
        <v>3198</v>
      </c>
      <c r="C498" s="178" t="s">
        <v>3199</v>
      </c>
      <c r="D498" s="185">
        <v>15.67</v>
      </c>
      <c r="E498" s="222">
        <v>21</v>
      </c>
      <c r="F498" s="186"/>
      <c r="G498" s="186"/>
      <c r="H498" s="308"/>
      <c r="I498" s="227"/>
      <c r="J498" s="82">
        <v>21</v>
      </c>
      <c r="K498" s="331"/>
      <c r="L498" s="187">
        <v>21</v>
      </c>
      <c r="M498" s="161">
        <v>329.07</v>
      </c>
      <c r="N498" s="188"/>
    </row>
    <row r="499" spans="2:14" ht="15" customHeight="1">
      <c r="B499" s="160" t="s">
        <v>3202</v>
      </c>
      <c r="C499" s="178" t="s">
        <v>3203</v>
      </c>
      <c r="D499" s="185">
        <v>59.58</v>
      </c>
      <c r="E499" s="222">
        <v>13</v>
      </c>
      <c r="F499" s="186"/>
      <c r="G499" s="186"/>
      <c r="H499" s="308"/>
      <c r="I499" s="227"/>
      <c r="J499" s="82">
        <v>13</v>
      </c>
      <c r="K499" s="331"/>
      <c r="L499" s="187">
        <v>13</v>
      </c>
      <c r="M499" s="161">
        <v>774.54</v>
      </c>
      <c r="N499" s="188"/>
    </row>
    <row r="500" spans="2:14" ht="15" customHeight="1">
      <c r="B500" s="160" t="s">
        <v>3208</v>
      </c>
      <c r="C500" s="178" t="s">
        <v>3209</v>
      </c>
      <c r="D500" s="185">
        <v>16.170000000000002</v>
      </c>
      <c r="E500" s="222">
        <v>16</v>
      </c>
      <c r="F500" s="186"/>
      <c r="G500" s="186"/>
      <c r="H500" s="308"/>
      <c r="I500" s="227"/>
      <c r="J500" s="82">
        <v>16</v>
      </c>
      <c r="K500" s="331">
        <v>11</v>
      </c>
      <c r="L500" s="187">
        <v>5</v>
      </c>
      <c r="M500" s="161">
        <v>80.850000000000023</v>
      </c>
      <c r="N500" s="188"/>
    </row>
    <row r="501" spans="2:14" ht="15" customHeight="1">
      <c r="B501" s="160" t="s">
        <v>3210</v>
      </c>
      <c r="C501" s="178" t="s">
        <v>3211</v>
      </c>
      <c r="D501" s="185">
        <v>11.83</v>
      </c>
      <c r="E501" s="222">
        <v>67</v>
      </c>
      <c r="F501" s="186"/>
      <c r="G501" s="186"/>
      <c r="H501" s="308"/>
      <c r="I501" s="227"/>
      <c r="J501" s="82">
        <v>67</v>
      </c>
      <c r="K501" s="331">
        <v>43</v>
      </c>
      <c r="L501" s="187">
        <v>24</v>
      </c>
      <c r="M501" s="161">
        <v>283.92</v>
      </c>
      <c r="N501" s="188"/>
    </row>
    <row r="502" spans="2:14" ht="15" customHeight="1">
      <c r="B502" s="219" t="s">
        <v>3909</v>
      </c>
      <c r="C502" s="271" t="s">
        <v>4601</v>
      </c>
      <c r="D502" s="273">
        <v>29.508333333333301</v>
      </c>
      <c r="E502" s="222"/>
      <c r="F502" s="186"/>
      <c r="G502" s="186">
        <v>24</v>
      </c>
      <c r="H502" s="308"/>
      <c r="I502" s="227">
        <v>1</v>
      </c>
      <c r="J502" s="82">
        <v>23</v>
      </c>
      <c r="K502" s="331"/>
      <c r="L502" s="83">
        <v>23</v>
      </c>
      <c r="M502" s="84">
        <v>678.69166666666592</v>
      </c>
      <c r="N502" s="85"/>
    </row>
    <row r="503" spans="2:14" ht="15" customHeight="1">
      <c r="B503" s="219" t="s">
        <v>4771</v>
      </c>
      <c r="C503" s="271" t="s">
        <v>4716</v>
      </c>
      <c r="D503" s="273">
        <v>31.9366666666666</v>
      </c>
      <c r="E503" s="222"/>
      <c r="F503" s="186"/>
      <c r="G503" s="186">
        <v>24</v>
      </c>
      <c r="H503" s="308"/>
      <c r="I503" s="227"/>
      <c r="J503" s="82">
        <v>24</v>
      </c>
      <c r="K503" s="331"/>
      <c r="L503" s="83">
        <v>24</v>
      </c>
      <c r="M503" s="84">
        <v>766.47999999999843</v>
      </c>
      <c r="N503" s="85"/>
    </row>
    <row r="504" spans="2:14" ht="15" customHeight="1">
      <c r="B504" s="79" t="s">
        <v>3222</v>
      </c>
      <c r="C504" s="80" t="s">
        <v>3223</v>
      </c>
      <c r="D504" s="81">
        <v>22.73</v>
      </c>
      <c r="E504" s="222">
        <v>2</v>
      </c>
      <c r="F504" s="186"/>
      <c r="G504" s="186">
        <v>24</v>
      </c>
      <c r="H504" s="308"/>
      <c r="I504" s="227">
        <v>7</v>
      </c>
      <c r="J504" s="82">
        <v>19</v>
      </c>
      <c r="K504" s="331">
        <v>17</v>
      </c>
      <c r="L504" s="83">
        <v>2</v>
      </c>
      <c r="M504" s="84">
        <v>45.45999999999998</v>
      </c>
      <c r="N504" s="85"/>
    </row>
    <row r="505" spans="2:14" ht="15" customHeight="1">
      <c r="B505" s="79" t="s">
        <v>3239</v>
      </c>
      <c r="C505" s="80" t="s">
        <v>3240</v>
      </c>
      <c r="D505" s="81">
        <v>11</v>
      </c>
      <c r="E505" s="222">
        <v>100</v>
      </c>
      <c r="F505" s="186"/>
      <c r="G505" s="186"/>
      <c r="H505" s="308"/>
      <c r="I505" s="227"/>
      <c r="J505" s="82">
        <v>100</v>
      </c>
      <c r="K505" s="331"/>
      <c r="L505" s="83">
        <v>100</v>
      </c>
      <c r="M505" s="84">
        <v>1100</v>
      </c>
      <c r="N505" s="172" t="s">
        <v>3717</v>
      </c>
    </row>
    <row r="506" spans="2:14" ht="15" customHeight="1">
      <c r="B506" s="79" t="s">
        <v>3270</v>
      </c>
      <c r="C506" s="80" t="s">
        <v>3271</v>
      </c>
      <c r="D506" s="81">
        <v>38.85</v>
      </c>
      <c r="E506" s="222">
        <v>85</v>
      </c>
      <c r="F506" s="186"/>
      <c r="G506" s="186"/>
      <c r="H506" s="308"/>
      <c r="I506" s="227"/>
      <c r="J506" s="82">
        <v>85</v>
      </c>
      <c r="K506" s="331">
        <v>83</v>
      </c>
      <c r="L506" s="83">
        <v>2</v>
      </c>
      <c r="M506" s="84">
        <v>77.699999999999818</v>
      </c>
      <c r="N506" s="85"/>
    </row>
    <row r="507" spans="2:14" ht="15" customHeight="1">
      <c r="B507" s="79" t="s">
        <v>3274</v>
      </c>
      <c r="C507" s="80" t="s">
        <v>3275</v>
      </c>
      <c r="D507" s="81">
        <v>385</v>
      </c>
      <c r="E507" s="222">
        <v>3</v>
      </c>
      <c r="F507" s="186"/>
      <c r="G507" s="186"/>
      <c r="H507" s="308"/>
      <c r="I507" s="227"/>
      <c r="J507" s="82">
        <v>3</v>
      </c>
      <c r="K507" s="331"/>
      <c r="L507" s="83">
        <v>3</v>
      </c>
      <c r="M507" s="84">
        <v>1155</v>
      </c>
      <c r="N507" s="85"/>
    </row>
    <row r="508" spans="2:14" ht="15" customHeight="1">
      <c r="B508" s="79" t="s">
        <v>3276</v>
      </c>
      <c r="C508" s="80" t="s">
        <v>3277</v>
      </c>
      <c r="D508" s="81">
        <v>75</v>
      </c>
      <c r="E508" s="222">
        <v>1</v>
      </c>
      <c r="F508" s="186"/>
      <c r="G508" s="186"/>
      <c r="H508" s="308"/>
      <c r="I508" s="227"/>
      <c r="J508" s="82">
        <v>1</v>
      </c>
      <c r="K508" s="331"/>
      <c r="L508" s="83">
        <v>1</v>
      </c>
      <c r="M508" s="84">
        <v>75</v>
      </c>
      <c r="N508" s="85"/>
    </row>
    <row r="509" spans="2:14" ht="15" customHeight="1">
      <c r="B509" s="79" t="s">
        <v>3278</v>
      </c>
      <c r="C509" s="80" t="s">
        <v>3279</v>
      </c>
      <c r="D509" s="81">
        <v>7.5</v>
      </c>
      <c r="E509" s="222">
        <v>10</v>
      </c>
      <c r="F509" s="186"/>
      <c r="G509" s="186"/>
      <c r="H509" s="308"/>
      <c r="I509" s="227"/>
      <c r="J509" s="82">
        <v>10</v>
      </c>
      <c r="K509" s="331"/>
      <c r="L509" s="83">
        <v>10</v>
      </c>
      <c r="M509" s="84">
        <v>75</v>
      </c>
      <c r="N509" s="91">
        <v>45436</v>
      </c>
    </row>
    <row r="510" spans="2:14" ht="15" customHeight="1">
      <c r="B510" s="79" t="s">
        <v>3282</v>
      </c>
      <c r="C510" s="80" t="s">
        <v>3283</v>
      </c>
      <c r="D510" s="81">
        <v>5.5</v>
      </c>
      <c r="E510" s="222">
        <v>2</v>
      </c>
      <c r="F510" s="186"/>
      <c r="G510" s="186"/>
      <c r="H510" s="308"/>
      <c r="I510" s="227"/>
      <c r="J510" s="82">
        <v>2</v>
      </c>
      <c r="K510" s="331"/>
      <c r="L510" s="83">
        <v>2</v>
      </c>
      <c r="M510" s="84">
        <v>11</v>
      </c>
      <c r="N510" s="85"/>
    </row>
    <row r="511" spans="2:14" ht="15" customHeight="1">
      <c r="B511" s="79" t="s">
        <v>3288</v>
      </c>
      <c r="C511" s="80" t="s">
        <v>3289</v>
      </c>
      <c r="D511" s="81">
        <v>11.5</v>
      </c>
      <c r="E511" s="222">
        <v>28</v>
      </c>
      <c r="F511" s="186"/>
      <c r="G511" s="186"/>
      <c r="H511" s="308"/>
      <c r="I511" s="227">
        <v>4</v>
      </c>
      <c r="J511" s="82">
        <v>24</v>
      </c>
      <c r="K511" s="331"/>
      <c r="L511" s="83">
        <v>24</v>
      </c>
      <c r="M511" s="84">
        <v>276</v>
      </c>
      <c r="N511" s="85"/>
    </row>
    <row r="512" spans="2:14" ht="15" customHeight="1">
      <c r="B512" s="79" t="s">
        <v>3308</v>
      </c>
      <c r="C512" s="80" t="s">
        <v>3309</v>
      </c>
      <c r="D512" s="81">
        <v>24.38</v>
      </c>
      <c r="E512" s="222">
        <v>32</v>
      </c>
      <c r="F512" s="186"/>
      <c r="G512" s="186"/>
      <c r="H512" s="308"/>
      <c r="I512" s="227"/>
      <c r="J512" s="82">
        <v>32</v>
      </c>
      <c r="K512" s="331"/>
      <c r="L512" s="83">
        <v>32</v>
      </c>
      <c r="M512" s="84">
        <v>780.16</v>
      </c>
      <c r="N512" s="85"/>
    </row>
    <row r="513" spans="2:14" ht="15" customHeight="1">
      <c r="B513" s="79" t="s">
        <v>3312</v>
      </c>
      <c r="C513" s="80" t="s">
        <v>3313</v>
      </c>
      <c r="D513" s="81">
        <v>90</v>
      </c>
      <c r="E513" s="222">
        <v>3</v>
      </c>
      <c r="F513" s="186"/>
      <c r="G513" s="186"/>
      <c r="H513" s="308"/>
      <c r="I513" s="227"/>
      <c r="J513" s="82">
        <v>3</v>
      </c>
      <c r="K513" s="331"/>
      <c r="L513" s="83">
        <v>3</v>
      </c>
      <c r="M513" s="84">
        <v>270</v>
      </c>
      <c r="N513" s="85" t="s">
        <v>3314</v>
      </c>
    </row>
    <row r="514" spans="2:14" ht="15" customHeight="1">
      <c r="B514" s="79" t="s">
        <v>3336</v>
      </c>
      <c r="C514" s="80" t="s">
        <v>3337</v>
      </c>
      <c r="D514" s="81">
        <v>3.6</v>
      </c>
      <c r="E514" s="222"/>
      <c r="F514" s="186">
        <v>20</v>
      </c>
      <c r="G514" s="186"/>
      <c r="H514" s="308"/>
      <c r="I514" s="227">
        <v>11</v>
      </c>
      <c r="J514" s="82">
        <v>9</v>
      </c>
      <c r="K514" s="331">
        <v>8</v>
      </c>
      <c r="L514" s="83">
        <v>1</v>
      </c>
      <c r="M514" s="84">
        <v>3.5999999999999979</v>
      </c>
      <c r="N514" s="85"/>
    </row>
    <row r="515" spans="2:14" ht="15" customHeight="1">
      <c r="B515" s="79" t="s">
        <v>3342</v>
      </c>
      <c r="C515" s="80" t="s">
        <v>3343</v>
      </c>
      <c r="D515" s="81">
        <v>0.76</v>
      </c>
      <c r="E515" s="222">
        <v>50</v>
      </c>
      <c r="F515" s="186">
        <v>50</v>
      </c>
      <c r="G515" s="186"/>
      <c r="H515" s="308"/>
      <c r="I515" s="227">
        <v>98</v>
      </c>
      <c r="J515" s="82">
        <v>2</v>
      </c>
      <c r="K515" s="331"/>
      <c r="L515" s="83">
        <v>2</v>
      </c>
      <c r="M515" s="84">
        <v>1.52</v>
      </c>
      <c r="N515" s="85"/>
    </row>
    <row r="516" spans="2:14" ht="15" customHeight="1">
      <c r="B516" s="218" t="s">
        <v>3889</v>
      </c>
      <c r="C516" s="303" t="s">
        <v>4372</v>
      </c>
      <c r="D516" s="303">
        <v>5.61</v>
      </c>
      <c r="E516" s="222"/>
      <c r="F516" s="186">
        <v>12</v>
      </c>
      <c r="G516" s="186"/>
      <c r="H516" s="308"/>
      <c r="I516" s="227">
        <v>8</v>
      </c>
      <c r="J516" s="82">
        <v>4</v>
      </c>
      <c r="K516" s="331">
        <v>2</v>
      </c>
      <c r="L516" s="83">
        <v>2</v>
      </c>
      <c r="M516" s="84">
        <v>11.22</v>
      </c>
      <c r="N516" s="85"/>
    </row>
    <row r="517" spans="2:14" ht="15" customHeight="1">
      <c r="B517" s="218" t="s">
        <v>3906</v>
      </c>
      <c r="C517" s="303" t="s">
        <v>4519</v>
      </c>
      <c r="D517" s="303">
        <v>5.74</v>
      </c>
      <c r="E517" s="222"/>
      <c r="F517" s="186">
        <v>10</v>
      </c>
      <c r="G517" s="186"/>
      <c r="H517" s="308"/>
      <c r="I517" s="227">
        <v>9</v>
      </c>
      <c r="J517" s="82">
        <v>1</v>
      </c>
      <c r="K517" s="331"/>
      <c r="L517" s="83">
        <v>1</v>
      </c>
      <c r="M517" s="84">
        <v>5.74</v>
      </c>
      <c r="N517" s="85"/>
    </row>
    <row r="518" spans="2:14" ht="15" customHeight="1">
      <c r="B518" s="79" t="s">
        <v>3360</v>
      </c>
      <c r="C518" s="80" t="s">
        <v>3361</v>
      </c>
      <c r="D518" s="81">
        <v>0</v>
      </c>
      <c r="E518" s="222">
        <v>45</v>
      </c>
      <c r="F518" s="186"/>
      <c r="G518" s="186"/>
      <c r="H518" s="308"/>
      <c r="I518" s="227"/>
      <c r="J518" s="82">
        <v>45</v>
      </c>
      <c r="K518" s="331"/>
      <c r="L518" s="83">
        <v>45</v>
      </c>
      <c r="M518" s="84">
        <v>0</v>
      </c>
      <c r="N518" s="85"/>
    </row>
    <row r="519" spans="2:14" ht="15" customHeight="1">
      <c r="B519" s="79" t="s">
        <v>3362</v>
      </c>
      <c r="C519" s="80" t="s">
        <v>3363</v>
      </c>
      <c r="D519" s="81">
        <v>0</v>
      </c>
      <c r="E519" s="222">
        <v>19</v>
      </c>
      <c r="F519" s="186"/>
      <c r="G519" s="186"/>
      <c r="H519" s="308"/>
      <c r="I519" s="227"/>
      <c r="J519" s="82">
        <v>19</v>
      </c>
      <c r="K519" s="331"/>
      <c r="L519" s="83">
        <v>19</v>
      </c>
      <c r="M519" s="84">
        <v>0</v>
      </c>
      <c r="N519" s="85"/>
    </row>
    <row r="520" spans="2:14" ht="15" customHeight="1">
      <c r="B520" s="79" t="s">
        <v>3726</v>
      </c>
      <c r="C520" s="80" t="s">
        <v>3727</v>
      </c>
      <c r="D520" s="81">
        <v>6.0250000000000004</v>
      </c>
      <c r="E520" s="222">
        <v>3</v>
      </c>
      <c r="F520" s="186"/>
      <c r="G520" s="186"/>
      <c r="H520" s="308"/>
      <c r="I520" s="227">
        <v>1</v>
      </c>
      <c r="J520" s="82">
        <v>2</v>
      </c>
      <c r="K520" s="331"/>
      <c r="L520" s="83">
        <v>2</v>
      </c>
      <c r="M520" s="84">
        <v>12.05</v>
      </c>
      <c r="N520" s="85"/>
    </row>
    <row r="521" spans="2:14" ht="15" customHeight="1">
      <c r="B521" s="79" t="s">
        <v>3724</v>
      </c>
      <c r="C521" s="80" t="s">
        <v>3725</v>
      </c>
      <c r="D521" s="81">
        <v>14.8158333333333</v>
      </c>
      <c r="E521" s="222">
        <v>5</v>
      </c>
      <c r="F521" s="186"/>
      <c r="G521" s="186"/>
      <c r="H521" s="308"/>
      <c r="I521" s="227">
        <v>4</v>
      </c>
      <c r="J521" s="82">
        <v>1</v>
      </c>
      <c r="K521" s="331"/>
      <c r="L521" s="83">
        <v>1</v>
      </c>
      <c r="M521" s="84">
        <v>14.8158333333333</v>
      </c>
      <c r="N521" s="85"/>
    </row>
    <row r="522" spans="2:14" ht="15" customHeight="1">
      <c r="B522" s="79" t="s">
        <v>3737</v>
      </c>
      <c r="C522" s="80" t="s">
        <v>3738</v>
      </c>
      <c r="D522" s="81">
        <v>6.15</v>
      </c>
      <c r="E522" s="222">
        <v>1</v>
      </c>
      <c r="F522" s="186"/>
      <c r="G522" s="186"/>
      <c r="H522" s="308"/>
      <c r="I522" s="227"/>
      <c r="J522" s="82">
        <v>1</v>
      </c>
      <c r="K522" s="331"/>
      <c r="L522" s="83">
        <v>1</v>
      </c>
      <c r="M522" s="84">
        <v>6.15</v>
      </c>
      <c r="N522" s="85"/>
    </row>
    <row r="523" spans="2:14" ht="15" customHeight="1">
      <c r="B523" s="79" t="s">
        <v>3366</v>
      </c>
      <c r="C523" s="80" t="s">
        <v>3367</v>
      </c>
      <c r="D523" s="81">
        <v>0.76</v>
      </c>
      <c r="E523" s="222">
        <v>21</v>
      </c>
      <c r="F523" s="186"/>
      <c r="G523" s="186"/>
      <c r="H523" s="308"/>
      <c r="I523" s="227"/>
      <c r="J523" s="82">
        <v>21</v>
      </c>
      <c r="K523" s="331"/>
      <c r="L523" s="83">
        <v>21</v>
      </c>
      <c r="M523" s="84">
        <v>15.96</v>
      </c>
      <c r="N523" s="85"/>
    </row>
    <row r="524" spans="2:14" ht="15" customHeight="1">
      <c r="B524" s="79" t="s">
        <v>3376</v>
      </c>
      <c r="C524" s="80" t="s">
        <v>3377</v>
      </c>
      <c r="D524" s="81">
        <v>25</v>
      </c>
      <c r="E524" s="222">
        <v>201</v>
      </c>
      <c r="F524" s="186"/>
      <c r="G524" s="186"/>
      <c r="H524" s="308"/>
      <c r="I524" s="227"/>
      <c r="J524" s="82">
        <v>201</v>
      </c>
      <c r="K524" s="331">
        <v>200</v>
      </c>
      <c r="L524" s="83">
        <v>1</v>
      </c>
      <c r="M524" s="84">
        <v>25</v>
      </c>
      <c r="N524" s="85"/>
    </row>
    <row r="525" spans="2:14" ht="15" customHeight="1">
      <c r="B525" s="79" t="s">
        <v>3387</v>
      </c>
      <c r="C525" s="80" t="s">
        <v>3388</v>
      </c>
      <c r="D525" s="81">
        <v>130.75</v>
      </c>
      <c r="E525" s="222">
        <v>6</v>
      </c>
      <c r="F525" s="186"/>
      <c r="G525" s="186"/>
      <c r="H525" s="308"/>
      <c r="I525" s="227"/>
      <c r="J525" s="82">
        <v>6</v>
      </c>
      <c r="K525" s="331"/>
      <c r="L525" s="83">
        <v>6</v>
      </c>
      <c r="M525" s="84">
        <v>784.5</v>
      </c>
      <c r="N525" s="85"/>
    </row>
    <row r="526" spans="2:14" ht="15" customHeight="1">
      <c r="B526" s="79" t="s">
        <v>3391</v>
      </c>
      <c r="C526" s="80" t="s">
        <v>3392</v>
      </c>
      <c r="D526" s="81">
        <v>16.95</v>
      </c>
      <c r="E526" s="222">
        <v>7</v>
      </c>
      <c r="F526" s="186"/>
      <c r="G526" s="186"/>
      <c r="H526" s="308"/>
      <c r="I526" s="227"/>
      <c r="J526" s="82">
        <v>7</v>
      </c>
      <c r="K526" s="331"/>
      <c r="L526" s="83">
        <v>7</v>
      </c>
      <c r="M526" s="84">
        <v>118.64999999999999</v>
      </c>
      <c r="N526" s="85"/>
    </row>
    <row r="527" spans="2:14" ht="15" customHeight="1">
      <c r="B527" s="79" t="s">
        <v>3393</v>
      </c>
      <c r="C527" s="80" t="s">
        <v>3394</v>
      </c>
      <c r="D527" s="81">
        <v>16.95</v>
      </c>
      <c r="E527" s="222">
        <v>28</v>
      </c>
      <c r="F527" s="186"/>
      <c r="G527" s="186"/>
      <c r="H527" s="308"/>
      <c r="I527" s="227"/>
      <c r="J527" s="82">
        <v>28</v>
      </c>
      <c r="K527" s="331"/>
      <c r="L527" s="83">
        <v>28</v>
      </c>
      <c r="M527" s="84">
        <v>474.59999999999997</v>
      </c>
      <c r="N527" s="85"/>
    </row>
    <row r="528" spans="2:14" ht="15" customHeight="1">
      <c r="B528" s="79" t="s">
        <v>3395</v>
      </c>
      <c r="C528" s="80" t="s">
        <v>3396</v>
      </c>
      <c r="D528" s="81">
        <v>16.95</v>
      </c>
      <c r="E528" s="222">
        <v>18</v>
      </c>
      <c r="F528" s="186"/>
      <c r="G528" s="186"/>
      <c r="H528" s="308"/>
      <c r="I528" s="227"/>
      <c r="J528" s="82">
        <v>18</v>
      </c>
      <c r="K528" s="331"/>
      <c r="L528" s="83">
        <v>18</v>
      </c>
      <c r="M528" s="84">
        <v>305.09999999999997</v>
      </c>
      <c r="N528" s="85"/>
    </row>
    <row r="529" spans="2:14" ht="15" customHeight="1">
      <c r="B529" s="79" t="s">
        <v>3403</v>
      </c>
      <c r="C529" s="80" t="s">
        <v>3404</v>
      </c>
      <c r="D529" s="81">
        <v>19.350000000000001</v>
      </c>
      <c r="E529" s="222">
        <v>104</v>
      </c>
      <c r="F529" s="186"/>
      <c r="G529" s="186"/>
      <c r="H529" s="308"/>
      <c r="I529" s="227">
        <v>1</v>
      </c>
      <c r="J529" s="82">
        <v>103</v>
      </c>
      <c r="K529" s="331">
        <v>84</v>
      </c>
      <c r="L529" s="83">
        <v>19</v>
      </c>
      <c r="M529" s="84">
        <v>367.65000000000009</v>
      </c>
      <c r="N529" s="85"/>
    </row>
    <row r="530" spans="2:14" ht="15" customHeight="1">
      <c r="B530" s="79" t="s">
        <v>3405</v>
      </c>
      <c r="C530" s="80" t="s">
        <v>3406</v>
      </c>
      <c r="D530" s="81">
        <v>85</v>
      </c>
      <c r="E530" s="222">
        <v>14</v>
      </c>
      <c r="F530" s="186"/>
      <c r="G530" s="186"/>
      <c r="H530" s="308"/>
      <c r="I530" s="227"/>
      <c r="J530" s="82">
        <v>14</v>
      </c>
      <c r="K530" s="331"/>
      <c r="L530" s="83">
        <v>14</v>
      </c>
      <c r="M530" s="84">
        <v>1190</v>
      </c>
      <c r="N530" s="85"/>
    </row>
    <row r="531" spans="2:14" ht="15" customHeight="1">
      <c r="B531" s="79" t="s">
        <v>3419</v>
      </c>
      <c r="C531" s="80" t="s">
        <v>3420</v>
      </c>
      <c r="D531" s="81">
        <v>1098</v>
      </c>
      <c r="E531" s="222">
        <v>9</v>
      </c>
      <c r="F531" s="186"/>
      <c r="G531" s="186"/>
      <c r="H531" s="308"/>
      <c r="I531" s="227"/>
      <c r="J531" s="82">
        <v>9</v>
      </c>
      <c r="K531" s="331"/>
      <c r="L531" s="83">
        <v>9</v>
      </c>
      <c r="M531" s="84">
        <v>9882</v>
      </c>
      <c r="N531" s="85"/>
    </row>
    <row r="532" spans="2:14" ht="15" customHeight="1">
      <c r="B532" s="79" t="s">
        <v>3427</v>
      </c>
      <c r="C532" s="80" t="s">
        <v>3428</v>
      </c>
      <c r="D532" s="81">
        <v>30</v>
      </c>
      <c r="E532" s="222">
        <v>1</v>
      </c>
      <c r="F532" s="186"/>
      <c r="G532" s="186"/>
      <c r="H532" s="308"/>
      <c r="I532" s="227"/>
      <c r="J532" s="82">
        <v>1</v>
      </c>
      <c r="K532" s="331"/>
      <c r="L532" s="83">
        <v>1</v>
      </c>
      <c r="M532" s="84">
        <v>30</v>
      </c>
      <c r="N532" s="85"/>
    </row>
    <row r="533" spans="2:14" ht="15" customHeight="1">
      <c r="B533" s="79" t="s">
        <v>3436</v>
      </c>
      <c r="C533" s="80" t="s">
        <v>3437</v>
      </c>
      <c r="D533" s="81">
        <v>300</v>
      </c>
      <c r="E533" s="222">
        <v>1</v>
      </c>
      <c r="F533" s="186"/>
      <c r="G533" s="186"/>
      <c r="H533" s="308"/>
      <c r="I533" s="227"/>
      <c r="J533" s="82">
        <v>1</v>
      </c>
      <c r="K533" s="331"/>
      <c r="L533" s="83">
        <v>1</v>
      </c>
      <c r="M533" s="84">
        <v>300</v>
      </c>
      <c r="N533" s="85"/>
    </row>
    <row r="534" spans="2:14" ht="15" customHeight="1">
      <c r="B534" s="79" t="s">
        <v>3441</v>
      </c>
      <c r="C534" s="80" t="s">
        <v>3442</v>
      </c>
      <c r="D534" s="81">
        <v>85</v>
      </c>
      <c r="E534" s="222">
        <v>13</v>
      </c>
      <c r="F534" s="186"/>
      <c r="G534" s="186"/>
      <c r="H534" s="308"/>
      <c r="I534" s="227"/>
      <c r="J534" s="82">
        <v>13</v>
      </c>
      <c r="K534" s="331"/>
      <c r="L534" s="83">
        <v>13</v>
      </c>
      <c r="M534" s="84">
        <v>1105</v>
      </c>
      <c r="N534" s="85"/>
    </row>
    <row r="535" spans="2:14" ht="15" customHeight="1">
      <c r="B535" s="79" t="s">
        <v>3455</v>
      </c>
      <c r="C535" s="80" t="s">
        <v>3456</v>
      </c>
      <c r="D535" s="81">
        <v>125</v>
      </c>
      <c r="E535" s="222">
        <v>19</v>
      </c>
      <c r="F535" s="186"/>
      <c r="G535" s="186"/>
      <c r="H535" s="308"/>
      <c r="I535" s="227"/>
      <c r="J535" s="82">
        <v>19</v>
      </c>
      <c r="K535" s="331"/>
      <c r="L535" s="83">
        <v>19</v>
      </c>
      <c r="M535" s="84">
        <v>2375</v>
      </c>
      <c r="N535" s="85"/>
    </row>
    <row r="536" spans="2:14" ht="15" customHeight="1">
      <c r="B536" s="79" t="s">
        <v>3472</v>
      </c>
      <c r="C536" s="80" t="s">
        <v>3473</v>
      </c>
      <c r="D536" s="81">
        <v>83</v>
      </c>
      <c r="E536" s="222">
        <v>1</v>
      </c>
      <c r="F536" s="186"/>
      <c r="G536" s="186"/>
      <c r="H536" s="308"/>
      <c r="I536" s="227"/>
      <c r="J536" s="82">
        <v>1</v>
      </c>
      <c r="K536" s="331"/>
      <c r="L536" s="83">
        <v>1</v>
      </c>
      <c r="M536" s="84">
        <v>83</v>
      </c>
      <c r="N536" s="85"/>
    </row>
    <row r="537" spans="2:14" ht="15" customHeight="1">
      <c r="B537" s="79" t="s">
        <v>3495</v>
      </c>
      <c r="C537" s="80" t="s">
        <v>3496</v>
      </c>
      <c r="D537" s="81">
        <v>3</v>
      </c>
      <c r="E537" s="222">
        <v>15</v>
      </c>
      <c r="F537" s="186"/>
      <c r="G537" s="186"/>
      <c r="H537" s="308"/>
      <c r="I537" s="227"/>
      <c r="J537" s="82">
        <v>15</v>
      </c>
      <c r="K537" s="331">
        <v>13</v>
      </c>
      <c r="L537" s="83">
        <v>2</v>
      </c>
      <c r="M537" s="84">
        <v>6</v>
      </c>
      <c r="N537" s="85"/>
    </row>
    <row r="538" spans="2:14" ht="15" customHeight="1">
      <c r="B538" s="79" t="s">
        <v>3513</v>
      </c>
      <c r="C538" s="80" t="s">
        <v>3514</v>
      </c>
      <c r="D538" s="81">
        <v>18</v>
      </c>
      <c r="E538" s="222">
        <v>7</v>
      </c>
      <c r="F538" s="186"/>
      <c r="G538" s="186"/>
      <c r="H538" s="308"/>
      <c r="I538" s="227"/>
      <c r="J538" s="82">
        <v>7</v>
      </c>
      <c r="K538" s="331">
        <v>6</v>
      </c>
      <c r="L538" s="83">
        <v>1</v>
      </c>
      <c r="M538" s="84">
        <v>18</v>
      </c>
      <c r="N538" s="85"/>
    </row>
    <row r="539" spans="2:14" ht="15" customHeight="1">
      <c r="B539" s="79" t="s">
        <v>3515</v>
      </c>
      <c r="C539" s="80" t="s">
        <v>3516</v>
      </c>
      <c r="D539" s="81">
        <v>13</v>
      </c>
      <c r="E539" s="222">
        <v>8</v>
      </c>
      <c r="F539" s="186"/>
      <c r="G539" s="186"/>
      <c r="H539" s="308"/>
      <c r="I539" s="227"/>
      <c r="J539" s="82">
        <v>8</v>
      </c>
      <c r="K539" s="331">
        <v>7</v>
      </c>
      <c r="L539" s="83">
        <v>1</v>
      </c>
      <c r="M539" s="84">
        <v>13</v>
      </c>
      <c r="N539" s="85"/>
    </row>
    <row r="540" spans="2:14" ht="15" customHeight="1">
      <c r="B540" s="79" t="s">
        <v>3521</v>
      </c>
      <c r="C540" s="80" t="s">
        <v>3522</v>
      </c>
      <c r="D540" s="81">
        <v>5</v>
      </c>
      <c r="E540" s="222">
        <v>20</v>
      </c>
      <c r="F540" s="186"/>
      <c r="G540" s="186"/>
      <c r="H540" s="308"/>
      <c r="I540" s="227"/>
      <c r="J540" s="82">
        <v>20</v>
      </c>
      <c r="K540" s="331">
        <v>19</v>
      </c>
      <c r="L540" s="83">
        <v>1</v>
      </c>
      <c r="M540" s="84">
        <v>5</v>
      </c>
      <c r="N540" s="85"/>
    </row>
    <row r="541" spans="2:14" ht="15" customHeight="1">
      <c r="B541" s="95" t="s">
        <v>3553</v>
      </c>
      <c r="C541" s="80" t="s">
        <v>3554</v>
      </c>
      <c r="D541" s="81">
        <v>6.27</v>
      </c>
      <c r="E541" s="222">
        <v>2</v>
      </c>
      <c r="F541" s="186"/>
      <c r="G541" s="186"/>
      <c r="H541" s="308"/>
      <c r="I541" s="227"/>
      <c r="J541" s="82">
        <v>2</v>
      </c>
      <c r="K541" s="331"/>
      <c r="L541" s="83">
        <v>2</v>
      </c>
      <c r="M541" s="84">
        <v>12.54</v>
      </c>
      <c r="N541" s="85"/>
    </row>
    <row r="542" spans="2:14" ht="15" customHeight="1">
      <c r="B542" s="95" t="s">
        <v>3555</v>
      </c>
      <c r="C542" s="80" t="s">
        <v>3556</v>
      </c>
      <c r="D542" s="193">
        <v>60.75</v>
      </c>
      <c r="E542" s="222">
        <v>8</v>
      </c>
      <c r="F542" s="186"/>
      <c r="G542" s="186"/>
      <c r="H542" s="308"/>
      <c r="I542" s="227">
        <v>2</v>
      </c>
      <c r="J542" s="82">
        <v>6</v>
      </c>
      <c r="K542" s="331"/>
      <c r="L542" s="83">
        <v>6</v>
      </c>
      <c r="M542" s="84">
        <v>364.5</v>
      </c>
      <c r="N542" s="85"/>
    </row>
    <row r="543" spans="2:14" ht="15" customHeight="1">
      <c r="B543" s="95" t="s">
        <v>3559</v>
      </c>
      <c r="C543" s="80" t="s">
        <v>3560</v>
      </c>
      <c r="D543" s="81">
        <v>7.64</v>
      </c>
      <c r="E543" s="222">
        <v>119</v>
      </c>
      <c r="F543" s="186"/>
      <c r="G543" s="186"/>
      <c r="H543" s="308"/>
      <c r="I543" s="227"/>
      <c r="J543" s="82">
        <v>119</v>
      </c>
      <c r="K543" s="331"/>
      <c r="L543" s="83">
        <v>119</v>
      </c>
      <c r="M543" s="84">
        <v>909.16</v>
      </c>
      <c r="N543" s="85"/>
    </row>
    <row r="544" spans="2:14" ht="15" customHeight="1">
      <c r="B544" s="95" t="s">
        <v>3561</v>
      </c>
      <c r="C544" s="80" t="s">
        <v>3562</v>
      </c>
      <c r="D544" s="81">
        <v>125</v>
      </c>
      <c r="E544" s="222">
        <v>1</v>
      </c>
      <c r="F544" s="186"/>
      <c r="G544" s="186"/>
      <c r="H544" s="308"/>
      <c r="I544" s="227"/>
      <c r="J544" s="82">
        <v>1</v>
      </c>
      <c r="K544" s="331"/>
      <c r="L544" s="83">
        <v>1</v>
      </c>
      <c r="M544" s="84">
        <v>125</v>
      </c>
      <c r="N544" s="85"/>
    </row>
    <row r="545" spans="2:14" ht="15" customHeight="1">
      <c r="B545" s="104">
        <v>7359</v>
      </c>
      <c r="C545" s="105" t="s">
        <v>3815</v>
      </c>
      <c r="D545" s="81">
        <v>20.56</v>
      </c>
      <c r="E545" s="222">
        <v>16</v>
      </c>
      <c r="F545" s="186"/>
      <c r="G545" s="186"/>
      <c r="H545" s="308"/>
      <c r="I545" s="227"/>
      <c r="J545" s="82">
        <v>16</v>
      </c>
      <c r="K545" s="331">
        <v>15</v>
      </c>
      <c r="L545" s="83">
        <v>1</v>
      </c>
      <c r="M545" s="84">
        <v>20.560000000000002</v>
      </c>
      <c r="N545" s="85"/>
    </row>
    <row r="546" spans="2:14" ht="15" customHeight="1">
      <c r="B546" s="79"/>
      <c r="C546" s="80" t="s">
        <v>3566</v>
      </c>
      <c r="D546" s="81"/>
      <c r="E546" s="222">
        <v>5</v>
      </c>
      <c r="F546" s="186"/>
      <c r="G546" s="186"/>
      <c r="H546" s="308"/>
      <c r="I546" s="227"/>
      <c r="J546" s="82">
        <v>5</v>
      </c>
      <c r="K546" s="331"/>
      <c r="L546" s="83">
        <v>5</v>
      </c>
      <c r="M546" s="84">
        <v>0</v>
      </c>
      <c r="N546" s="85"/>
    </row>
    <row r="547" spans="2:14" ht="15" customHeight="1">
      <c r="B547" s="109" t="s">
        <v>3568</v>
      </c>
      <c r="C547" s="110" t="s">
        <v>3569</v>
      </c>
      <c r="D547" s="111">
        <v>209.3</v>
      </c>
      <c r="E547" s="222">
        <v>11</v>
      </c>
      <c r="F547" s="186"/>
      <c r="G547" s="186"/>
      <c r="H547" s="308"/>
      <c r="I547" s="227"/>
      <c r="J547" s="82">
        <v>11</v>
      </c>
      <c r="K547" s="331"/>
      <c r="L547" s="83">
        <v>11</v>
      </c>
      <c r="M547" s="84">
        <v>2302.3000000000002</v>
      </c>
      <c r="N547" s="112"/>
    </row>
    <row r="548" spans="2:14" ht="15" customHeight="1">
      <c r="B548" s="109" t="s">
        <v>3570</v>
      </c>
      <c r="C548" s="110" t="s">
        <v>3571</v>
      </c>
      <c r="D548" s="111">
        <v>0</v>
      </c>
      <c r="E548" s="222">
        <v>2</v>
      </c>
      <c r="F548" s="186"/>
      <c r="G548" s="186"/>
      <c r="H548" s="308"/>
      <c r="I548" s="227"/>
      <c r="J548" s="82">
        <v>2</v>
      </c>
      <c r="K548" s="331"/>
      <c r="L548" s="83">
        <v>2</v>
      </c>
      <c r="M548" s="84">
        <v>0</v>
      </c>
      <c r="N548" s="112"/>
    </row>
    <row r="549" spans="2:14" ht="15" customHeight="1">
      <c r="B549" s="113"/>
      <c r="C549" s="114" t="s">
        <v>3578</v>
      </c>
      <c r="D549" s="115">
        <v>0</v>
      </c>
      <c r="E549" s="223">
        <v>5</v>
      </c>
      <c r="F549" s="229"/>
      <c r="G549" s="229"/>
      <c r="H549" s="310"/>
      <c r="I549" s="228"/>
      <c r="J549" s="82">
        <v>5</v>
      </c>
      <c r="K549" s="331">
        <v>2</v>
      </c>
      <c r="L549" s="83">
        <v>3</v>
      </c>
      <c r="M549" s="84">
        <v>0</v>
      </c>
      <c r="N549" s="112"/>
    </row>
    <row r="550" spans="2:14" ht="15" customHeight="1">
      <c r="B550" s="118" t="s">
        <v>3590</v>
      </c>
      <c r="C550" s="119" t="s">
        <v>3591</v>
      </c>
      <c r="D550" s="120">
        <v>0</v>
      </c>
      <c r="E550" s="223">
        <v>10</v>
      </c>
      <c r="F550" s="229"/>
      <c r="G550" s="229"/>
      <c r="H550" s="310"/>
      <c r="I550" s="228"/>
      <c r="J550" s="82">
        <v>10</v>
      </c>
      <c r="K550" s="331">
        <v>1</v>
      </c>
      <c r="L550" s="83">
        <v>9</v>
      </c>
      <c r="M550" s="84">
        <v>0</v>
      </c>
      <c r="N550" s="121"/>
    </row>
    <row r="551" spans="2:14" ht="15" customHeight="1">
      <c r="B551" s="118" t="s">
        <v>3592</v>
      </c>
      <c r="C551" s="119" t="s">
        <v>3593</v>
      </c>
      <c r="D551" s="120">
        <v>189.12</v>
      </c>
      <c r="E551" s="223">
        <v>8</v>
      </c>
      <c r="F551" s="229"/>
      <c r="G551" s="229"/>
      <c r="H551" s="310"/>
      <c r="I551" s="228"/>
      <c r="J551" s="82">
        <v>8</v>
      </c>
      <c r="K551" s="331">
        <v>7</v>
      </c>
      <c r="L551" s="83">
        <v>1</v>
      </c>
      <c r="M551" s="84">
        <v>189.11999999999989</v>
      </c>
      <c r="N551" s="121"/>
    </row>
    <row r="552" spans="2:14" ht="15" customHeight="1">
      <c r="B552" s="118" t="s">
        <v>3594</v>
      </c>
      <c r="C552" s="119" t="s">
        <v>3595</v>
      </c>
      <c r="D552" s="120">
        <v>6.18</v>
      </c>
      <c r="E552" s="223">
        <v>60</v>
      </c>
      <c r="F552" s="229"/>
      <c r="G552" s="229"/>
      <c r="H552" s="310"/>
      <c r="I552" s="228"/>
      <c r="J552" s="82">
        <v>60</v>
      </c>
      <c r="K552" s="331">
        <v>50</v>
      </c>
      <c r="L552" s="83">
        <v>10</v>
      </c>
      <c r="M552" s="84">
        <v>61.799999999999955</v>
      </c>
      <c r="N552" s="121"/>
    </row>
    <row r="553" spans="2:14" ht="15" customHeight="1">
      <c r="B553" s="118" t="s">
        <v>3596</v>
      </c>
      <c r="C553" s="119" t="s">
        <v>3597</v>
      </c>
      <c r="D553" s="120">
        <v>15.14</v>
      </c>
      <c r="E553" s="223">
        <v>28</v>
      </c>
      <c r="F553" s="229"/>
      <c r="G553" s="229"/>
      <c r="H553" s="310"/>
      <c r="I553" s="228"/>
      <c r="J553" s="82">
        <v>28</v>
      </c>
      <c r="K553" s="331"/>
      <c r="L553" s="83">
        <v>28</v>
      </c>
      <c r="M553" s="84">
        <v>423.92</v>
      </c>
      <c r="N553" s="121"/>
    </row>
    <row r="554" spans="2:14" ht="15" customHeight="1">
      <c r="B554" s="118" t="s">
        <v>3600</v>
      </c>
      <c r="C554" s="119" t="s">
        <v>3818</v>
      </c>
      <c r="D554" s="120">
        <v>0</v>
      </c>
      <c r="E554" s="223">
        <v>7</v>
      </c>
      <c r="F554" s="229"/>
      <c r="G554" s="229"/>
      <c r="H554" s="310"/>
      <c r="I554" s="228"/>
      <c r="J554" s="82">
        <v>7</v>
      </c>
      <c r="K554" s="331"/>
      <c r="L554" s="83">
        <v>7</v>
      </c>
      <c r="M554" s="84">
        <v>0</v>
      </c>
      <c r="N554" s="121"/>
    </row>
    <row r="555" spans="2:14" ht="15" customHeight="1">
      <c r="B555" s="95" t="s">
        <v>3604</v>
      </c>
      <c r="C555" s="80" t="s">
        <v>3605</v>
      </c>
      <c r="D555" s="81">
        <v>10.199999999999999</v>
      </c>
      <c r="E555" s="222">
        <v>14</v>
      </c>
      <c r="F555" s="186"/>
      <c r="G555" s="186"/>
      <c r="H555" s="308"/>
      <c r="I555" s="227"/>
      <c r="J555" s="82">
        <v>14</v>
      </c>
      <c r="K555" s="331">
        <v>12</v>
      </c>
      <c r="L555" s="83">
        <v>2</v>
      </c>
      <c r="M555" s="84">
        <v>20.399999999999991</v>
      </c>
      <c r="N555" s="85"/>
    </row>
    <row r="556" spans="2:14" ht="15" customHeight="1">
      <c r="B556" s="79"/>
      <c r="C556" s="80" t="s">
        <v>3608</v>
      </c>
      <c r="D556" s="81">
        <v>50.8</v>
      </c>
      <c r="E556" s="222">
        <v>20</v>
      </c>
      <c r="F556" s="186"/>
      <c r="G556" s="186"/>
      <c r="H556" s="308"/>
      <c r="I556" s="227"/>
      <c r="J556" s="82">
        <v>20</v>
      </c>
      <c r="K556" s="331"/>
      <c r="L556" s="83">
        <v>20</v>
      </c>
      <c r="M556" s="84">
        <v>1016</v>
      </c>
      <c r="N556" s="85"/>
    </row>
    <row r="557" spans="2:14" ht="15" customHeight="1">
      <c r="B557" s="79">
        <v>605078</v>
      </c>
      <c r="C557" s="80" t="s">
        <v>3611</v>
      </c>
      <c r="D557" s="81">
        <v>6.8849999999999998</v>
      </c>
      <c r="E557" s="222">
        <v>107</v>
      </c>
      <c r="F557" s="186"/>
      <c r="G557" s="186"/>
      <c r="H557" s="308"/>
      <c r="I557" s="227"/>
      <c r="J557" s="82">
        <v>107</v>
      </c>
      <c r="K557" s="331"/>
      <c r="L557" s="83">
        <v>107</v>
      </c>
      <c r="M557" s="84">
        <v>736.69499999999994</v>
      </c>
      <c r="N557" s="85"/>
    </row>
    <row r="558" spans="2:14" ht="15" customHeight="1">
      <c r="B558" s="79">
        <v>601115</v>
      </c>
      <c r="C558" s="80" t="s">
        <v>3612</v>
      </c>
      <c r="D558" s="81">
        <v>10</v>
      </c>
      <c r="E558" s="222">
        <v>4</v>
      </c>
      <c r="F558" s="186"/>
      <c r="G558" s="186"/>
      <c r="H558" s="308"/>
      <c r="I558" s="227"/>
      <c r="J558" s="82">
        <v>4</v>
      </c>
      <c r="K558" s="331"/>
      <c r="L558" s="83">
        <v>4</v>
      </c>
      <c r="M558" s="84">
        <v>40</v>
      </c>
      <c r="N558" s="85"/>
    </row>
    <row r="559" spans="2:14" ht="15" customHeight="1">
      <c r="B559" s="69" t="s">
        <v>3623</v>
      </c>
      <c r="C559" s="96" t="s">
        <v>3624</v>
      </c>
      <c r="D559" s="122">
        <v>89.91</v>
      </c>
      <c r="E559" s="222">
        <v>6</v>
      </c>
      <c r="F559" s="186"/>
      <c r="G559" s="186"/>
      <c r="H559" s="308"/>
      <c r="I559" s="227">
        <v>1</v>
      </c>
      <c r="J559" s="82">
        <v>5</v>
      </c>
      <c r="K559" s="331"/>
      <c r="L559" s="83">
        <v>5</v>
      </c>
      <c r="M559" s="84">
        <v>449.54999999999995</v>
      </c>
      <c r="N559" s="232"/>
    </row>
    <row r="560" spans="2:14" ht="15" customHeight="1">
      <c r="B560" s="69" t="s">
        <v>3627</v>
      </c>
      <c r="C560" s="96" t="s">
        <v>3628</v>
      </c>
      <c r="D560" s="123">
        <v>16.91</v>
      </c>
      <c r="E560" s="222">
        <v>10</v>
      </c>
      <c r="F560" s="186"/>
      <c r="G560" s="186"/>
      <c r="H560" s="308"/>
      <c r="I560" s="227">
        <v>7</v>
      </c>
      <c r="J560" s="82">
        <v>3</v>
      </c>
      <c r="K560" s="331"/>
      <c r="L560" s="83">
        <v>3</v>
      </c>
      <c r="M560" s="84">
        <v>50.730000000000004</v>
      </c>
      <c r="N560" s="85"/>
    </row>
    <row r="561" spans="2:14" ht="15" customHeight="1">
      <c r="B561" s="69" t="s">
        <v>3633</v>
      </c>
      <c r="C561" s="96" t="s">
        <v>3634</v>
      </c>
      <c r="D561" s="123">
        <v>6.03</v>
      </c>
      <c r="E561" s="222">
        <v>4</v>
      </c>
      <c r="F561" s="186"/>
      <c r="G561" s="186"/>
      <c r="H561" s="308"/>
      <c r="I561" s="227">
        <v>3</v>
      </c>
      <c r="J561" s="82">
        <v>1</v>
      </c>
      <c r="K561" s="331"/>
      <c r="L561" s="83">
        <v>1</v>
      </c>
      <c r="M561" s="84">
        <v>6.03</v>
      </c>
      <c r="N561" s="85"/>
    </row>
    <row r="562" spans="2:14" ht="15" customHeight="1">
      <c r="B562" s="69" t="s">
        <v>3664</v>
      </c>
      <c r="C562" s="96" t="s">
        <v>3665</v>
      </c>
      <c r="D562" s="123">
        <v>118.1579</v>
      </c>
      <c r="E562" s="222">
        <v>4</v>
      </c>
      <c r="F562" s="186"/>
      <c r="G562" s="186"/>
      <c r="H562" s="308"/>
      <c r="I562" s="227"/>
      <c r="J562" s="82">
        <v>4</v>
      </c>
      <c r="K562" s="331"/>
      <c r="L562" s="83">
        <v>4</v>
      </c>
      <c r="M562" s="84">
        <v>472.63159999999999</v>
      </c>
      <c r="N562" s="85"/>
    </row>
    <row r="563" spans="2:14" ht="15" customHeight="1">
      <c r="B563" s="79" t="s">
        <v>3685</v>
      </c>
      <c r="C563" s="80" t="s">
        <v>3686</v>
      </c>
      <c r="D563" s="81">
        <v>3.6</v>
      </c>
      <c r="E563" s="222">
        <v>23</v>
      </c>
      <c r="F563" s="186"/>
      <c r="G563" s="186"/>
      <c r="H563" s="308"/>
      <c r="I563" s="227"/>
      <c r="J563" s="82">
        <v>23</v>
      </c>
      <c r="K563" s="331">
        <v>1</v>
      </c>
      <c r="L563" s="83">
        <v>22</v>
      </c>
      <c r="M563" s="84">
        <v>79.2</v>
      </c>
      <c r="N563" s="85"/>
    </row>
    <row r="564" spans="2:14" ht="15" customHeight="1">
      <c r="B564" s="79">
        <v>721567</v>
      </c>
      <c r="C564" s="80" t="s">
        <v>698</v>
      </c>
      <c r="D564" s="81">
        <v>3.6</v>
      </c>
      <c r="E564" s="222">
        <v>12</v>
      </c>
      <c r="F564" s="186"/>
      <c r="G564" s="186"/>
      <c r="H564" s="308"/>
      <c r="I564" s="227"/>
      <c r="J564" s="82">
        <v>12</v>
      </c>
      <c r="K564" s="331"/>
      <c r="L564" s="83">
        <v>12</v>
      </c>
      <c r="M564" s="84">
        <v>43.2</v>
      </c>
      <c r="N564" s="85"/>
    </row>
    <row r="565" spans="2:14">
      <c r="E565" s="14">
        <f>SUM(E200:E564)</f>
        <v>20356</v>
      </c>
      <c r="F565" s="14">
        <f t="shared" ref="F565:M565" si="1">SUM(F200:F564)</f>
        <v>92</v>
      </c>
      <c r="G565" s="14">
        <f t="shared" si="1"/>
        <v>715</v>
      </c>
      <c r="H565" s="14">
        <f t="shared" si="1"/>
        <v>41</v>
      </c>
      <c r="I565" s="14">
        <f t="shared" si="1"/>
        <v>1014</v>
      </c>
      <c r="J565" s="14">
        <f t="shared" si="1"/>
        <v>20108</v>
      </c>
      <c r="K565" s="14">
        <f t="shared" si="1"/>
        <v>12669</v>
      </c>
      <c r="L565" s="14">
        <f t="shared" si="1"/>
        <v>7439</v>
      </c>
      <c r="M565" s="14">
        <f t="shared" si="1"/>
        <v>142300.28990000006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A9B1-8FA5-4040-96FE-D0CFCA6F203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AB1F-79BE-41D4-B598-CE1C715FCADA}">
  <sheetPr filterMode="1">
    <tabColor rgb="FFFF0000"/>
  </sheetPr>
  <dimension ref="A1:L1332"/>
  <sheetViews>
    <sheetView zoomScaleNormal="100" workbookViewId="0">
      <selection activeCell="E144" sqref="A1:L1332"/>
    </sheetView>
  </sheetViews>
  <sheetFormatPr defaultRowHeight="15"/>
  <cols>
    <col min="1" max="1" width="13.140625" style="164" customWidth="1"/>
    <col min="2" max="2" width="22" customWidth="1"/>
    <col min="3" max="3" width="17.5703125" customWidth="1"/>
    <col min="4" max="4" width="43.28515625" customWidth="1"/>
    <col min="5" max="5" width="10.7109375" style="4" customWidth="1"/>
    <col min="6" max="8" width="10.7109375" customWidth="1"/>
    <col min="9" max="9" width="9.85546875" customWidth="1"/>
    <col min="11" max="11" width="11.5703125" customWidth="1"/>
    <col min="12" max="12" width="10.7109375" customWidth="1"/>
  </cols>
  <sheetData>
    <row r="1" spans="1:12">
      <c r="A1" s="389" t="s">
        <v>46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</row>
    <row r="2" spans="1:12" ht="15.75" thickBot="1">
      <c r="A2" s="390" t="str">
        <f>PRINTING!B2</f>
        <v>AS OF JULY 2026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</row>
    <row r="3" spans="1:12" s="4" customFormat="1" ht="26.25" customHeight="1" thickBot="1">
      <c r="A3" s="202" t="s">
        <v>3695</v>
      </c>
      <c r="B3" s="203" t="s">
        <v>3697</v>
      </c>
      <c r="C3" s="203" t="s">
        <v>3718</v>
      </c>
      <c r="D3" s="203" t="s">
        <v>3719</v>
      </c>
      <c r="E3" s="203" t="s">
        <v>3720</v>
      </c>
      <c r="F3" s="203" t="s">
        <v>3721</v>
      </c>
      <c r="G3" s="204" t="s">
        <v>3722</v>
      </c>
      <c r="H3" s="204" t="s">
        <v>3723</v>
      </c>
      <c r="I3" s="217" t="s">
        <v>3769</v>
      </c>
      <c r="J3" s="213" t="s">
        <v>3770</v>
      </c>
      <c r="K3" s="214" t="s">
        <v>3771</v>
      </c>
      <c r="L3" s="214" t="s">
        <v>3772</v>
      </c>
    </row>
    <row r="4" spans="1:12" hidden="1">
      <c r="A4" s="205" t="s">
        <v>3846</v>
      </c>
      <c r="B4" s="206" t="s">
        <v>1162</v>
      </c>
      <c r="C4" s="206" t="s">
        <v>3916</v>
      </c>
      <c r="D4" s="207" t="s">
        <v>1163</v>
      </c>
      <c r="E4" s="206">
        <v>1</v>
      </c>
      <c r="F4" s="123">
        <v>21.88</v>
      </c>
      <c r="G4" s="123">
        <v>25.25</v>
      </c>
      <c r="H4" s="208">
        <v>25.25</v>
      </c>
      <c r="I4" s="215"/>
      <c r="J4" s="215"/>
      <c r="K4" s="215">
        <v>25.25</v>
      </c>
      <c r="L4" s="216">
        <v>21.88</v>
      </c>
    </row>
    <row r="5" spans="1:12" hidden="1">
      <c r="A5" s="209" t="s">
        <v>3846</v>
      </c>
      <c r="B5" s="69" t="s">
        <v>827</v>
      </c>
      <c r="C5" s="206" t="s">
        <v>3916</v>
      </c>
      <c r="D5" s="96" t="s">
        <v>828</v>
      </c>
      <c r="E5" s="69">
        <v>1</v>
      </c>
      <c r="F5" s="123">
        <v>14.31</v>
      </c>
      <c r="G5" s="123">
        <v>16.5</v>
      </c>
      <c r="H5" s="208">
        <v>16.5</v>
      </c>
      <c r="I5" s="215"/>
      <c r="J5" s="215"/>
      <c r="K5" s="215">
        <v>16.5</v>
      </c>
      <c r="L5" s="216">
        <v>14.31</v>
      </c>
    </row>
    <row r="6" spans="1:12" hidden="1">
      <c r="A6" s="209" t="s">
        <v>3846</v>
      </c>
      <c r="B6" s="69" t="s">
        <v>65</v>
      </c>
      <c r="C6" s="206" t="s">
        <v>3916</v>
      </c>
      <c r="D6" s="96" t="s">
        <v>66</v>
      </c>
      <c r="E6" s="69">
        <v>1</v>
      </c>
      <c r="F6" s="123">
        <v>33.75</v>
      </c>
      <c r="G6" s="123">
        <v>39</v>
      </c>
      <c r="H6" s="208">
        <v>39</v>
      </c>
      <c r="I6" s="215"/>
      <c r="J6" s="215"/>
      <c r="K6" s="215">
        <v>39</v>
      </c>
      <c r="L6" s="216">
        <v>33.75</v>
      </c>
    </row>
    <row r="7" spans="1:12" hidden="1">
      <c r="A7" s="209" t="s">
        <v>3846</v>
      </c>
      <c r="B7" s="69" t="s">
        <v>3100</v>
      </c>
      <c r="C7" s="206" t="s">
        <v>3916</v>
      </c>
      <c r="D7" s="96" t="s">
        <v>3101</v>
      </c>
      <c r="E7" s="69">
        <v>1</v>
      </c>
      <c r="F7" s="123">
        <v>23.15</v>
      </c>
      <c r="G7" s="123">
        <v>26.75</v>
      </c>
      <c r="H7" s="208">
        <v>26.75</v>
      </c>
      <c r="I7" s="215"/>
      <c r="J7" s="215"/>
      <c r="K7" s="215">
        <v>26.75</v>
      </c>
      <c r="L7" s="216">
        <v>23.15</v>
      </c>
    </row>
    <row r="8" spans="1:12" hidden="1">
      <c r="A8" s="209" t="s">
        <v>3846</v>
      </c>
      <c r="B8" s="69" t="s">
        <v>1447</v>
      </c>
      <c r="C8" s="206" t="s">
        <v>3916</v>
      </c>
      <c r="D8" s="96" t="s">
        <v>1448</v>
      </c>
      <c r="E8" s="69">
        <v>1</v>
      </c>
      <c r="F8" s="123">
        <v>22.59</v>
      </c>
      <c r="G8" s="123">
        <v>26</v>
      </c>
      <c r="H8" s="208">
        <v>26</v>
      </c>
      <c r="I8" s="215"/>
      <c r="J8" s="215"/>
      <c r="K8" s="215">
        <v>26</v>
      </c>
      <c r="L8" s="216">
        <v>22.59</v>
      </c>
    </row>
    <row r="9" spans="1:12" hidden="1">
      <c r="A9" s="209" t="s">
        <v>3846</v>
      </c>
      <c r="B9" s="69" t="s">
        <v>3334</v>
      </c>
      <c r="C9" s="69" t="s">
        <v>3916</v>
      </c>
      <c r="D9" s="96" t="s">
        <v>3335</v>
      </c>
      <c r="E9" s="69">
        <v>1</v>
      </c>
      <c r="F9" s="123">
        <v>3.6</v>
      </c>
      <c r="G9" s="123">
        <v>4.25</v>
      </c>
      <c r="H9" s="208">
        <v>4.25</v>
      </c>
      <c r="I9" s="215"/>
      <c r="J9" s="215"/>
      <c r="K9" s="215">
        <v>4.25</v>
      </c>
      <c r="L9" s="216">
        <v>3.6</v>
      </c>
    </row>
    <row r="10" spans="1:12" hidden="1">
      <c r="A10" s="209" t="s">
        <v>3846</v>
      </c>
      <c r="B10" s="69" t="s">
        <v>1495</v>
      </c>
      <c r="C10" s="69" t="s">
        <v>3916</v>
      </c>
      <c r="D10" s="96" t="s">
        <v>1496</v>
      </c>
      <c r="E10" s="69">
        <v>1</v>
      </c>
      <c r="F10" s="123">
        <v>32.86</v>
      </c>
      <c r="G10" s="123">
        <v>38</v>
      </c>
      <c r="H10" s="208">
        <v>38</v>
      </c>
      <c r="I10" s="215"/>
      <c r="J10" s="215"/>
      <c r="K10" s="215">
        <v>38</v>
      </c>
      <c r="L10" s="216">
        <v>32.86</v>
      </c>
    </row>
    <row r="11" spans="1:12" hidden="1">
      <c r="A11" s="209" t="s">
        <v>3846</v>
      </c>
      <c r="B11" s="69" t="s">
        <v>414</v>
      </c>
      <c r="C11" s="69" t="s">
        <v>3916</v>
      </c>
      <c r="D11" s="96" t="s">
        <v>415</v>
      </c>
      <c r="E11" s="69">
        <v>1</v>
      </c>
      <c r="F11" s="123">
        <v>8.1999999999999993</v>
      </c>
      <c r="G11" s="123">
        <v>10</v>
      </c>
      <c r="H11" s="208">
        <v>10</v>
      </c>
      <c r="I11" s="215"/>
      <c r="J11" s="215"/>
      <c r="K11" s="215">
        <v>10</v>
      </c>
      <c r="L11" s="216">
        <v>8.1999999999999993</v>
      </c>
    </row>
    <row r="12" spans="1:12" hidden="1">
      <c r="A12" s="209" t="s">
        <v>3846</v>
      </c>
      <c r="B12" s="69" t="s">
        <v>2215</v>
      </c>
      <c r="C12" s="69" t="s">
        <v>3916</v>
      </c>
      <c r="D12" s="96" t="s">
        <v>2216</v>
      </c>
      <c r="E12" s="69">
        <v>1</v>
      </c>
      <c r="F12" s="123">
        <v>23.75</v>
      </c>
      <c r="G12" s="123">
        <v>27.5</v>
      </c>
      <c r="H12" s="208">
        <v>27.5</v>
      </c>
      <c r="I12" s="215"/>
      <c r="J12" s="215"/>
      <c r="K12" s="215">
        <v>27.5</v>
      </c>
      <c r="L12" s="216">
        <v>23.75</v>
      </c>
    </row>
    <row r="13" spans="1:12" hidden="1">
      <c r="A13" s="209" t="s">
        <v>3846</v>
      </c>
      <c r="B13" s="69" t="s">
        <v>919</v>
      </c>
      <c r="C13" s="69" t="s">
        <v>3916</v>
      </c>
      <c r="D13" s="96" t="s">
        <v>920</v>
      </c>
      <c r="E13" s="69">
        <v>2</v>
      </c>
      <c r="F13" s="123">
        <v>12.66</v>
      </c>
      <c r="G13" s="123">
        <v>14.25</v>
      </c>
      <c r="H13" s="208">
        <v>28.5</v>
      </c>
      <c r="I13" s="215"/>
      <c r="J13" s="215"/>
      <c r="K13" s="215">
        <v>28.5</v>
      </c>
      <c r="L13" s="216">
        <v>25.32</v>
      </c>
    </row>
    <row r="14" spans="1:12" hidden="1">
      <c r="A14" s="209" t="s">
        <v>3846</v>
      </c>
      <c r="B14" s="69" t="s">
        <v>1024</v>
      </c>
      <c r="C14" s="69" t="s">
        <v>3916</v>
      </c>
      <c r="D14" s="96" t="s">
        <v>1025</v>
      </c>
      <c r="E14" s="69">
        <v>1</v>
      </c>
      <c r="F14" s="123">
        <v>8.58</v>
      </c>
      <c r="G14" s="123">
        <v>10</v>
      </c>
      <c r="H14" s="208">
        <v>10</v>
      </c>
      <c r="I14" s="215"/>
      <c r="J14" s="215"/>
      <c r="K14" s="215">
        <v>10</v>
      </c>
      <c r="L14" s="216">
        <v>8.58</v>
      </c>
    </row>
    <row r="15" spans="1:12" hidden="1">
      <c r="A15" s="209" t="s">
        <v>3846</v>
      </c>
      <c r="B15" s="69" t="s">
        <v>917</v>
      </c>
      <c r="C15" s="69" t="s">
        <v>3916</v>
      </c>
      <c r="D15" s="96" t="s">
        <v>918</v>
      </c>
      <c r="E15" s="69">
        <v>1</v>
      </c>
      <c r="F15" s="123">
        <v>12.56</v>
      </c>
      <c r="G15" s="123">
        <v>14.25</v>
      </c>
      <c r="H15" s="208">
        <v>14.25</v>
      </c>
      <c r="I15" s="215"/>
      <c r="J15" s="215"/>
      <c r="K15" s="215">
        <v>14.25</v>
      </c>
      <c r="L15" s="216">
        <v>12.56</v>
      </c>
    </row>
    <row r="16" spans="1:12" hidden="1">
      <c r="A16" s="209" t="s">
        <v>3846</v>
      </c>
      <c r="B16" s="69" t="s">
        <v>1315</v>
      </c>
      <c r="C16" s="69" t="s">
        <v>3916</v>
      </c>
      <c r="D16" s="96" t="s">
        <v>1316</v>
      </c>
      <c r="E16" s="69">
        <v>1</v>
      </c>
      <c r="F16" s="123">
        <v>62.8</v>
      </c>
      <c r="G16" s="123">
        <v>72.25</v>
      </c>
      <c r="H16" s="208">
        <v>72.25</v>
      </c>
      <c r="I16" s="215"/>
      <c r="J16" s="215"/>
      <c r="K16" s="215">
        <v>72.25</v>
      </c>
      <c r="L16" s="216">
        <v>62.8</v>
      </c>
    </row>
    <row r="17" spans="1:12" hidden="1">
      <c r="A17" s="209" t="s">
        <v>3846</v>
      </c>
      <c r="B17" s="69" t="s">
        <v>858</v>
      </c>
      <c r="C17" s="69" t="s">
        <v>3916</v>
      </c>
      <c r="D17" s="96" t="s">
        <v>859</v>
      </c>
      <c r="E17" s="69">
        <v>1</v>
      </c>
      <c r="F17" s="123">
        <v>7.85</v>
      </c>
      <c r="G17" s="123">
        <v>12</v>
      </c>
      <c r="H17" s="208">
        <v>12</v>
      </c>
      <c r="I17" s="215"/>
      <c r="J17" s="215"/>
      <c r="K17" s="215">
        <v>12</v>
      </c>
      <c r="L17" s="216">
        <v>7.85</v>
      </c>
    </row>
    <row r="18" spans="1:12" hidden="1">
      <c r="A18" s="209" t="s">
        <v>3846</v>
      </c>
      <c r="B18" s="69" t="s">
        <v>3627</v>
      </c>
      <c r="C18" s="69" t="s">
        <v>3916</v>
      </c>
      <c r="D18" s="96" t="s">
        <v>3628</v>
      </c>
      <c r="E18" s="69">
        <v>1</v>
      </c>
      <c r="F18" s="123">
        <v>16.91</v>
      </c>
      <c r="G18" s="123">
        <v>18.600000000000001</v>
      </c>
      <c r="H18" s="208">
        <v>18.600000000000001</v>
      </c>
      <c r="I18" s="215"/>
      <c r="J18" s="215"/>
      <c r="K18" s="215">
        <v>18.600000000000001</v>
      </c>
      <c r="L18" s="216">
        <v>16.91</v>
      </c>
    </row>
    <row r="19" spans="1:12" hidden="1">
      <c r="A19" s="209" t="s">
        <v>3846</v>
      </c>
      <c r="B19" s="69" t="s">
        <v>985</v>
      </c>
      <c r="C19" s="69" t="s">
        <v>3916</v>
      </c>
      <c r="D19" s="96" t="s">
        <v>986</v>
      </c>
      <c r="E19" s="69">
        <v>6</v>
      </c>
      <c r="F19" s="123">
        <v>13.32</v>
      </c>
      <c r="G19" s="123">
        <v>15.5</v>
      </c>
      <c r="H19" s="208">
        <v>93</v>
      </c>
      <c r="I19" s="215"/>
      <c r="J19" s="215"/>
      <c r="K19" s="215">
        <v>93</v>
      </c>
      <c r="L19" s="216">
        <v>79.92</v>
      </c>
    </row>
    <row r="20" spans="1:12" hidden="1">
      <c r="A20" s="209" t="s">
        <v>3846</v>
      </c>
      <c r="B20" s="69" t="s">
        <v>899</v>
      </c>
      <c r="C20" s="69" t="s">
        <v>3916</v>
      </c>
      <c r="D20" s="96" t="s">
        <v>900</v>
      </c>
      <c r="E20" s="69">
        <v>1</v>
      </c>
      <c r="F20" s="123">
        <v>94.58</v>
      </c>
      <c r="G20" s="123">
        <v>109</v>
      </c>
      <c r="H20" s="208">
        <v>109</v>
      </c>
      <c r="I20" s="215"/>
      <c r="J20" s="215"/>
      <c r="K20" s="215">
        <v>109</v>
      </c>
      <c r="L20" s="216">
        <v>94.58</v>
      </c>
    </row>
    <row r="21" spans="1:12" hidden="1">
      <c r="A21" s="209" t="s">
        <v>3846</v>
      </c>
      <c r="B21" s="69" t="s">
        <v>831</v>
      </c>
      <c r="C21" s="69" t="s">
        <v>3916</v>
      </c>
      <c r="D21" s="96" t="s">
        <v>832</v>
      </c>
      <c r="E21" s="69">
        <v>1</v>
      </c>
      <c r="F21" s="123">
        <v>40.74</v>
      </c>
      <c r="G21" s="123">
        <v>48.5</v>
      </c>
      <c r="H21" s="208">
        <v>48.5</v>
      </c>
      <c r="I21" s="215"/>
      <c r="J21" s="215"/>
      <c r="K21" s="215">
        <v>48.5</v>
      </c>
      <c r="L21" s="216">
        <v>40.74</v>
      </c>
    </row>
    <row r="22" spans="1:12" hidden="1">
      <c r="A22" s="209" t="s">
        <v>3846</v>
      </c>
      <c r="B22" s="69" t="s">
        <v>296</v>
      </c>
      <c r="C22" s="69" t="s">
        <v>3916</v>
      </c>
      <c r="D22" s="96" t="s">
        <v>297</v>
      </c>
      <c r="E22" s="69">
        <v>1</v>
      </c>
      <c r="F22" s="123">
        <v>7.06</v>
      </c>
      <c r="G22" s="123">
        <v>8.25</v>
      </c>
      <c r="H22" s="208">
        <v>8.25</v>
      </c>
      <c r="I22" s="215"/>
      <c r="J22" s="215"/>
      <c r="K22" s="215">
        <v>8.25</v>
      </c>
      <c r="L22" s="216">
        <v>7.06</v>
      </c>
    </row>
    <row r="23" spans="1:12" hidden="1">
      <c r="A23" s="209" t="s">
        <v>3846</v>
      </c>
      <c r="B23" s="69" t="s">
        <v>2648</v>
      </c>
      <c r="C23" s="69" t="s">
        <v>3916</v>
      </c>
      <c r="D23" s="96" t="s">
        <v>2649</v>
      </c>
      <c r="E23" s="69">
        <v>1</v>
      </c>
      <c r="F23" s="123">
        <v>18.98</v>
      </c>
      <c r="G23" s="123">
        <v>22</v>
      </c>
      <c r="H23" s="208">
        <v>22</v>
      </c>
      <c r="I23" s="215"/>
      <c r="J23" s="215"/>
      <c r="K23" s="215">
        <v>22</v>
      </c>
      <c r="L23" s="216">
        <v>18.98</v>
      </c>
    </row>
    <row r="24" spans="1:12" hidden="1">
      <c r="A24" s="209" t="s">
        <v>3846</v>
      </c>
      <c r="B24" s="69" t="s">
        <v>1570</v>
      </c>
      <c r="C24" s="69" t="s">
        <v>3917</v>
      </c>
      <c r="D24" s="96" t="s">
        <v>1571</v>
      </c>
      <c r="E24" s="69">
        <v>2</v>
      </c>
      <c r="F24" s="123">
        <v>51.97</v>
      </c>
      <c r="G24" s="123">
        <v>60</v>
      </c>
      <c r="H24" s="208">
        <v>120</v>
      </c>
      <c r="I24" s="215"/>
      <c r="J24" s="215"/>
      <c r="K24" s="215">
        <v>120</v>
      </c>
      <c r="L24" s="216">
        <v>103.94</v>
      </c>
    </row>
    <row r="25" spans="1:12" hidden="1">
      <c r="A25" s="209" t="s">
        <v>3846</v>
      </c>
      <c r="B25" s="69" t="s">
        <v>2961</v>
      </c>
      <c r="C25" s="69" t="s">
        <v>3918</v>
      </c>
      <c r="D25" s="96" t="s">
        <v>2962</v>
      </c>
      <c r="E25" s="69">
        <v>1</v>
      </c>
      <c r="F25" s="123">
        <v>90</v>
      </c>
      <c r="G25" s="123">
        <v>120</v>
      </c>
      <c r="H25" s="208">
        <v>120</v>
      </c>
      <c r="I25" s="215"/>
      <c r="J25" s="215">
        <v>20</v>
      </c>
      <c r="K25" s="215">
        <v>100</v>
      </c>
      <c r="L25" s="216">
        <v>90</v>
      </c>
    </row>
    <row r="26" spans="1:12" hidden="1">
      <c r="A26" s="209" t="s">
        <v>3846</v>
      </c>
      <c r="B26" s="69" t="s">
        <v>2068</v>
      </c>
      <c r="C26" s="69" t="s">
        <v>3919</v>
      </c>
      <c r="D26" s="96" t="s">
        <v>2069</v>
      </c>
      <c r="E26" s="69">
        <v>1</v>
      </c>
      <c r="F26" s="123">
        <v>37.5</v>
      </c>
      <c r="G26" s="123">
        <v>43.25</v>
      </c>
      <c r="H26" s="208">
        <v>43.25</v>
      </c>
      <c r="I26" s="215"/>
      <c r="J26" s="215"/>
      <c r="K26" s="215">
        <v>43.25</v>
      </c>
      <c r="L26" s="216">
        <v>37.5</v>
      </c>
    </row>
    <row r="27" spans="1:12" hidden="1">
      <c r="A27" s="209" t="s">
        <v>3846</v>
      </c>
      <c r="B27" s="69" t="s">
        <v>1164</v>
      </c>
      <c r="C27" s="69" t="s">
        <v>3919</v>
      </c>
      <c r="D27" s="96" t="s">
        <v>1165</v>
      </c>
      <c r="E27" s="69">
        <v>1</v>
      </c>
      <c r="F27" s="123">
        <v>21.88</v>
      </c>
      <c r="G27" s="123">
        <v>24.5</v>
      </c>
      <c r="H27" s="208">
        <v>24.5</v>
      </c>
      <c r="I27" s="215"/>
      <c r="J27" s="215"/>
      <c r="K27" s="215">
        <v>24.5</v>
      </c>
      <c r="L27" s="216">
        <v>21.88</v>
      </c>
    </row>
    <row r="28" spans="1:12" hidden="1">
      <c r="A28" s="209" t="s">
        <v>3846</v>
      </c>
      <c r="B28" s="69" t="s">
        <v>1158</v>
      </c>
      <c r="C28" s="69" t="s">
        <v>3919</v>
      </c>
      <c r="D28" s="96" t="s">
        <v>1159</v>
      </c>
      <c r="E28" s="69">
        <v>1</v>
      </c>
      <c r="F28" s="123">
        <v>21.88</v>
      </c>
      <c r="G28" s="123">
        <v>25.25</v>
      </c>
      <c r="H28" s="208">
        <v>25.25</v>
      </c>
      <c r="I28" s="215"/>
      <c r="J28" s="215"/>
      <c r="K28" s="215">
        <v>25.25</v>
      </c>
      <c r="L28" s="216">
        <v>21.88</v>
      </c>
    </row>
    <row r="29" spans="1:12" hidden="1">
      <c r="A29" s="209" t="s">
        <v>3846</v>
      </c>
      <c r="B29" s="69" t="s">
        <v>3726</v>
      </c>
      <c r="C29" s="69" t="s">
        <v>3919</v>
      </c>
      <c r="D29" s="96" t="s">
        <v>3727</v>
      </c>
      <c r="E29" s="69">
        <v>1</v>
      </c>
      <c r="F29" s="123">
        <v>6.03</v>
      </c>
      <c r="G29" s="123">
        <v>7</v>
      </c>
      <c r="H29" s="208">
        <v>7</v>
      </c>
      <c r="I29" s="215"/>
      <c r="J29" s="215"/>
      <c r="K29" s="215">
        <v>7</v>
      </c>
      <c r="L29" s="216">
        <v>6.03</v>
      </c>
    </row>
    <row r="30" spans="1:12" hidden="1">
      <c r="A30" s="209" t="s">
        <v>3846</v>
      </c>
      <c r="B30" s="69" t="s">
        <v>3732</v>
      </c>
      <c r="C30" s="69" t="s">
        <v>3919</v>
      </c>
      <c r="D30" s="96" t="s">
        <v>3635</v>
      </c>
      <c r="E30" s="69">
        <v>1</v>
      </c>
      <c r="F30" s="123">
        <v>6.03</v>
      </c>
      <c r="G30" s="123">
        <v>7</v>
      </c>
      <c r="H30" s="208">
        <v>7</v>
      </c>
      <c r="I30" s="215"/>
      <c r="J30" s="215"/>
      <c r="K30" s="215">
        <v>7</v>
      </c>
      <c r="L30" s="216">
        <v>6.03</v>
      </c>
    </row>
    <row r="31" spans="1:12" hidden="1">
      <c r="A31" s="209" t="s">
        <v>3846</v>
      </c>
      <c r="B31" s="69" t="s">
        <v>3056</v>
      </c>
      <c r="C31" s="69" t="s">
        <v>3919</v>
      </c>
      <c r="D31" s="96" t="s">
        <v>3057</v>
      </c>
      <c r="E31" s="69">
        <v>2</v>
      </c>
      <c r="F31" s="123">
        <v>69.510000000000005</v>
      </c>
      <c r="G31" s="123">
        <v>80</v>
      </c>
      <c r="H31" s="208">
        <v>160</v>
      </c>
      <c r="I31" s="215"/>
      <c r="J31" s="215"/>
      <c r="K31" s="215">
        <v>160</v>
      </c>
      <c r="L31" s="216">
        <v>139.02000000000001</v>
      </c>
    </row>
    <row r="32" spans="1:12" hidden="1">
      <c r="A32" s="209" t="s">
        <v>3846</v>
      </c>
      <c r="B32" s="69" t="s">
        <v>1162</v>
      </c>
      <c r="C32" s="69" t="s">
        <v>3919</v>
      </c>
      <c r="D32" s="96" t="s">
        <v>1163</v>
      </c>
      <c r="E32" s="69">
        <v>1</v>
      </c>
      <c r="F32" s="123">
        <v>21.88</v>
      </c>
      <c r="G32" s="123">
        <v>25.25</v>
      </c>
      <c r="H32" s="208">
        <v>25.25</v>
      </c>
      <c r="I32" s="215"/>
      <c r="J32" s="215"/>
      <c r="K32" s="215">
        <v>25.25</v>
      </c>
      <c r="L32" s="216">
        <v>21.88</v>
      </c>
    </row>
    <row r="33" spans="1:12" hidden="1">
      <c r="A33" s="209" t="s">
        <v>3846</v>
      </c>
      <c r="B33" s="69" t="s">
        <v>296</v>
      </c>
      <c r="C33" s="69" t="s">
        <v>3919</v>
      </c>
      <c r="D33" s="96" t="s">
        <v>297</v>
      </c>
      <c r="E33" s="69">
        <v>2</v>
      </c>
      <c r="F33" s="123">
        <v>7.06</v>
      </c>
      <c r="G33" s="123">
        <v>8.25</v>
      </c>
      <c r="H33" s="208">
        <v>16.5</v>
      </c>
      <c r="I33" s="215"/>
      <c r="J33" s="215"/>
      <c r="K33" s="215">
        <v>16.5</v>
      </c>
      <c r="L33" s="216">
        <v>14.12</v>
      </c>
    </row>
    <row r="34" spans="1:12" hidden="1">
      <c r="A34" s="209" t="s">
        <v>3846</v>
      </c>
      <c r="B34" s="69" t="s">
        <v>2469</v>
      </c>
      <c r="C34" s="69" t="s">
        <v>3920</v>
      </c>
      <c r="D34" s="96" t="s">
        <v>2470</v>
      </c>
      <c r="E34" s="69">
        <v>1</v>
      </c>
      <c r="F34" s="123">
        <v>160.51</v>
      </c>
      <c r="G34" s="123">
        <v>184.75</v>
      </c>
      <c r="H34" s="208">
        <v>184.75</v>
      </c>
      <c r="I34" s="215"/>
      <c r="J34" s="215"/>
      <c r="K34" s="215">
        <v>184.75</v>
      </c>
      <c r="L34" s="216">
        <v>160.51</v>
      </c>
    </row>
    <row r="35" spans="1:12" hidden="1">
      <c r="A35" s="209" t="s">
        <v>3846</v>
      </c>
      <c r="B35" s="69" t="s">
        <v>2195</v>
      </c>
      <c r="C35" s="69" t="s">
        <v>3920</v>
      </c>
      <c r="D35" s="96" t="s">
        <v>2196</v>
      </c>
      <c r="E35" s="69">
        <v>2</v>
      </c>
      <c r="F35" s="123">
        <v>19.61</v>
      </c>
      <c r="G35" s="123">
        <v>22.75</v>
      </c>
      <c r="H35" s="208">
        <v>45.5</v>
      </c>
      <c r="I35" s="215"/>
      <c r="J35" s="215"/>
      <c r="K35" s="215">
        <v>45.5</v>
      </c>
      <c r="L35" s="216">
        <v>39.22</v>
      </c>
    </row>
    <row r="36" spans="1:12" hidden="1">
      <c r="A36" s="209" t="s">
        <v>3846</v>
      </c>
      <c r="B36" s="69" t="s">
        <v>3715</v>
      </c>
      <c r="C36" s="69" t="s">
        <v>3921</v>
      </c>
      <c r="D36" s="96" t="s">
        <v>52</v>
      </c>
      <c r="E36" s="69">
        <v>1</v>
      </c>
      <c r="F36" s="123">
        <v>16.03</v>
      </c>
      <c r="G36" s="123">
        <v>18.5</v>
      </c>
      <c r="H36" s="208">
        <v>18.5</v>
      </c>
      <c r="I36" s="215"/>
      <c r="J36" s="215"/>
      <c r="K36" s="215">
        <v>18.5</v>
      </c>
      <c r="L36" s="216">
        <v>16.03</v>
      </c>
    </row>
    <row r="37" spans="1:12" hidden="1">
      <c r="A37" s="209" t="s">
        <v>3846</v>
      </c>
      <c r="B37" s="69" t="s">
        <v>196</v>
      </c>
      <c r="C37" s="69" t="s">
        <v>3922</v>
      </c>
      <c r="D37" s="96" t="s">
        <v>197</v>
      </c>
      <c r="E37" s="69">
        <v>1</v>
      </c>
      <c r="F37" s="123">
        <v>7.62</v>
      </c>
      <c r="G37" s="123">
        <v>8.75</v>
      </c>
      <c r="H37" s="208">
        <v>8.75</v>
      </c>
      <c r="I37" s="215"/>
      <c r="J37" s="215"/>
      <c r="K37" s="215">
        <v>8.75</v>
      </c>
      <c r="L37" s="216">
        <v>7.62</v>
      </c>
    </row>
    <row r="38" spans="1:12" hidden="1">
      <c r="A38" s="209" t="s">
        <v>3846</v>
      </c>
      <c r="B38" s="69" t="s">
        <v>740</v>
      </c>
      <c r="C38" s="69" t="s">
        <v>3923</v>
      </c>
      <c r="D38" s="96" t="s">
        <v>741</v>
      </c>
      <c r="E38" s="69">
        <v>2</v>
      </c>
      <c r="F38" s="123">
        <v>23.63</v>
      </c>
      <c r="G38" s="123">
        <v>27.25</v>
      </c>
      <c r="H38" s="208">
        <v>54.5</v>
      </c>
      <c r="I38" s="215"/>
      <c r="J38" s="215"/>
      <c r="K38" s="215">
        <v>54.5</v>
      </c>
      <c r="L38" s="216">
        <v>47.26</v>
      </c>
    </row>
    <row r="39" spans="1:12" hidden="1">
      <c r="A39" s="209" t="s">
        <v>3846</v>
      </c>
      <c r="B39" s="69" t="s">
        <v>375</v>
      </c>
      <c r="C39" s="69" t="s">
        <v>3923</v>
      </c>
      <c r="D39" s="96" t="s">
        <v>376</v>
      </c>
      <c r="E39" s="69">
        <v>2</v>
      </c>
      <c r="F39" s="123">
        <v>44.8</v>
      </c>
      <c r="G39" s="123">
        <v>51.75</v>
      </c>
      <c r="H39" s="208">
        <v>103.5</v>
      </c>
      <c r="I39" s="215"/>
      <c r="J39" s="215"/>
      <c r="K39" s="215">
        <v>103.5</v>
      </c>
      <c r="L39" s="216">
        <v>89.6</v>
      </c>
    </row>
    <row r="40" spans="1:12" hidden="1">
      <c r="A40" s="209" t="s">
        <v>3846</v>
      </c>
      <c r="B40" s="69" t="s">
        <v>3810</v>
      </c>
      <c r="C40" s="69" t="s">
        <v>3923</v>
      </c>
      <c r="D40" s="96" t="s">
        <v>3797</v>
      </c>
      <c r="E40" s="69">
        <v>1</v>
      </c>
      <c r="F40" s="123">
        <v>61.5</v>
      </c>
      <c r="G40" s="123">
        <v>70.75</v>
      </c>
      <c r="H40" s="208">
        <v>70.75</v>
      </c>
      <c r="I40" s="215"/>
      <c r="J40" s="215"/>
      <c r="K40" s="215">
        <v>70.75</v>
      </c>
      <c r="L40" s="216">
        <v>61.5</v>
      </c>
    </row>
    <row r="41" spans="1:12" hidden="1">
      <c r="A41" s="209" t="s">
        <v>3846</v>
      </c>
      <c r="B41" s="69" t="s">
        <v>652</v>
      </c>
      <c r="C41" s="69" t="s">
        <v>3923</v>
      </c>
      <c r="D41" s="96" t="s">
        <v>653</v>
      </c>
      <c r="E41" s="69">
        <v>1</v>
      </c>
      <c r="F41" s="123">
        <v>57.95</v>
      </c>
      <c r="G41" s="123">
        <v>73.25</v>
      </c>
      <c r="H41" s="208">
        <v>73.25</v>
      </c>
      <c r="I41" s="215"/>
      <c r="J41" s="215"/>
      <c r="K41" s="215">
        <v>73.25</v>
      </c>
      <c r="L41" s="216">
        <v>57.95</v>
      </c>
    </row>
    <row r="42" spans="1:12" hidden="1">
      <c r="A42" s="209" t="s">
        <v>3846</v>
      </c>
      <c r="B42" s="69" t="s">
        <v>196</v>
      </c>
      <c r="C42" s="69" t="s">
        <v>3924</v>
      </c>
      <c r="D42" s="96" t="s">
        <v>197</v>
      </c>
      <c r="E42" s="69">
        <v>1</v>
      </c>
      <c r="F42" s="123">
        <v>7.62</v>
      </c>
      <c r="G42" s="123">
        <v>8.75</v>
      </c>
      <c r="H42" s="208">
        <v>8.75</v>
      </c>
      <c r="I42" s="215"/>
      <c r="J42" s="215"/>
      <c r="K42" s="215">
        <v>8.75</v>
      </c>
      <c r="L42" s="216">
        <v>7.62</v>
      </c>
    </row>
    <row r="43" spans="1:12" hidden="1">
      <c r="A43" s="209" t="s">
        <v>3846</v>
      </c>
      <c r="B43" s="69" t="s">
        <v>2144</v>
      </c>
      <c r="C43" s="69" t="s">
        <v>3924</v>
      </c>
      <c r="D43" s="96" t="s">
        <v>2145</v>
      </c>
      <c r="E43" s="69">
        <v>2</v>
      </c>
      <c r="F43" s="123">
        <v>6.73</v>
      </c>
      <c r="G43" s="123">
        <v>7.75</v>
      </c>
      <c r="H43" s="208">
        <v>15.5</v>
      </c>
      <c r="I43" s="215"/>
      <c r="J43" s="215"/>
      <c r="K43" s="215">
        <v>15.5</v>
      </c>
      <c r="L43" s="216">
        <v>13.46</v>
      </c>
    </row>
    <row r="44" spans="1:12" hidden="1">
      <c r="A44" s="209" t="s">
        <v>3846</v>
      </c>
      <c r="B44" s="69" t="s">
        <v>1009</v>
      </c>
      <c r="C44" s="69" t="s">
        <v>3925</v>
      </c>
      <c r="D44" s="96" t="s">
        <v>1010</v>
      </c>
      <c r="E44" s="69">
        <v>1</v>
      </c>
      <c r="F44" s="123">
        <v>10.64</v>
      </c>
      <c r="G44" s="123">
        <v>12.25</v>
      </c>
      <c r="H44" s="208">
        <v>12.25</v>
      </c>
      <c r="I44" s="215"/>
      <c r="J44" s="215"/>
      <c r="K44" s="215">
        <v>12.25</v>
      </c>
      <c r="L44" s="216">
        <v>10.64</v>
      </c>
    </row>
    <row r="45" spans="1:12" hidden="1">
      <c r="A45" s="209" t="s">
        <v>3846</v>
      </c>
      <c r="B45" s="69" t="s">
        <v>858</v>
      </c>
      <c r="C45" s="69" t="s">
        <v>3925</v>
      </c>
      <c r="D45" s="96" t="s">
        <v>859</v>
      </c>
      <c r="E45" s="69">
        <v>1</v>
      </c>
      <c r="F45" s="123">
        <v>7.85</v>
      </c>
      <c r="G45" s="123">
        <v>12</v>
      </c>
      <c r="H45" s="208">
        <v>12</v>
      </c>
      <c r="I45" s="215"/>
      <c r="J45" s="215"/>
      <c r="K45" s="215">
        <v>12</v>
      </c>
      <c r="L45" s="216">
        <v>7.85</v>
      </c>
    </row>
    <row r="46" spans="1:12" hidden="1">
      <c r="A46" s="209" t="s">
        <v>3846</v>
      </c>
      <c r="B46" s="69" t="s">
        <v>919</v>
      </c>
      <c r="C46" s="69" t="s">
        <v>3925</v>
      </c>
      <c r="D46" s="96" t="s">
        <v>920</v>
      </c>
      <c r="E46" s="69">
        <v>1</v>
      </c>
      <c r="F46" s="123">
        <v>12.66</v>
      </c>
      <c r="G46" s="123">
        <v>14.25</v>
      </c>
      <c r="H46" s="208">
        <v>14.25</v>
      </c>
      <c r="I46" s="215"/>
      <c r="J46" s="215"/>
      <c r="K46" s="215">
        <v>14.25</v>
      </c>
      <c r="L46" s="216">
        <v>12.66</v>
      </c>
    </row>
    <row r="47" spans="1:12" hidden="1">
      <c r="A47" s="209" t="s">
        <v>3846</v>
      </c>
      <c r="B47" s="69" t="s">
        <v>3733</v>
      </c>
      <c r="C47" s="69" t="s">
        <v>3926</v>
      </c>
      <c r="D47" s="96" t="s">
        <v>3734</v>
      </c>
      <c r="E47" s="69">
        <v>4</v>
      </c>
      <c r="F47" s="123">
        <v>20.399999999999999</v>
      </c>
      <c r="G47" s="123">
        <v>23.46</v>
      </c>
      <c r="H47" s="208">
        <v>93.84</v>
      </c>
      <c r="I47" s="215"/>
      <c r="J47" s="215"/>
      <c r="K47" s="215">
        <v>93.84</v>
      </c>
      <c r="L47" s="216">
        <v>81.599999999999994</v>
      </c>
    </row>
    <row r="48" spans="1:12" hidden="1">
      <c r="A48" s="209" t="s">
        <v>3846</v>
      </c>
      <c r="B48" s="69" t="s">
        <v>3231</v>
      </c>
      <c r="C48" s="69" t="s">
        <v>3927</v>
      </c>
      <c r="D48" s="96" t="s">
        <v>3232</v>
      </c>
      <c r="E48" s="69">
        <v>1</v>
      </c>
      <c r="F48" s="123">
        <v>28.25</v>
      </c>
      <c r="G48" s="123">
        <v>32.5</v>
      </c>
      <c r="H48" s="208">
        <v>32.5</v>
      </c>
      <c r="I48" s="215"/>
      <c r="J48" s="215"/>
      <c r="K48" s="215">
        <v>32.5</v>
      </c>
      <c r="L48" s="216">
        <v>28.25</v>
      </c>
    </row>
    <row r="49" spans="1:12" hidden="1">
      <c r="A49" s="209" t="s">
        <v>3846</v>
      </c>
      <c r="B49" s="69" t="s">
        <v>3759</v>
      </c>
      <c r="C49" s="69" t="s">
        <v>3928</v>
      </c>
      <c r="D49" s="96" t="s">
        <v>3760</v>
      </c>
      <c r="E49" s="69">
        <v>4</v>
      </c>
      <c r="F49" s="123">
        <v>3.22</v>
      </c>
      <c r="G49" s="123">
        <v>5</v>
      </c>
      <c r="H49" s="208">
        <v>20</v>
      </c>
      <c r="I49" s="215"/>
      <c r="J49" s="215"/>
      <c r="K49" s="215">
        <v>20</v>
      </c>
      <c r="L49" s="216">
        <v>12.88</v>
      </c>
    </row>
    <row r="50" spans="1:12" hidden="1">
      <c r="A50" s="209" t="s">
        <v>3846</v>
      </c>
      <c r="B50" s="69" t="s">
        <v>102</v>
      </c>
      <c r="C50" s="69" t="s">
        <v>3928</v>
      </c>
      <c r="D50" s="96" t="s">
        <v>103</v>
      </c>
      <c r="E50" s="69">
        <v>1</v>
      </c>
      <c r="F50" s="123">
        <v>7.06</v>
      </c>
      <c r="G50" s="123">
        <v>8.25</v>
      </c>
      <c r="H50" s="208">
        <v>8.25</v>
      </c>
      <c r="I50" s="215"/>
      <c r="J50" s="215"/>
      <c r="K50" s="215">
        <v>8.25</v>
      </c>
      <c r="L50" s="216">
        <v>7.06</v>
      </c>
    </row>
    <row r="51" spans="1:12" hidden="1">
      <c r="A51" s="209" t="s">
        <v>3846</v>
      </c>
      <c r="B51" s="69" t="s">
        <v>3755</v>
      </c>
      <c r="C51" s="69" t="s">
        <v>3929</v>
      </c>
      <c r="D51" s="96" t="s">
        <v>3756</v>
      </c>
      <c r="E51" s="69">
        <v>1</v>
      </c>
      <c r="F51" s="123">
        <v>6.4</v>
      </c>
      <c r="G51" s="123">
        <v>7.5</v>
      </c>
      <c r="H51" s="208">
        <v>7.5</v>
      </c>
      <c r="I51" s="215"/>
      <c r="J51" s="215"/>
      <c r="K51" s="215">
        <v>7.5</v>
      </c>
      <c r="L51" s="216">
        <v>6.4</v>
      </c>
    </row>
    <row r="52" spans="1:12" hidden="1">
      <c r="A52" s="209" t="s">
        <v>3846</v>
      </c>
      <c r="B52" s="69" t="s">
        <v>1016</v>
      </c>
      <c r="C52" s="69" t="s">
        <v>3929</v>
      </c>
      <c r="D52" s="96" t="s">
        <v>1017</v>
      </c>
      <c r="E52" s="69">
        <v>1</v>
      </c>
      <c r="F52" s="123">
        <v>61.93</v>
      </c>
      <c r="G52" s="123">
        <v>71.25</v>
      </c>
      <c r="H52" s="208">
        <v>71.25</v>
      </c>
      <c r="I52" s="215"/>
      <c r="J52" s="215"/>
      <c r="K52" s="215">
        <v>71.25</v>
      </c>
      <c r="L52" s="216">
        <v>61.93</v>
      </c>
    </row>
    <row r="53" spans="1:12" hidden="1">
      <c r="A53" s="209" t="s">
        <v>3847</v>
      </c>
      <c r="B53" s="69" t="s">
        <v>1139</v>
      </c>
      <c r="C53" s="69" t="s">
        <v>3930</v>
      </c>
      <c r="D53" s="96" t="s">
        <v>1140</v>
      </c>
      <c r="E53" s="69">
        <v>4</v>
      </c>
      <c r="F53" s="123">
        <v>14</v>
      </c>
      <c r="G53" s="123">
        <v>16</v>
      </c>
      <c r="H53" s="208">
        <v>64</v>
      </c>
      <c r="I53" s="215"/>
      <c r="J53" s="215"/>
      <c r="K53" s="215">
        <v>64</v>
      </c>
      <c r="L53" s="216">
        <v>56</v>
      </c>
    </row>
    <row r="54" spans="1:12" hidden="1">
      <c r="A54" s="209" t="s">
        <v>3847</v>
      </c>
      <c r="B54" s="69" t="s">
        <v>742</v>
      </c>
      <c r="C54" s="69" t="s">
        <v>3930</v>
      </c>
      <c r="D54" s="96" t="s">
        <v>743</v>
      </c>
      <c r="E54" s="69">
        <v>1</v>
      </c>
      <c r="F54" s="123">
        <v>22.19</v>
      </c>
      <c r="G54" s="123">
        <v>25.75</v>
      </c>
      <c r="H54" s="208">
        <v>25.75</v>
      </c>
      <c r="I54" s="215"/>
      <c r="J54" s="215"/>
      <c r="K54" s="215">
        <v>25.75</v>
      </c>
      <c r="L54" s="216">
        <v>22.19</v>
      </c>
    </row>
    <row r="55" spans="1:12" hidden="1">
      <c r="A55" s="209" t="s">
        <v>3847</v>
      </c>
      <c r="B55" s="69" t="s">
        <v>269</v>
      </c>
      <c r="C55" s="69" t="s">
        <v>3931</v>
      </c>
      <c r="D55" s="96" t="s">
        <v>270</v>
      </c>
      <c r="E55" s="69">
        <v>1</v>
      </c>
      <c r="F55" s="123">
        <v>15.12</v>
      </c>
      <c r="G55" s="123">
        <v>17.5</v>
      </c>
      <c r="H55" s="208">
        <v>17.5</v>
      </c>
      <c r="I55" s="215"/>
      <c r="J55" s="215"/>
      <c r="K55" s="215">
        <v>17.5</v>
      </c>
      <c r="L55" s="216">
        <v>15.12</v>
      </c>
    </row>
    <row r="56" spans="1:12" hidden="1">
      <c r="A56" s="209" t="s">
        <v>3847</v>
      </c>
      <c r="B56" s="69" t="s">
        <v>53</v>
      </c>
      <c r="C56" s="69" t="s">
        <v>3932</v>
      </c>
      <c r="D56" s="96" t="s">
        <v>54</v>
      </c>
      <c r="E56" s="69">
        <v>1</v>
      </c>
      <c r="F56" s="123">
        <v>16.03</v>
      </c>
      <c r="G56" s="123">
        <v>18.5</v>
      </c>
      <c r="H56" s="208">
        <v>18.5</v>
      </c>
      <c r="I56" s="215"/>
      <c r="J56" s="215"/>
      <c r="K56" s="215">
        <v>18.5</v>
      </c>
      <c r="L56" s="216">
        <v>16.03</v>
      </c>
    </row>
    <row r="57" spans="1:12" hidden="1">
      <c r="A57" s="209" t="s">
        <v>3847</v>
      </c>
      <c r="B57" s="69" t="s">
        <v>377</v>
      </c>
      <c r="C57" s="69" t="s">
        <v>3933</v>
      </c>
      <c r="D57" s="96" t="s">
        <v>378</v>
      </c>
      <c r="E57" s="69">
        <v>1</v>
      </c>
      <c r="F57" s="123">
        <v>44.8</v>
      </c>
      <c r="G57" s="123">
        <v>51.75</v>
      </c>
      <c r="H57" s="208">
        <v>51.75</v>
      </c>
      <c r="I57" s="215"/>
      <c r="J57" s="215"/>
      <c r="K57" s="215">
        <v>51.75</v>
      </c>
      <c r="L57" s="216">
        <v>44.8</v>
      </c>
    </row>
    <row r="58" spans="1:12" hidden="1">
      <c r="A58" s="209" t="s">
        <v>3847</v>
      </c>
      <c r="B58" s="69" t="s">
        <v>1172</v>
      </c>
      <c r="C58" s="69" t="s">
        <v>3933</v>
      </c>
      <c r="D58" s="96" t="s">
        <v>1173</v>
      </c>
      <c r="E58" s="69">
        <v>2</v>
      </c>
      <c r="F58" s="123">
        <v>13.1</v>
      </c>
      <c r="G58" s="123">
        <v>15</v>
      </c>
      <c r="H58" s="208">
        <v>30</v>
      </c>
      <c r="I58" s="215"/>
      <c r="J58" s="215"/>
      <c r="K58" s="215">
        <v>30</v>
      </c>
      <c r="L58" s="216">
        <v>26.2</v>
      </c>
    </row>
    <row r="59" spans="1:12" hidden="1">
      <c r="A59" s="209" t="s">
        <v>3847</v>
      </c>
      <c r="B59" s="69" t="s">
        <v>1954</v>
      </c>
      <c r="C59" s="69" t="s">
        <v>3933</v>
      </c>
      <c r="D59" s="96" t="s">
        <v>1955</v>
      </c>
      <c r="E59" s="69">
        <v>6</v>
      </c>
      <c r="F59" s="123">
        <v>6.92</v>
      </c>
      <c r="G59" s="123">
        <v>7.75</v>
      </c>
      <c r="H59" s="208">
        <v>46.5</v>
      </c>
      <c r="I59" s="215"/>
      <c r="J59" s="215"/>
      <c r="K59" s="215">
        <v>46.5</v>
      </c>
      <c r="L59" s="216">
        <v>41.519999999999996</v>
      </c>
    </row>
    <row r="60" spans="1:12" hidden="1">
      <c r="A60" s="209" t="s">
        <v>3847</v>
      </c>
      <c r="B60" s="69" t="s">
        <v>2303</v>
      </c>
      <c r="C60" s="69" t="s">
        <v>3934</v>
      </c>
      <c r="D60" s="96" t="s">
        <v>2304</v>
      </c>
      <c r="E60" s="69">
        <v>1</v>
      </c>
      <c r="F60" s="123">
        <v>56.66</v>
      </c>
      <c r="G60" s="123">
        <v>65.25</v>
      </c>
      <c r="H60" s="208">
        <v>65.25</v>
      </c>
      <c r="I60" s="215"/>
      <c r="J60" s="215"/>
      <c r="K60" s="215">
        <v>65.25</v>
      </c>
      <c r="L60" s="216">
        <v>56.66</v>
      </c>
    </row>
    <row r="61" spans="1:12" hidden="1">
      <c r="A61" s="209" t="s">
        <v>3847</v>
      </c>
      <c r="B61" s="69" t="s">
        <v>893</v>
      </c>
      <c r="C61" s="69" t="s">
        <v>3934</v>
      </c>
      <c r="D61" s="96" t="s">
        <v>894</v>
      </c>
      <c r="E61" s="69">
        <v>1</v>
      </c>
      <c r="F61" s="123">
        <v>96.67</v>
      </c>
      <c r="G61" s="123">
        <v>111.25</v>
      </c>
      <c r="H61" s="208">
        <v>111.25</v>
      </c>
      <c r="I61" s="215"/>
      <c r="J61" s="215"/>
      <c r="K61" s="215">
        <v>111.25</v>
      </c>
      <c r="L61" s="216">
        <v>96.67</v>
      </c>
    </row>
    <row r="62" spans="1:12" hidden="1">
      <c r="A62" s="209" t="s">
        <v>3847</v>
      </c>
      <c r="B62" s="69" t="s">
        <v>371</v>
      </c>
      <c r="C62" s="69" t="s">
        <v>3934</v>
      </c>
      <c r="D62" s="96" t="s">
        <v>372</v>
      </c>
      <c r="E62" s="69">
        <v>1</v>
      </c>
      <c r="F62" s="123">
        <v>57.25</v>
      </c>
      <c r="G62" s="123">
        <v>66</v>
      </c>
      <c r="H62" s="208">
        <v>66</v>
      </c>
      <c r="I62" s="215"/>
      <c r="J62" s="215"/>
      <c r="K62" s="215">
        <v>66</v>
      </c>
      <c r="L62" s="216">
        <v>57.25</v>
      </c>
    </row>
    <row r="63" spans="1:12" hidden="1">
      <c r="A63" s="209" t="s">
        <v>3847</v>
      </c>
      <c r="B63" s="69" t="s">
        <v>377</v>
      </c>
      <c r="C63" s="69" t="s">
        <v>3934</v>
      </c>
      <c r="D63" s="96" t="s">
        <v>378</v>
      </c>
      <c r="E63" s="69">
        <v>1</v>
      </c>
      <c r="F63" s="123">
        <v>44.8</v>
      </c>
      <c r="G63" s="123">
        <v>51.75</v>
      </c>
      <c r="H63" s="208">
        <v>51.75</v>
      </c>
      <c r="I63" s="215"/>
      <c r="J63" s="215"/>
      <c r="K63" s="215">
        <v>51.75</v>
      </c>
      <c r="L63" s="216">
        <v>44.8</v>
      </c>
    </row>
    <row r="64" spans="1:12" hidden="1">
      <c r="A64" s="209" t="s">
        <v>3847</v>
      </c>
      <c r="B64" s="69" t="s">
        <v>2263</v>
      </c>
      <c r="C64" s="69" t="s">
        <v>3934</v>
      </c>
      <c r="D64" s="96" t="s">
        <v>2264</v>
      </c>
      <c r="E64" s="69">
        <v>1</v>
      </c>
      <c r="F64" s="123">
        <v>27</v>
      </c>
      <c r="G64" s="123">
        <v>31.25</v>
      </c>
      <c r="H64" s="208">
        <v>31.25</v>
      </c>
      <c r="I64" s="215"/>
      <c r="J64" s="215"/>
      <c r="K64" s="215">
        <v>31.25</v>
      </c>
      <c r="L64" s="216">
        <v>27</v>
      </c>
    </row>
    <row r="65" spans="1:12" hidden="1">
      <c r="A65" s="209" t="s">
        <v>3847</v>
      </c>
      <c r="B65" s="69" t="s">
        <v>1164</v>
      </c>
      <c r="C65" s="69" t="s">
        <v>3935</v>
      </c>
      <c r="D65" s="96" t="s">
        <v>1165</v>
      </c>
      <c r="E65" s="69">
        <v>1</v>
      </c>
      <c r="F65" s="123">
        <v>21.88</v>
      </c>
      <c r="G65" s="123">
        <v>24.5</v>
      </c>
      <c r="H65" s="208">
        <v>24.5</v>
      </c>
      <c r="I65" s="215"/>
      <c r="J65" s="215"/>
      <c r="K65" s="215">
        <v>24.5</v>
      </c>
      <c r="L65" s="216">
        <v>21.88</v>
      </c>
    </row>
    <row r="66" spans="1:12" hidden="1">
      <c r="A66" s="209" t="s">
        <v>3847</v>
      </c>
      <c r="B66" s="69" t="s">
        <v>408</v>
      </c>
      <c r="C66" s="69" t="s">
        <v>3935</v>
      </c>
      <c r="D66" s="96" t="s">
        <v>409</v>
      </c>
      <c r="E66" s="69">
        <v>1</v>
      </c>
      <c r="F66" s="123">
        <v>20.68</v>
      </c>
      <c r="G66" s="123">
        <v>24</v>
      </c>
      <c r="H66" s="208">
        <v>24</v>
      </c>
      <c r="I66" s="215"/>
      <c r="J66" s="215"/>
      <c r="K66" s="215">
        <v>24</v>
      </c>
      <c r="L66" s="216">
        <v>20.68</v>
      </c>
    </row>
    <row r="67" spans="1:12" hidden="1">
      <c r="A67" s="209" t="s">
        <v>3847</v>
      </c>
      <c r="B67" s="69" t="s">
        <v>1409</v>
      </c>
      <c r="C67" s="69" t="s">
        <v>3936</v>
      </c>
      <c r="D67" s="96" t="s">
        <v>1410</v>
      </c>
      <c r="E67" s="69">
        <v>1</v>
      </c>
      <c r="F67" s="123">
        <v>29</v>
      </c>
      <c r="G67" s="123">
        <v>33.75</v>
      </c>
      <c r="H67" s="208">
        <v>33.75</v>
      </c>
      <c r="I67" s="215"/>
      <c r="J67" s="215"/>
      <c r="K67" s="215">
        <v>33.75</v>
      </c>
      <c r="L67" s="216">
        <v>29</v>
      </c>
    </row>
    <row r="68" spans="1:12" hidden="1">
      <c r="A68" s="209" t="s">
        <v>3847</v>
      </c>
      <c r="B68" s="69" t="s">
        <v>1403</v>
      </c>
      <c r="C68" s="69" t="s">
        <v>3937</v>
      </c>
      <c r="D68" s="96" t="s">
        <v>1404</v>
      </c>
      <c r="E68" s="69">
        <v>1</v>
      </c>
      <c r="F68" s="123">
        <v>61.5</v>
      </c>
      <c r="G68" s="123">
        <v>66.5</v>
      </c>
      <c r="H68" s="208">
        <v>66.5</v>
      </c>
      <c r="I68" s="215"/>
      <c r="J68" s="215"/>
      <c r="K68" s="215">
        <v>66.5</v>
      </c>
      <c r="L68" s="216">
        <v>61.5</v>
      </c>
    </row>
    <row r="69" spans="1:12" hidden="1">
      <c r="A69" s="209" t="s">
        <v>3847</v>
      </c>
      <c r="B69" s="69" t="s">
        <v>1497</v>
      </c>
      <c r="C69" s="69" t="s">
        <v>3937</v>
      </c>
      <c r="D69" s="96" t="s">
        <v>1498</v>
      </c>
      <c r="E69" s="69">
        <v>2</v>
      </c>
      <c r="F69" s="123">
        <v>65.95</v>
      </c>
      <c r="G69" s="123">
        <v>76</v>
      </c>
      <c r="H69" s="208">
        <v>152</v>
      </c>
      <c r="I69" s="215"/>
      <c r="J69" s="215"/>
      <c r="K69" s="215">
        <v>152</v>
      </c>
      <c r="L69" s="216">
        <v>131.9</v>
      </c>
    </row>
    <row r="70" spans="1:12" hidden="1">
      <c r="A70" s="209" t="s">
        <v>3847</v>
      </c>
      <c r="B70" s="69" t="s">
        <v>68</v>
      </c>
      <c r="C70" s="69" t="s">
        <v>3938</v>
      </c>
      <c r="D70" s="96" t="s">
        <v>69</v>
      </c>
      <c r="E70" s="69">
        <v>1</v>
      </c>
      <c r="F70" s="123">
        <v>18.53</v>
      </c>
      <c r="G70" s="123">
        <v>21.5</v>
      </c>
      <c r="H70" s="208">
        <v>21.5</v>
      </c>
      <c r="I70" s="215"/>
      <c r="J70" s="215"/>
      <c r="K70" s="215">
        <v>21.5</v>
      </c>
      <c r="L70" s="216">
        <v>18.53</v>
      </c>
    </row>
    <row r="71" spans="1:12" hidden="1">
      <c r="A71" s="209" t="s">
        <v>3847</v>
      </c>
      <c r="B71" s="69" t="s">
        <v>695</v>
      </c>
      <c r="C71" s="69" t="s">
        <v>3939</v>
      </c>
      <c r="D71" s="96" t="s">
        <v>696</v>
      </c>
      <c r="E71" s="69">
        <v>1</v>
      </c>
      <c r="F71" s="123">
        <v>8.3800000000000008</v>
      </c>
      <c r="G71" s="123">
        <v>9.75</v>
      </c>
      <c r="H71" s="208">
        <v>9.75</v>
      </c>
      <c r="I71" s="215"/>
      <c r="J71" s="215"/>
      <c r="K71" s="215">
        <v>9.75</v>
      </c>
      <c r="L71" s="216">
        <v>8.3800000000000008</v>
      </c>
    </row>
    <row r="72" spans="1:12" hidden="1">
      <c r="A72" s="209" t="s">
        <v>3847</v>
      </c>
      <c r="B72" s="69" t="s">
        <v>3724</v>
      </c>
      <c r="C72" s="69" t="s">
        <v>3940</v>
      </c>
      <c r="D72" s="96" t="s">
        <v>3725</v>
      </c>
      <c r="E72" s="69">
        <v>1</v>
      </c>
      <c r="F72" s="123">
        <v>14.82</v>
      </c>
      <c r="G72" s="123">
        <v>17.25</v>
      </c>
      <c r="H72" s="208">
        <v>17.25</v>
      </c>
      <c r="I72" s="215"/>
      <c r="J72" s="215"/>
      <c r="K72" s="215">
        <v>17.25</v>
      </c>
      <c r="L72" s="216">
        <v>14.82</v>
      </c>
    </row>
    <row r="73" spans="1:12" hidden="1">
      <c r="A73" s="209" t="s">
        <v>3847</v>
      </c>
      <c r="B73" s="69" t="s">
        <v>3745</v>
      </c>
      <c r="C73" s="69" t="s">
        <v>3941</v>
      </c>
      <c r="D73" s="96" t="s">
        <v>3746</v>
      </c>
      <c r="E73" s="69">
        <v>1</v>
      </c>
      <c r="F73" s="123">
        <v>14.5</v>
      </c>
      <c r="G73" s="123">
        <v>16.75</v>
      </c>
      <c r="H73" s="208">
        <v>16.75</v>
      </c>
      <c r="I73" s="215"/>
      <c r="J73" s="215"/>
      <c r="K73" s="215">
        <v>16.75</v>
      </c>
      <c r="L73" s="216">
        <v>14.5</v>
      </c>
    </row>
    <row r="74" spans="1:12" hidden="1">
      <c r="A74" s="209" t="s">
        <v>3847</v>
      </c>
      <c r="B74" s="69" t="s">
        <v>677</v>
      </c>
      <c r="C74" s="69" t="s">
        <v>3942</v>
      </c>
      <c r="D74" s="96" t="s">
        <v>678</v>
      </c>
      <c r="E74" s="69">
        <v>1</v>
      </c>
      <c r="F74" s="123">
        <v>49.1</v>
      </c>
      <c r="G74" s="123">
        <v>56.5</v>
      </c>
      <c r="H74" s="208">
        <v>56.5</v>
      </c>
      <c r="I74" s="215"/>
      <c r="J74" s="215"/>
      <c r="K74" s="215">
        <v>56.5</v>
      </c>
      <c r="L74" s="216">
        <v>49.1</v>
      </c>
    </row>
    <row r="75" spans="1:12" hidden="1">
      <c r="A75" s="209" t="s">
        <v>3847</v>
      </c>
      <c r="B75" s="69" t="s">
        <v>355</v>
      </c>
      <c r="C75" s="69" t="s">
        <v>3942</v>
      </c>
      <c r="D75" s="96" t="s">
        <v>356</v>
      </c>
      <c r="E75" s="69">
        <v>4</v>
      </c>
      <c r="F75" s="123">
        <v>7.48</v>
      </c>
      <c r="G75" s="123">
        <v>8.75</v>
      </c>
      <c r="H75" s="208">
        <v>35</v>
      </c>
      <c r="I75" s="215"/>
      <c r="J75" s="215"/>
      <c r="K75" s="215">
        <v>35</v>
      </c>
      <c r="L75" s="216">
        <v>29.92</v>
      </c>
    </row>
    <row r="76" spans="1:12" hidden="1">
      <c r="A76" s="209" t="s">
        <v>3847</v>
      </c>
      <c r="B76" s="69" t="s">
        <v>394</v>
      </c>
      <c r="C76" s="69" t="s">
        <v>3942</v>
      </c>
      <c r="D76" s="96" t="s">
        <v>395</v>
      </c>
      <c r="E76" s="69">
        <v>2</v>
      </c>
      <c r="F76" s="123">
        <v>7.48</v>
      </c>
      <c r="G76" s="123">
        <v>8.75</v>
      </c>
      <c r="H76" s="208">
        <v>17.5</v>
      </c>
      <c r="I76" s="215"/>
      <c r="J76" s="215"/>
      <c r="K76" s="215">
        <v>17.5</v>
      </c>
      <c r="L76" s="216">
        <v>14.96</v>
      </c>
    </row>
    <row r="77" spans="1:12" hidden="1">
      <c r="A77" s="209" t="s">
        <v>3847</v>
      </c>
      <c r="B77" s="69" t="s">
        <v>515</v>
      </c>
      <c r="C77" s="69" t="s">
        <v>3942</v>
      </c>
      <c r="D77" s="96" t="s">
        <v>516</v>
      </c>
      <c r="E77" s="69">
        <v>1</v>
      </c>
      <c r="F77" s="123">
        <v>40.06</v>
      </c>
      <c r="G77" s="123">
        <v>46.25</v>
      </c>
      <c r="H77" s="208">
        <v>46.25</v>
      </c>
      <c r="I77" s="215"/>
      <c r="J77" s="215"/>
      <c r="K77" s="215">
        <v>46.25</v>
      </c>
      <c r="L77" s="216">
        <v>40.06</v>
      </c>
    </row>
    <row r="78" spans="1:12" hidden="1">
      <c r="A78" s="209" t="s">
        <v>3847</v>
      </c>
      <c r="B78" s="69" t="s">
        <v>2595</v>
      </c>
      <c r="C78" s="69" t="s">
        <v>3943</v>
      </c>
      <c r="D78" s="96" t="s">
        <v>2596</v>
      </c>
      <c r="E78" s="69">
        <v>6</v>
      </c>
      <c r="F78" s="123">
        <v>6.38</v>
      </c>
      <c r="G78" s="123">
        <v>7.5</v>
      </c>
      <c r="H78" s="208">
        <v>45</v>
      </c>
      <c r="I78" s="215"/>
      <c r="J78" s="215"/>
      <c r="K78" s="215">
        <v>45</v>
      </c>
      <c r="L78" s="216">
        <v>38.28</v>
      </c>
    </row>
    <row r="79" spans="1:12" hidden="1">
      <c r="A79" s="209" t="s">
        <v>3847</v>
      </c>
      <c r="B79" s="69" t="s">
        <v>55</v>
      </c>
      <c r="C79" s="69" t="s">
        <v>3944</v>
      </c>
      <c r="D79" s="96" t="s">
        <v>56</v>
      </c>
      <c r="E79" s="69">
        <v>1</v>
      </c>
      <c r="F79" s="123">
        <v>16.84</v>
      </c>
      <c r="G79" s="123">
        <v>19.5</v>
      </c>
      <c r="H79" s="208">
        <v>19.5</v>
      </c>
      <c r="I79" s="215"/>
      <c r="J79" s="215"/>
      <c r="K79" s="215">
        <v>19.5</v>
      </c>
      <c r="L79" s="216">
        <v>16.84</v>
      </c>
    </row>
    <row r="80" spans="1:12" hidden="1">
      <c r="A80" s="209" t="s">
        <v>3847</v>
      </c>
      <c r="B80" s="69" t="s">
        <v>652</v>
      </c>
      <c r="C80" s="69" t="s">
        <v>3944</v>
      </c>
      <c r="D80" s="96" t="s">
        <v>653</v>
      </c>
      <c r="E80" s="69">
        <v>1</v>
      </c>
      <c r="F80" s="123">
        <v>57.95</v>
      </c>
      <c r="G80" s="123">
        <v>73.25</v>
      </c>
      <c r="H80" s="208">
        <v>73.25</v>
      </c>
      <c r="I80" s="215"/>
      <c r="J80" s="215"/>
      <c r="K80" s="215">
        <v>73.25</v>
      </c>
      <c r="L80" s="216">
        <v>57.95</v>
      </c>
    </row>
    <row r="81" spans="1:12" hidden="1">
      <c r="A81" s="209" t="s">
        <v>3847</v>
      </c>
      <c r="B81" s="69" t="s">
        <v>96</v>
      </c>
      <c r="C81" s="69" t="s">
        <v>3944</v>
      </c>
      <c r="D81" s="96" t="s">
        <v>97</v>
      </c>
      <c r="E81" s="69">
        <v>1</v>
      </c>
      <c r="F81" s="123">
        <v>17.649999999999999</v>
      </c>
      <c r="G81" s="123">
        <v>20.5</v>
      </c>
      <c r="H81" s="208">
        <v>20.5</v>
      </c>
      <c r="I81" s="215"/>
      <c r="J81" s="215"/>
      <c r="K81" s="215">
        <v>20.5</v>
      </c>
      <c r="L81" s="216">
        <v>17.649999999999999</v>
      </c>
    </row>
    <row r="82" spans="1:12" hidden="1">
      <c r="A82" s="209" t="s">
        <v>3847</v>
      </c>
      <c r="B82" s="69" t="s">
        <v>2217</v>
      </c>
      <c r="C82" s="69" t="s">
        <v>3945</v>
      </c>
      <c r="D82" s="96" t="s">
        <v>2218</v>
      </c>
      <c r="E82" s="69">
        <v>1</v>
      </c>
      <c r="F82" s="123">
        <v>23</v>
      </c>
      <c r="G82" s="123">
        <v>26.5</v>
      </c>
      <c r="H82" s="208">
        <v>26.5</v>
      </c>
      <c r="I82" s="215"/>
      <c r="J82" s="215"/>
      <c r="K82" s="215">
        <v>26.5</v>
      </c>
      <c r="L82" s="216">
        <v>23</v>
      </c>
    </row>
    <row r="83" spans="1:12" hidden="1">
      <c r="A83" s="209" t="s">
        <v>3847</v>
      </c>
      <c r="B83" s="69" t="s">
        <v>3090</v>
      </c>
      <c r="C83" s="69" t="s">
        <v>3946</v>
      </c>
      <c r="D83" s="96" t="s">
        <v>3091</v>
      </c>
      <c r="E83" s="69">
        <v>1</v>
      </c>
      <c r="F83" s="123">
        <v>20.399999999999999</v>
      </c>
      <c r="G83" s="123">
        <v>23.5</v>
      </c>
      <c r="H83" s="208">
        <v>23.5</v>
      </c>
      <c r="I83" s="215"/>
      <c r="J83" s="215"/>
      <c r="K83" s="215">
        <v>23.5</v>
      </c>
      <c r="L83" s="216">
        <v>20.399999999999999</v>
      </c>
    </row>
    <row r="84" spans="1:12" hidden="1">
      <c r="A84" s="209" t="s">
        <v>3847</v>
      </c>
      <c r="B84" s="69" t="s">
        <v>615</v>
      </c>
      <c r="C84" s="69" t="s">
        <v>3946</v>
      </c>
      <c r="D84" s="96" t="s">
        <v>616</v>
      </c>
      <c r="E84" s="69">
        <v>1</v>
      </c>
      <c r="F84" s="123">
        <v>59.51</v>
      </c>
      <c r="G84" s="123">
        <v>68.5</v>
      </c>
      <c r="H84" s="208">
        <v>68.5</v>
      </c>
      <c r="I84" s="215"/>
      <c r="J84" s="215"/>
      <c r="K84" s="215">
        <v>68.5</v>
      </c>
      <c r="L84" s="216">
        <v>59.51</v>
      </c>
    </row>
    <row r="85" spans="1:12" hidden="1">
      <c r="A85" s="209" t="s">
        <v>3847</v>
      </c>
      <c r="B85" s="69" t="s">
        <v>3759</v>
      </c>
      <c r="C85" s="69" t="s">
        <v>3947</v>
      </c>
      <c r="D85" s="96" t="s">
        <v>3760</v>
      </c>
      <c r="E85" s="69">
        <v>1</v>
      </c>
      <c r="F85" s="123">
        <v>3.22</v>
      </c>
      <c r="G85" s="123">
        <v>5</v>
      </c>
      <c r="H85" s="208">
        <v>5</v>
      </c>
      <c r="I85" s="215"/>
      <c r="J85" s="215"/>
      <c r="K85" s="215">
        <v>5</v>
      </c>
      <c r="L85" s="216">
        <v>3.22</v>
      </c>
    </row>
    <row r="86" spans="1:12" hidden="1">
      <c r="A86" s="209" t="s">
        <v>3847</v>
      </c>
      <c r="B86" s="69" t="s">
        <v>1782</v>
      </c>
      <c r="C86" s="69" t="s">
        <v>3948</v>
      </c>
      <c r="D86" s="96" t="s">
        <v>1783</v>
      </c>
      <c r="E86" s="69">
        <v>1</v>
      </c>
      <c r="F86" s="123">
        <v>7.75</v>
      </c>
      <c r="G86" s="123">
        <v>9</v>
      </c>
      <c r="H86" s="208">
        <v>9</v>
      </c>
      <c r="I86" s="215"/>
      <c r="J86" s="215"/>
      <c r="K86" s="215">
        <v>9</v>
      </c>
      <c r="L86" s="216">
        <v>7.75</v>
      </c>
    </row>
    <row r="87" spans="1:12" hidden="1">
      <c r="A87" s="209" t="s">
        <v>3847</v>
      </c>
      <c r="B87" s="69" t="s">
        <v>1883</v>
      </c>
      <c r="C87" s="69" t="s">
        <v>3949</v>
      </c>
      <c r="D87" s="96" t="s">
        <v>1884</v>
      </c>
      <c r="E87" s="69">
        <v>1</v>
      </c>
      <c r="F87" s="123">
        <v>57.22</v>
      </c>
      <c r="G87" s="123">
        <v>66</v>
      </c>
      <c r="H87" s="208">
        <v>66</v>
      </c>
      <c r="I87" s="215"/>
      <c r="J87" s="215"/>
      <c r="K87" s="215">
        <v>66</v>
      </c>
      <c r="L87" s="216">
        <v>57.22</v>
      </c>
    </row>
    <row r="88" spans="1:12" hidden="1">
      <c r="A88" s="209" t="s">
        <v>3847</v>
      </c>
      <c r="B88" s="69" t="s">
        <v>3342</v>
      </c>
      <c r="C88" s="69" t="s">
        <v>3950</v>
      </c>
      <c r="D88" s="96" t="s">
        <v>3343</v>
      </c>
      <c r="E88" s="69">
        <v>5</v>
      </c>
      <c r="F88" s="123">
        <v>0.76</v>
      </c>
      <c r="G88" s="123">
        <v>1</v>
      </c>
      <c r="H88" s="208">
        <v>5</v>
      </c>
      <c r="I88" s="215"/>
      <c r="J88" s="215"/>
      <c r="K88" s="215">
        <v>5</v>
      </c>
      <c r="L88" s="216">
        <v>3.8</v>
      </c>
    </row>
    <row r="89" spans="1:12" hidden="1">
      <c r="A89" s="209" t="s">
        <v>3847</v>
      </c>
      <c r="B89" s="69" t="s">
        <v>3804</v>
      </c>
      <c r="C89" s="69" t="s">
        <v>3951</v>
      </c>
      <c r="D89" s="96" t="s">
        <v>3790</v>
      </c>
      <c r="E89" s="69">
        <v>1</v>
      </c>
      <c r="F89" s="123">
        <v>8.75</v>
      </c>
      <c r="G89" s="123">
        <v>10.25</v>
      </c>
      <c r="H89" s="208">
        <v>10.25</v>
      </c>
      <c r="I89" s="215"/>
      <c r="J89" s="215"/>
      <c r="K89" s="215">
        <v>10.25</v>
      </c>
      <c r="L89" s="216">
        <v>8.75</v>
      </c>
    </row>
    <row r="90" spans="1:12" hidden="1">
      <c r="A90" s="209" t="s">
        <v>3847</v>
      </c>
      <c r="B90" s="69" t="s">
        <v>150</v>
      </c>
      <c r="C90" s="69" t="s">
        <v>3952</v>
      </c>
      <c r="D90" s="96" t="s">
        <v>151</v>
      </c>
      <c r="E90" s="69">
        <v>1</v>
      </c>
      <c r="F90" s="123">
        <v>34.380000000000003</v>
      </c>
      <c r="G90" s="123">
        <v>39.75</v>
      </c>
      <c r="H90" s="208">
        <v>39.75</v>
      </c>
      <c r="I90" s="215"/>
      <c r="J90" s="215"/>
      <c r="K90" s="215">
        <v>39.75</v>
      </c>
      <c r="L90" s="216">
        <v>34.380000000000003</v>
      </c>
    </row>
    <row r="91" spans="1:12" hidden="1">
      <c r="A91" s="209" t="s">
        <v>3847</v>
      </c>
      <c r="B91" s="69" t="s">
        <v>61</v>
      </c>
      <c r="C91" s="69" t="s">
        <v>3953</v>
      </c>
      <c r="D91" s="96" t="s">
        <v>62</v>
      </c>
      <c r="E91" s="69">
        <v>1</v>
      </c>
      <c r="F91" s="123">
        <v>16.55</v>
      </c>
      <c r="G91" s="123">
        <v>19.25</v>
      </c>
      <c r="H91" s="208">
        <v>19.25</v>
      </c>
      <c r="I91" s="215"/>
      <c r="J91" s="215"/>
      <c r="K91" s="215">
        <v>19.25</v>
      </c>
      <c r="L91" s="216">
        <v>16.55</v>
      </c>
    </row>
    <row r="92" spans="1:12" hidden="1">
      <c r="A92" s="209" t="s">
        <v>3847</v>
      </c>
      <c r="B92" s="69" t="s">
        <v>958</v>
      </c>
      <c r="C92" s="69" t="s">
        <v>3954</v>
      </c>
      <c r="D92" s="96" t="s">
        <v>959</v>
      </c>
      <c r="E92" s="69">
        <v>3</v>
      </c>
      <c r="F92" s="123">
        <v>150</v>
      </c>
      <c r="G92" s="123">
        <v>350</v>
      </c>
      <c r="H92" s="208">
        <v>1050</v>
      </c>
      <c r="I92" s="215"/>
      <c r="J92" s="215"/>
      <c r="K92" s="215">
        <v>1050</v>
      </c>
      <c r="L92" s="216">
        <v>450</v>
      </c>
    </row>
    <row r="93" spans="1:12" hidden="1">
      <c r="A93" s="209" t="s">
        <v>3847</v>
      </c>
      <c r="B93" s="69" t="s">
        <v>50</v>
      </c>
      <c r="C93" s="69" t="s">
        <v>3955</v>
      </c>
      <c r="D93" s="96" t="s">
        <v>51</v>
      </c>
      <c r="E93" s="69">
        <v>1</v>
      </c>
      <c r="F93" s="123">
        <v>19.100000000000001</v>
      </c>
      <c r="G93" s="123">
        <v>22</v>
      </c>
      <c r="H93" s="208">
        <v>22</v>
      </c>
      <c r="I93" s="215"/>
      <c r="J93" s="215"/>
      <c r="K93" s="215">
        <v>22</v>
      </c>
      <c r="L93" s="216">
        <v>19.100000000000001</v>
      </c>
    </row>
    <row r="94" spans="1:12" hidden="1">
      <c r="A94" s="209" t="s">
        <v>3847</v>
      </c>
      <c r="B94" s="69" t="s">
        <v>65</v>
      </c>
      <c r="C94" s="69" t="s">
        <v>3955</v>
      </c>
      <c r="D94" s="96" t="s">
        <v>66</v>
      </c>
      <c r="E94" s="69">
        <v>1</v>
      </c>
      <c r="F94" s="123">
        <v>33.75</v>
      </c>
      <c r="G94" s="123">
        <v>39</v>
      </c>
      <c r="H94" s="208">
        <v>39</v>
      </c>
      <c r="I94" s="215"/>
      <c r="J94" s="215"/>
      <c r="K94" s="215">
        <v>39</v>
      </c>
      <c r="L94" s="216">
        <v>33.75</v>
      </c>
    </row>
    <row r="95" spans="1:12" hidden="1">
      <c r="A95" s="209" t="s">
        <v>3847</v>
      </c>
      <c r="B95" s="69" t="s">
        <v>57</v>
      </c>
      <c r="C95" s="69" t="s">
        <v>3955</v>
      </c>
      <c r="D95" s="96" t="s">
        <v>58</v>
      </c>
      <c r="E95" s="69">
        <v>1</v>
      </c>
      <c r="F95" s="123">
        <v>16.03</v>
      </c>
      <c r="G95" s="123">
        <v>18.5</v>
      </c>
      <c r="H95" s="208">
        <v>18.5</v>
      </c>
      <c r="I95" s="215"/>
      <c r="J95" s="215"/>
      <c r="K95" s="215">
        <v>18.5</v>
      </c>
      <c r="L95" s="216">
        <v>16.03</v>
      </c>
    </row>
    <row r="96" spans="1:12" hidden="1">
      <c r="A96" s="209" t="s">
        <v>3847</v>
      </c>
      <c r="B96" s="69" t="s">
        <v>377</v>
      </c>
      <c r="C96" s="69" t="s">
        <v>3956</v>
      </c>
      <c r="D96" s="96" t="s">
        <v>378</v>
      </c>
      <c r="E96" s="69">
        <v>1</v>
      </c>
      <c r="F96" s="123">
        <v>44.8</v>
      </c>
      <c r="G96" s="123">
        <v>51.75</v>
      </c>
      <c r="H96" s="208">
        <v>51.75</v>
      </c>
      <c r="I96" s="215"/>
      <c r="J96" s="215"/>
      <c r="K96" s="215">
        <v>51.75</v>
      </c>
      <c r="L96" s="216">
        <v>44.8</v>
      </c>
    </row>
    <row r="97" spans="1:12" hidden="1">
      <c r="A97" s="209" t="s">
        <v>3847</v>
      </c>
      <c r="B97" s="69" t="s">
        <v>858</v>
      </c>
      <c r="C97" s="69" t="s">
        <v>3957</v>
      </c>
      <c r="D97" s="96" t="s">
        <v>859</v>
      </c>
      <c r="E97" s="69">
        <v>1</v>
      </c>
      <c r="F97" s="123">
        <v>7.85</v>
      </c>
      <c r="G97" s="123">
        <v>12</v>
      </c>
      <c r="H97" s="208">
        <v>12</v>
      </c>
      <c r="I97" s="215"/>
      <c r="J97" s="215"/>
      <c r="K97" s="215">
        <v>12</v>
      </c>
      <c r="L97" s="216">
        <v>7.85</v>
      </c>
    </row>
    <row r="98" spans="1:12" hidden="1">
      <c r="A98" s="209" t="s">
        <v>3847</v>
      </c>
      <c r="B98" s="69" t="s">
        <v>1380</v>
      </c>
      <c r="C98" s="69" t="s">
        <v>3958</v>
      </c>
      <c r="D98" s="96" t="s">
        <v>1381</v>
      </c>
      <c r="E98" s="69">
        <v>1</v>
      </c>
      <c r="F98" s="123">
        <v>26</v>
      </c>
      <c r="G98" s="123">
        <v>30</v>
      </c>
      <c r="H98" s="208">
        <v>30</v>
      </c>
      <c r="I98" s="215"/>
      <c r="J98" s="215"/>
      <c r="K98" s="215">
        <v>30</v>
      </c>
      <c r="L98" s="216">
        <v>26</v>
      </c>
    </row>
    <row r="99" spans="1:12" hidden="1">
      <c r="A99" s="209" t="s">
        <v>3847</v>
      </c>
      <c r="B99" s="69" t="s">
        <v>3342</v>
      </c>
      <c r="C99" s="69" t="s">
        <v>3959</v>
      </c>
      <c r="D99" s="96" t="s">
        <v>3343</v>
      </c>
      <c r="E99" s="69">
        <v>2</v>
      </c>
      <c r="F99" s="123">
        <v>0.76</v>
      </c>
      <c r="G99" s="123">
        <v>1</v>
      </c>
      <c r="H99" s="208">
        <v>2</v>
      </c>
      <c r="I99" s="215"/>
      <c r="J99" s="215"/>
      <c r="K99" s="215">
        <v>2</v>
      </c>
      <c r="L99" s="216">
        <v>1.52</v>
      </c>
    </row>
    <row r="100" spans="1:12" hidden="1">
      <c r="A100" s="209" t="s">
        <v>3847</v>
      </c>
      <c r="B100" s="69" t="s">
        <v>3342</v>
      </c>
      <c r="C100" s="69" t="s">
        <v>3960</v>
      </c>
      <c r="D100" s="96" t="s">
        <v>3343</v>
      </c>
      <c r="E100" s="69">
        <v>5</v>
      </c>
      <c r="F100" s="123">
        <v>0.76</v>
      </c>
      <c r="G100" s="123">
        <v>1</v>
      </c>
      <c r="H100" s="208">
        <v>5</v>
      </c>
      <c r="I100" s="215"/>
      <c r="J100" s="215"/>
      <c r="K100" s="215">
        <v>5</v>
      </c>
      <c r="L100" s="216">
        <v>3.8</v>
      </c>
    </row>
    <row r="101" spans="1:12" hidden="1">
      <c r="A101" s="209" t="s">
        <v>3848</v>
      </c>
      <c r="B101" s="69" t="s">
        <v>3342</v>
      </c>
      <c r="C101" s="69" t="s">
        <v>3961</v>
      </c>
      <c r="D101" s="96" t="s">
        <v>3343</v>
      </c>
      <c r="E101" s="69">
        <v>2</v>
      </c>
      <c r="F101" s="123">
        <v>0.76</v>
      </c>
      <c r="G101" s="123">
        <v>1</v>
      </c>
      <c r="H101" s="208">
        <v>2</v>
      </c>
      <c r="I101" s="215"/>
      <c r="J101" s="215"/>
      <c r="K101" s="215">
        <v>2</v>
      </c>
      <c r="L101" s="216">
        <v>1.52</v>
      </c>
    </row>
    <row r="102" spans="1:12" hidden="1">
      <c r="A102" s="209" t="s">
        <v>3848</v>
      </c>
      <c r="B102" s="69" t="s">
        <v>1139</v>
      </c>
      <c r="C102" s="69" t="s">
        <v>3962</v>
      </c>
      <c r="D102" s="96" t="s">
        <v>1140</v>
      </c>
      <c r="E102" s="69">
        <v>1</v>
      </c>
      <c r="F102" s="123">
        <v>14</v>
      </c>
      <c r="G102" s="123">
        <v>16</v>
      </c>
      <c r="H102" s="208">
        <v>16</v>
      </c>
      <c r="I102" s="215"/>
      <c r="J102" s="215"/>
      <c r="K102" s="215">
        <v>16</v>
      </c>
      <c r="L102" s="216">
        <v>14</v>
      </c>
    </row>
    <row r="103" spans="1:12" hidden="1">
      <c r="A103" s="209" t="s">
        <v>3848</v>
      </c>
      <c r="B103" s="69" t="s">
        <v>3633</v>
      </c>
      <c r="C103" s="69" t="s">
        <v>3962</v>
      </c>
      <c r="D103" s="96" t="s">
        <v>3634</v>
      </c>
      <c r="E103" s="69">
        <v>1</v>
      </c>
      <c r="F103" s="123">
        <v>6.03</v>
      </c>
      <c r="G103" s="123">
        <v>7</v>
      </c>
      <c r="H103" s="208">
        <v>7</v>
      </c>
      <c r="I103" s="215"/>
      <c r="J103" s="215"/>
      <c r="K103" s="215">
        <v>7</v>
      </c>
      <c r="L103" s="216">
        <v>6.03</v>
      </c>
    </row>
    <row r="104" spans="1:12" hidden="1">
      <c r="A104" s="209" t="s">
        <v>3848</v>
      </c>
      <c r="B104" s="69" t="s">
        <v>560</v>
      </c>
      <c r="C104" s="69" t="s">
        <v>3963</v>
      </c>
      <c r="D104" s="96" t="s">
        <v>561</v>
      </c>
      <c r="E104" s="69">
        <v>1</v>
      </c>
      <c r="F104" s="123">
        <v>92.8</v>
      </c>
      <c r="G104" s="123">
        <v>106.75</v>
      </c>
      <c r="H104" s="208">
        <v>106.75</v>
      </c>
      <c r="I104" s="215"/>
      <c r="J104" s="215"/>
      <c r="K104" s="215">
        <v>106.75</v>
      </c>
      <c r="L104" s="216">
        <v>92.8</v>
      </c>
    </row>
    <row r="105" spans="1:12" hidden="1">
      <c r="A105" s="209" t="s">
        <v>3848</v>
      </c>
      <c r="B105" s="69" t="s">
        <v>454</v>
      </c>
      <c r="C105" s="69" t="s">
        <v>3964</v>
      </c>
      <c r="D105" s="96" t="s">
        <v>455</v>
      </c>
      <c r="E105" s="69">
        <v>1</v>
      </c>
      <c r="F105" s="123">
        <v>84.8</v>
      </c>
      <c r="G105" s="123">
        <v>94</v>
      </c>
      <c r="H105" s="208">
        <v>94</v>
      </c>
      <c r="I105" s="215"/>
      <c r="J105" s="215"/>
      <c r="K105" s="215">
        <v>94</v>
      </c>
      <c r="L105" s="216">
        <v>84.8</v>
      </c>
    </row>
    <row r="106" spans="1:12" hidden="1">
      <c r="A106" s="209" t="s">
        <v>3848</v>
      </c>
      <c r="B106" s="69" t="s">
        <v>1345</v>
      </c>
      <c r="C106" s="69" t="s">
        <v>3964</v>
      </c>
      <c r="D106" s="96" t="s">
        <v>1346</v>
      </c>
      <c r="E106" s="69">
        <v>1</v>
      </c>
      <c r="F106" s="123">
        <v>35.549999999999997</v>
      </c>
      <c r="G106" s="123">
        <v>41</v>
      </c>
      <c r="H106" s="208">
        <v>41</v>
      </c>
      <c r="I106" s="215"/>
      <c r="J106" s="215"/>
      <c r="K106" s="215">
        <v>41</v>
      </c>
      <c r="L106" s="216">
        <v>35.549999999999997</v>
      </c>
    </row>
    <row r="107" spans="1:12" hidden="1">
      <c r="A107" s="209" t="s">
        <v>3848</v>
      </c>
      <c r="B107" s="69" t="s">
        <v>174</v>
      </c>
      <c r="C107" s="69" t="s">
        <v>3964</v>
      </c>
      <c r="D107" s="96" t="s">
        <v>175</v>
      </c>
      <c r="E107" s="69">
        <v>1</v>
      </c>
      <c r="F107" s="123">
        <v>36.58</v>
      </c>
      <c r="G107" s="123">
        <v>42.25</v>
      </c>
      <c r="H107" s="208">
        <v>42.25</v>
      </c>
      <c r="I107" s="215"/>
      <c r="J107" s="215"/>
      <c r="K107" s="215">
        <v>42.25</v>
      </c>
      <c r="L107" s="216">
        <v>36.58</v>
      </c>
    </row>
    <row r="108" spans="1:12" hidden="1">
      <c r="A108" s="209" t="s">
        <v>3848</v>
      </c>
      <c r="B108" s="69" t="s">
        <v>161</v>
      </c>
      <c r="C108" s="69" t="s">
        <v>3964</v>
      </c>
      <c r="D108" s="96" t="s">
        <v>162</v>
      </c>
      <c r="E108" s="69">
        <v>1</v>
      </c>
      <c r="F108" s="123">
        <v>36.58</v>
      </c>
      <c r="G108" s="123">
        <v>42.25</v>
      </c>
      <c r="H108" s="208">
        <v>42.25</v>
      </c>
      <c r="I108" s="215"/>
      <c r="J108" s="215"/>
      <c r="K108" s="215">
        <v>42.25</v>
      </c>
      <c r="L108" s="216">
        <v>36.58</v>
      </c>
    </row>
    <row r="109" spans="1:12" hidden="1">
      <c r="A109" s="209" t="s">
        <v>3848</v>
      </c>
      <c r="B109" s="69" t="s">
        <v>1335</v>
      </c>
      <c r="C109" s="69" t="s">
        <v>3964</v>
      </c>
      <c r="D109" s="96" t="s">
        <v>1336</v>
      </c>
      <c r="E109" s="69">
        <v>1</v>
      </c>
      <c r="F109" s="123">
        <v>35.549999999999997</v>
      </c>
      <c r="G109" s="123">
        <v>41</v>
      </c>
      <c r="H109" s="208">
        <v>41</v>
      </c>
      <c r="I109" s="215"/>
      <c r="J109" s="215"/>
      <c r="K109" s="215">
        <v>41</v>
      </c>
      <c r="L109" s="216">
        <v>35.549999999999997</v>
      </c>
    </row>
    <row r="110" spans="1:12" hidden="1">
      <c r="A110" s="209" t="s">
        <v>3848</v>
      </c>
      <c r="B110" s="69" t="s">
        <v>1703</v>
      </c>
      <c r="C110" s="69" t="s">
        <v>3964</v>
      </c>
      <c r="D110" s="96" t="s">
        <v>1704</v>
      </c>
      <c r="E110" s="69">
        <v>1</v>
      </c>
      <c r="F110" s="123">
        <v>54</v>
      </c>
      <c r="G110" s="123">
        <v>62.25</v>
      </c>
      <c r="H110" s="208">
        <v>62.25</v>
      </c>
      <c r="I110" s="215"/>
      <c r="J110" s="215"/>
      <c r="K110" s="215">
        <v>62.25</v>
      </c>
      <c r="L110" s="216">
        <v>54</v>
      </c>
    </row>
    <row r="111" spans="1:12" hidden="1">
      <c r="A111" s="209" t="s">
        <v>3848</v>
      </c>
      <c r="B111" s="69" t="s">
        <v>1608</v>
      </c>
      <c r="C111" s="69" t="s">
        <v>3965</v>
      </c>
      <c r="D111" s="96" t="s">
        <v>1609</v>
      </c>
      <c r="E111" s="69">
        <v>1</v>
      </c>
      <c r="F111" s="123">
        <v>36.659999999999997</v>
      </c>
      <c r="G111" s="123">
        <v>42.25</v>
      </c>
      <c r="H111" s="208">
        <v>42.25</v>
      </c>
      <c r="I111" s="215"/>
      <c r="J111" s="215"/>
      <c r="K111" s="215">
        <v>42.25</v>
      </c>
      <c r="L111" s="216">
        <v>36.659999999999997</v>
      </c>
    </row>
    <row r="112" spans="1:12" hidden="1">
      <c r="A112" s="209" t="s">
        <v>3848</v>
      </c>
      <c r="B112" s="69" t="s">
        <v>3728</v>
      </c>
      <c r="C112" s="69" t="s">
        <v>3966</v>
      </c>
      <c r="D112" s="96" t="s">
        <v>3729</v>
      </c>
      <c r="E112" s="69">
        <v>1</v>
      </c>
      <c r="F112" s="123">
        <v>9.2799999999999994</v>
      </c>
      <c r="G112" s="123">
        <v>10.75</v>
      </c>
      <c r="H112" s="208">
        <v>10.75</v>
      </c>
      <c r="I112" s="215"/>
      <c r="J112" s="215"/>
      <c r="K112" s="215">
        <v>10.75</v>
      </c>
      <c r="L112" s="216">
        <v>9.2799999999999994</v>
      </c>
    </row>
    <row r="113" spans="1:12" hidden="1">
      <c r="A113" s="209" t="s">
        <v>3848</v>
      </c>
      <c r="B113" s="69" t="s">
        <v>1024</v>
      </c>
      <c r="C113" s="69" t="s">
        <v>3967</v>
      </c>
      <c r="D113" s="96" t="s">
        <v>1025</v>
      </c>
      <c r="E113" s="69">
        <v>1</v>
      </c>
      <c r="F113" s="123">
        <v>8.58</v>
      </c>
      <c r="G113" s="123">
        <v>10</v>
      </c>
      <c r="H113" s="208">
        <v>10</v>
      </c>
      <c r="I113" s="215"/>
      <c r="J113" s="215"/>
      <c r="K113" s="215">
        <v>10</v>
      </c>
      <c r="L113" s="216">
        <v>8.58</v>
      </c>
    </row>
    <row r="114" spans="1:12" hidden="1">
      <c r="A114" s="209" t="s">
        <v>3848</v>
      </c>
      <c r="B114" s="69" t="s">
        <v>3755</v>
      </c>
      <c r="C114" s="69" t="s">
        <v>3967</v>
      </c>
      <c r="D114" s="96" t="s">
        <v>3756</v>
      </c>
      <c r="E114" s="69">
        <v>1</v>
      </c>
      <c r="F114" s="123">
        <v>6.4</v>
      </c>
      <c r="G114" s="123">
        <v>7.5</v>
      </c>
      <c r="H114" s="208">
        <v>7.5</v>
      </c>
      <c r="I114" s="215"/>
      <c r="J114" s="215"/>
      <c r="K114" s="215">
        <v>7.5</v>
      </c>
      <c r="L114" s="216">
        <v>6.4</v>
      </c>
    </row>
    <row r="115" spans="1:12" hidden="1">
      <c r="A115" s="209" t="s">
        <v>3848</v>
      </c>
      <c r="B115" s="69" t="s">
        <v>497</v>
      </c>
      <c r="C115" s="69" t="s">
        <v>3968</v>
      </c>
      <c r="D115" s="96" t="s">
        <v>498</v>
      </c>
      <c r="E115" s="69">
        <v>1</v>
      </c>
      <c r="F115" s="123">
        <v>57.4</v>
      </c>
      <c r="G115" s="123">
        <v>66</v>
      </c>
      <c r="H115" s="208">
        <v>66</v>
      </c>
      <c r="I115" s="215"/>
      <c r="J115" s="215"/>
      <c r="K115" s="215">
        <v>66</v>
      </c>
      <c r="L115" s="216">
        <v>57.4</v>
      </c>
    </row>
    <row r="116" spans="1:12" hidden="1">
      <c r="A116" s="209" t="s">
        <v>3848</v>
      </c>
      <c r="B116" s="69" t="s">
        <v>68</v>
      </c>
      <c r="C116" s="69" t="s">
        <v>3968</v>
      </c>
      <c r="D116" s="96" t="s">
        <v>69</v>
      </c>
      <c r="E116" s="69">
        <v>2</v>
      </c>
      <c r="F116" s="123">
        <v>18.53</v>
      </c>
      <c r="G116" s="123">
        <v>21.5</v>
      </c>
      <c r="H116" s="208">
        <v>43</v>
      </c>
      <c r="I116" s="215"/>
      <c r="J116" s="215"/>
      <c r="K116" s="215">
        <v>43</v>
      </c>
      <c r="L116" s="216">
        <v>37.06</v>
      </c>
    </row>
    <row r="117" spans="1:12" hidden="1">
      <c r="A117" s="209" t="s">
        <v>3848</v>
      </c>
      <c r="B117" s="69" t="s">
        <v>375</v>
      </c>
      <c r="C117" s="69" t="s">
        <v>3968</v>
      </c>
      <c r="D117" s="96" t="s">
        <v>376</v>
      </c>
      <c r="E117" s="69">
        <v>1</v>
      </c>
      <c r="F117" s="123">
        <v>44.8</v>
      </c>
      <c r="G117" s="123">
        <v>51.75</v>
      </c>
      <c r="H117" s="208">
        <v>51.75</v>
      </c>
      <c r="I117" s="215"/>
      <c r="J117" s="215"/>
      <c r="K117" s="215">
        <v>51.75</v>
      </c>
      <c r="L117" s="216">
        <v>44.8</v>
      </c>
    </row>
    <row r="118" spans="1:12" hidden="1">
      <c r="A118" s="209" t="s">
        <v>3848</v>
      </c>
      <c r="B118" s="69" t="s">
        <v>3755</v>
      </c>
      <c r="C118" s="69" t="s">
        <v>3969</v>
      </c>
      <c r="D118" s="96" t="s">
        <v>3756</v>
      </c>
      <c r="E118" s="69">
        <v>1</v>
      </c>
      <c r="F118" s="123">
        <v>6.4</v>
      </c>
      <c r="G118" s="123">
        <v>7.5</v>
      </c>
      <c r="H118" s="208">
        <v>7.5</v>
      </c>
      <c r="I118" s="215"/>
      <c r="J118" s="215"/>
      <c r="K118" s="215">
        <v>7.5</v>
      </c>
      <c r="L118" s="216">
        <v>6.4</v>
      </c>
    </row>
    <row r="119" spans="1:12" hidden="1">
      <c r="A119" s="209" t="s">
        <v>3848</v>
      </c>
      <c r="B119" s="69" t="s">
        <v>1790</v>
      </c>
      <c r="C119" s="69" t="s">
        <v>3970</v>
      </c>
      <c r="D119" s="96" t="s">
        <v>1791</v>
      </c>
      <c r="E119" s="69">
        <v>4</v>
      </c>
      <c r="F119" s="123">
        <v>9.17</v>
      </c>
      <c r="G119" s="123">
        <v>10.75</v>
      </c>
      <c r="H119" s="208">
        <v>43</v>
      </c>
      <c r="I119" s="215"/>
      <c r="J119" s="215"/>
      <c r="K119" s="215">
        <v>43</v>
      </c>
      <c r="L119" s="216">
        <v>36.68</v>
      </c>
    </row>
    <row r="120" spans="1:12" hidden="1">
      <c r="A120" s="209" t="s">
        <v>3848</v>
      </c>
      <c r="B120" s="69" t="s">
        <v>2080</v>
      </c>
      <c r="C120" s="69" t="s">
        <v>3970</v>
      </c>
      <c r="D120" s="96" t="s">
        <v>2081</v>
      </c>
      <c r="E120" s="69">
        <v>1</v>
      </c>
      <c r="F120" s="123">
        <v>8.6</v>
      </c>
      <c r="G120" s="123">
        <v>10</v>
      </c>
      <c r="H120" s="208">
        <v>10</v>
      </c>
      <c r="I120" s="215"/>
      <c r="J120" s="215"/>
      <c r="K120" s="215">
        <v>10</v>
      </c>
      <c r="L120" s="216">
        <v>8.6</v>
      </c>
    </row>
    <row r="121" spans="1:12" hidden="1">
      <c r="A121" s="209" t="s">
        <v>3848</v>
      </c>
      <c r="B121" s="69" t="s">
        <v>497</v>
      </c>
      <c r="C121" s="69" t="s">
        <v>3971</v>
      </c>
      <c r="D121" s="96" t="s">
        <v>498</v>
      </c>
      <c r="E121" s="69">
        <v>1</v>
      </c>
      <c r="F121" s="123">
        <v>57.4</v>
      </c>
      <c r="G121" s="123">
        <v>66</v>
      </c>
      <c r="H121" s="208">
        <v>66</v>
      </c>
      <c r="I121" s="215"/>
      <c r="J121" s="215"/>
      <c r="K121" s="215">
        <v>66</v>
      </c>
      <c r="L121" s="216">
        <v>57.4</v>
      </c>
    </row>
    <row r="122" spans="1:12" hidden="1">
      <c r="A122" s="209" t="s">
        <v>3848</v>
      </c>
      <c r="B122" s="69" t="s">
        <v>1024</v>
      </c>
      <c r="C122" s="69" t="s">
        <v>3972</v>
      </c>
      <c r="D122" s="96" t="s">
        <v>1025</v>
      </c>
      <c r="E122" s="69">
        <v>2</v>
      </c>
      <c r="F122" s="123">
        <v>8.58</v>
      </c>
      <c r="G122" s="123">
        <v>10</v>
      </c>
      <c r="H122" s="208">
        <v>20</v>
      </c>
      <c r="I122" s="215"/>
      <c r="J122" s="215"/>
      <c r="K122" s="215">
        <v>20</v>
      </c>
      <c r="L122" s="216">
        <v>17.16</v>
      </c>
    </row>
    <row r="123" spans="1:12" hidden="1">
      <c r="A123" s="209" t="s">
        <v>3848</v>
      </c>
      <c r="B123" s="69" t="s">
        <v>3342</v>
      </c>
      <c r="C123" s="69" t="s">
        <v>3973</v>
      </c>
      <c r="D123" s="96" t="s">
        <v>3343</v>
      </c>
      <c r="E123" s="69">
        <v>2</v>
      </c>
      <c r="F123" s="123">
        <v>0.76</v>
      </c>
      <c r="G123" s="123">
        <v>1</v>
      </c>
      <c r="H123" s="208">
        <v>2</v>
      </c>
      <c r="I123" s="215"/>
      <c r="J123" s="215"/>
      <c r="K123" s="215">
        <v>2</v>
      </c>
      <c r="L123" s="216">
        <v>1.52</v>
      </c>
    </row>
    <row r="124" spans="1:12" hidden="1">
      <c r="A124" s="209" t="s">
        <v>3848</v>
      </c>
      <c r="B124" s="69" t="s">
        <v>1796</v>
      </c>
      <c r="C124" s="69" t="s">
        <v>3974</v>
      </c>
      <c r="D124" s="96" t="s">
        <v>1797</v>
      </c>
      <c r="E124" s="69">
        <v>1</v>
      </c>
      <c r="F124" s="123">
        <v>30.2</v>
      </c>
      <c r="G124" s="123">
        <v>34.75</v>
      </c>
      <c r="H124" s="208">
        <v>34.75</v>
      </c>
      <c r="I124" s="215"/>
      <c r="J124" s="215"/>
      <c r="K124" s="215">
        <v>34.75</v>
      </c>
      <c r="L124" s="216">
        <v>30.2</v>
      </c>
    </row>
    <row r="125" spans="1:12" hidden="1">
      <c r="A125" s="209" t="s">
        <v>3848</v>
      </c>
      <c r="B125" s="69" t="s">
        <v>1790</v>
      </c>
      <c r="C125" s="69" t="s">
        <v>3974</v>
      </c>
      <c r="D125" s="96" t="s">
        <v>1791</v>
      </c>
      <c r="E125" s="69">
        <v>1</v>
      </c>
      <c r="F125" s="123">
        <v>9.17</v>
      </c>
      <c r="G125" s="123">
        <v>10.75</v>
      </c>
      <c r="H125" s="208">
        <v>10.75</v>
      </c>
      <c r="I125" s="215"/>
      <c r="J125" s="215"/>
      <c r="K125" s="215">
        <v>10.75</v>
      </c>
      <c r="L125" s="216">
        <v>9.17</v>
      </c>
    </row>
    <row r="126" spans="1:12" hidden="1">
      <c r="A126" s="209" t="s">
        <v>3848</v>
      </c>
      <c r="B126" s="69" t="s">
        <v>267</v>
      </c>
      <c r="C126" s="69" t="s">
        <v>3974</v>
      </c>
      <c r="D126" s="96" t="s">
        <v>268</v>
      </c>
      <c r="E126" s="69">
        <v>1</v>
      </c>
      <c r="F126" s="123">
        <v>60</v>
      </c>
      <c r="G126" s="123">
        <v>75</v>
      </c>
      <c r="H126" s="208">
        <v>75</v>
      </c>
      <c r="I126" s="215"/>
      <c r="J126" s="215"/>
      <c r="K126" s="215">
        <v>75</v>
      </c>
      <c r="L126" s="216">
        <v>60</v>
      </c>
    </row>
    <row r="127" spans="1:12" hidden="1">
      <c r="A127" s="209" t="s">
        <v>3848</v>
      </c>
      <c r="B127" s="69" t="s">
        <v>2961</v>
      </c>
      <c r="C127" s="69" t="s">
        <v>3974</v>
      </c>
      <c r="D127" s="96" t="s">
        <v>2962</v>
      </c>
      <c r="E127" s="69">
        <v>1</v>
      </c>
      <c r="F127" s="123">
        <v>90</v>
      </c>
      <c r="G127" s="123">
        <v>120</v>
      </c>
      <c r="H127" s="208">
        <v>120</v>
      </c>
      <c r="I127" s="215"/>
      <c r="J127" s="215"/>
      <c r="K127" s="215">
        <v>120</v>
      </c>
      <c r="L127" s="216">
        <v>90</v>
      </c>
    </row>
    <row r="128" spans="1:12" hidden="1">
      <c r="A128" s="209" t="s">
        <v>3848</v>
      </c>
      <c r="B128" s="69" t="s">
        <v>3749</v>
      </c>
      <c r="C128" s="69" t="s">
        <v>3975</v>
      </c>
      <c r="D128" s="96" t="s">
        <v>3750</v>
      </c>
      <c r="E128" s="69">
        <v>1</v>
      </c>
      <c r="F128" s="123">
        <v>50.88</v>
      </c>
      <c r="G128" s="123">
        <v>58.75</v>
      </c>
      <c r="H128" s="208">
        <v>58.75</v>
      </c>
      <c r="I128" s="215"/>
      <c r="J128" s="215"/>
      <c r="K128" s="215">
        <v>58.75</v>
      </c>
      <c r="L128" s="216">
        <v>50.88</v>
      </c>
    </row>
    <row r="129" spans="1:12" hidden="1">
      <c r="A129" s="209" t="s">
        <v>3848</v>
      </c>
      <c r="B129" s="69" t="s">
        <v>1024</v>
      </c>
      <c r="C129" s="69" t="s">
        <v>3976</v>
      </c>
      <c r="D129" s="96" t="s">
        <v>1025</v>
      </c>
      <c r="E129" s="69">
        <v>2</v>
      </c>
      <c r="F129" s="123">
        <v>8.58</v>
      </c>
      <c r="G129" s="123">
        <v>10</v>
      </c>
      <c r="H129" s="208">
        <v>20</v>
      </c>
      <c r="I129" s="215"/>
      <c r="J129" s="215"/>
      <c r="K129" s="215">
        <v>20</v>
      </c>
      <c r="L129" s="216">
        <v>17.16</v>
      </c>
    </row>
    <row r="130" spans="1:12" hidden="1">
      <c r="A130" s="209" t="s">
        <v>3848</v>
      </c>
      <c r="B130" s="69" t="s">
        <v>3342</v>
      </c>
      <c r="C130" s="69" t="s">
        <v>3977</v>
      </c>
      <c r="D130" s="96" t="s">
        <v>3343</v>
      </c>
      <c r="E130" s="69">
        <v>7</v>
      </c>
      <c r="F130" s="123">
        <v>0.76</v>
      </c>
      <c r="G130" s="123">
        <v>1</v>
      </c>
      <c r="H130" s="208">
        <v>7</v>
      </c>
      <c r="I130" s="215"/>
      <c r="J130" s="215"/>
      <c r="K130" s="215">
        <v>7</v>
      </c>
      <c r="L130" s="216">
        <v>5.32</v>
      </c>
    </row>
    <row r="131" spans="1:12" hidden="1">
      <c r="A131" s="209" t="s">
        <v>3848</v>
      </c>
      <c r="B131" s="69" t="s">
        <v>695</v>
      </c>
      <c r="C131" s="69" t="s">
        <v>3978</v>
      </c>
      <c r="D131" s="96" t="s">
        <v>696</v>
      </c>
      <c r="E131" s="69">
        <v>1</v>
      </c>
      <c r="F131" s="123">
        <v>8.3800000000000008</v>
      </c>
      <c r="G131" s="123">
        <v>9.75</v>
      </c>
      <c r="H131" s="208">
        <v>9.75</v>
      </c>
      <c r="I131" s="215"/>
      <c r="J131" s="215"/>
      <c r="K131" s="215">
        <v>9.75</v>
      </c>
      <c r="L131" s="216">
        <v>8.3800000000000008</v>
      </c>
    </row>
    <row r="132" spans="1:12" hidden="1">
      <c r="A132" s="209" t="s">
        <v>3848</v>
      </c>
      <c r="B132" s="69" t="s">
        <v>2205</v>
      </c>
      <c r="C132" s="69" t="s">
        <v>3979</v>
      </c>
      <c r="D132" s="96" t="s">
        <v>2206</v>
      </c>
      <c r="E132" s="69">
        <v>4</v>
      </c>
      <c r="F132" s="123">
        <v>302.13</v>
      </c>
      <c r="G132" s="123">
        <v>362.75</v>
      </c>
      <c r="H132" s="208">
        <v>1451</v>
      </c>
      <c r="I132" s="215"/>
      <c r="J132" s="215"/>
      <c r="K132" s="215">
        <v>1451</v>
      </c>
      <c r="L132" s="216">
        <v>1208.52</v>
      </c>
    </row>
    <row r="133" spans="1:12" hidden="1">
      <c r="A133" s="209" t="s">
        <v>3848</v>
      </c>
      <c r="B133" s="69" t="s">
        <v>454</v>
      </c>
      <c r="C133" s="69" t="s">
        <v>3980</v>
      </c>
      <c r="D133" s="96" t="s">
        <v>455</v>
      </c>
      <c r="E133" s="69">
        <v>1</v>
      </c>
      <c r="F133" s="123">
        <v>84.8</v>
      </c>
      <c r="G133" s="123">
        <v>94</v>
      </c>
      <c r="H133" s="208">
        <v>94</v>
      </c>
      <c r="I133" s="215"/>
      <c r="J133" s="215"/>
      <c r="K133" s="215">
        <v>94</v>
      </c>
      <c r="L133" s="216">
        <v>84.8</v>
      </c>
    </row>
    <row r="134" spans="1:12" hidden="1">
      <c r="A134" s="209" t="s">
        <v>3848</v>
      </c>
      <c r="B134" s="69" t="s">
        <v>3633</v>
      </c>
      <c r="C134" s="69" t="s">
        <v>3981</v>
      </c>
      <c r="D134" s="96" t="s">
        <v>3634</v>
      </c>
      <c r="E134" s="69">
        <v>1</v>
      </c>
      <c r="F134" s="123">
        <v>6.03</v>
      </c>
      <c r="G134" s="123">
        <v>7</v>
      </c>
      <c r="H134" s="208">
        <v>7</v>
      </c>
      <c r="I134" s="215"/>
      <c r="J134" s="215"/>
      <c r="K134" s="215">
        <v>7</v>
      </c>
      <c r="L134" s="216">
        <v>6.03</v>
      </c>
    </row>
    <row r="135" spans="1:12" hidden="1">
      <c r="A135" s="209" t="s">
        <v>3849</v>
      </c>
      <c r="B135" s="69" t="s">
        <v>995</v>
      </c>
      <c r="C135" s="69" t="s">
        <v>3982</v>
      </c>
      <c r="D135" s="96" t="s">
        <v>996</v>
      </c>
      <c r="E135" s="69">
        <v>2</v>
      </c>
      <c r="F135" s="123">
        <v>18.57</v>
      </c>
      <c r="G135" s="123">
        <v>21.5</v>
      </c>
      <c r="H135" s="208">
        <v>43</v>
      </c>
      <c r="I135" s="215"/>
      <c r="J135" s="215"/>
      <c r="K135" s="215">
        <v>43</v>
      </c>
      <c r="L135" s="216">
        <v>37.14</v>
      </c>
    </row>
    <row r="136" spans="1:12" hidden="1">
      <c r="A136" s="209" t="s">
        <v>3849</v>
      </c>
      <c r="B136" s="69" t="s">
        <v>1495</v>
      </c>
      <c r="C136" s="69" t="s">
        <v>3982</v>
      </c>
      <c r="D136" s="96" t="s">
        <v>1496</v>
      </c>
      <c r="E136" s="69">
        <v>2</v>
      </c>
      <c r="F136" s="123">
        <v>32.86</v>
      </c>
      <c r="G136" s="123">
        <v>38</v>
      </c>
      <c r="H136" s="208">
        <v>76</v>
      </c>
      <c r="I136" s="215"/>
      <c r="J136" s="215"/>
      <c r="K136" s="215">
        <v>76</v>
      </c>
      <c r="L136" s="216">
        <v>65.72</v>
      </c>
    </row>
    <row r="137" spans="1:12" hidden="1">
      <c r="A137" s="209" t="s">
        <v>3849</v>
      </c>
      <c r="B137" s="69" t="s">
        <v>1600</v>
      </c>
      <c r="C137" s="69" t="s">
        <v>3982</v>
      </c>
      <c r="D137" s="96" t="s">
        <v>1601</v>
      </c>
      <c r="E137" s="69">
        <v>16</v>
      </c>
      <c r="F137" s="123">
        <v>4.74</v>
      </c>
      <c r="G137" s="123">
        <v>5.5</v>
      </c>
      <c r="H137" s="208">
        <v>88</v>
      </c>
      <c r="I137" s="215"/>
      <c r="J137" s="215"/>
      <c r="K137" s="215">
        <v>88</v>
      </c>
      <c r="L137" s="216">
        <v>75.84</v>
      </c>
    </row>
    <row r="138" spans="1:12" hidden="1">
      <c r="A138" s="209" t="s">
        <v>3849</v>
      </c>
      <c r="B138" s="69" t="s">
        <v>1570</v>
      </c>
      <c r="C138" s="69" t="s">
        <v>3982</v>
      </c>
      <c r="D138" s="96" t="s">
        <v>1571</v>
      </c>
      <c r="E138" s="69">
        <v>2</v>
      </c>
      <c r="F138" s="123">
        <v>51.97</v>
      </c>
      <c r="G138" s="123">
        <v>60</v>
      </c>
      <c r="H138" s="208">
        <v>120</v>
      </c>
      <c r="I138" s="215"/>
      <c r="J138" s="215"/>
      <c r="K138" s="215">
        <v>120</v>
      </c>
      <c r="L138" s="216">
        <v>103.94</v>
      </c>
    </row>
    <row r="139" spans="1:12" hidden="1">
      <c r="A139" s="209" t="s">
        <v>3849</v>
      </c>
      <c r="B139" s="69" t="s">
        <v>1582</v>
      </c>
      <c r="C139" s="69" t="s">
        <v>3982</v>
      </c>
      <c r="D139" s="96" t="s">
        <v>1583</v>
      </c>
      <c r="E139" s="69">
        <v>12</v>
      </c>
      <c r="F139" s="123">
        <v>6.02</v>
      </c>
      <c r="G139" s="123">
        <v>7.25</v>
      </c>
      <c r="H139" s="208">
        <v>87</v>
      </c>
      <c r="I139" s="215"/>
      <c r="J139" s="215"/>
      <c r="K139" s="215">
        <v>87</v>
      </c>
      <c r="L139" s="216">
        <v>72.239999999999995</v>
      </c>
    </row>
    <row r="140" spans="1:12" hidden="1">
      <c r="A140" s="209" t="s">
        <v>3849</v>
      </c>
      <c r="B140" s="69" t="s">
        <v>1580</v>
      </c>
      <c r="C140" s="69" t="s">
        <v>3982</v>
      </c>
      <c r="D140" s="96" t="s">
        <v>1581</v>
      </c>
      <c r="E140" s="69">
        <v>12</v>
      </c>
      <c r="F140" s="123">
        <v>6.02</v>
      </c>
      <c r="G140" s="123">
        <v>7.25</v>
      </c>
      <c r="H140" s="208">
        <v>87</v>
      </c>
      <c r="I140" s="215"/>
      <c r="J140" s="215"/>
      <c r="K140" s="215">
        <v>87</v>
      </c>
      <c r="L140" s="216">
        <v>72.239999999999995</v>
      </c>
    </row>
    <row r="141" spans="1:12" hidden="1">
      <c r="A141" s="209" t="s">
        <v>3849</v>
      </c>
      <c r="B141" s="69" t="s">
        <v>1560</v>
      </c>
      <c r="C141" s="69" t="s">
        <v>3982</v>
      </c>
      <c r="D141" s="96" t="s">
        <v>1561</v>
      </c>
      <c r="E141" s="69">
        <v>12</v>
      </c>
      <c r="F141" s="123">
        <v>6.12</v>
      </c>
      <c r="G141" s="123">
        <v>7.25</v>
      </c>
      <c r="H141" s="208">
        <v>87</v>
      </c>
      <c r="I141" s="215"/>
      <c r="J141" s="215"/>
      <c r="K141" s="215">
        <v>87</v>
      </c>
      <c r="L141" s="216">
        <v>73.44</v>
      </c>
    </row>
    <row r="142" spans="1:12" hidden="1">
      <c r="A142" s="209" t="s">
        <v>3849</v>
      </c>
      <c r="B142" s="69" t="s">
        <v>1473</v>
      </c>
      <c r="C142" s="69" t="s">
        <v>3982</v>
      </c>
      <c r="D142" s="96" t="s">
        <v>1474</v>
      </c>
      <c r="E142" s="69">
        <v>1</v>
      </c>
      <c r="F142" s="123">
        <v>60.4</v>
      </c>
      <c r="G142" s="123">
        <v>70</v>
      </c>
      <c r="H142" s="208">
        <v>70</v>
      </c>
      <c r="I142" s="215"/>
      <c r="J142" s="215"/>
      <c r="K142" s="215">
        <v>70</v>
      </c>
      <c r="L142" s="216">
        <v>60.4</v>
      </c>
    </row>
    <row r="143" spans="1:12" hidden="1">
      <c r="A143" s="209" t="s">
        <v>3849</v>
      </c>
      <c r="B143" s="69" t="s">
        <v>1656</v>
      </c>
      <c r="C143" s="69" t="s">
        <v>3982</v>
      </c>
      <c r="D143" s="96" t="s">
        <v>1657</v>
      </c>
      <c r="E143" s="69">
        <v>1</v>
      </c>
      <c r="F143" s="123">
        <v>53.2</v>
      </c>
      <c r="G143" s="123">
        <v>61.25</v>
      </c>
      <c r="H143" s="208">
        <v>61.25</v>
      </c>
      <c r="I143" s="215"/>
      <c r="J143" s="215"/>
      <c r="K143" s="215">
        <v>61.25</v>
      </c>
      <c r="L143" s="216">
        <v>53.2</v>
      </c>
    </row>
    <row r="144" spans="1:12">
      <c r="A144" s="209" t="s">
        <v>3849</v>
      </c>
      <c r="B144" s="69" t="s">
        <v>1594</v>
      </c>
      <c r="C144" s="69" t="s">
        <v>3982</v>
      </c>
      <c r="D144" s="96" t="s">
        <v>1595</v>
      </c>
      <c r="E144" s="69">
        <v>2</v>
      </c>
      <c r="F144" s="123">
        <v>27.84</v>
      </c>
      <c r="G144" s="123">
        <v>45</v>
      </c>
      <c r="H144" s="208">
        <v>90</v>
      </c>
      <c r="I144" s="215"/>
      <c r="J144" s="215"/>
      <c r="K144" s="215">
        <v>90</v>
      </c>
      <c r="L144" s="216">
        <v>55.68</v>
      </c>
    </row>
    <row r="145" spans="1:12" hidden="1">
      <c r="A145" s="209" t="s">
        <v>3849</v>
      </c>
      <c r="B145" s="69" t="s">
        <v>1024</v>
      </c>
      <c r="C145" s="69" t="s">
        <v>3982</v>
      </c>
      <c r="D145" s="96" t="s">
        <v>1025</v>
      </c>
      <c r="E145" s="69">
        <v>2</v>
      </c>
      <c r="F145" s="123">
        <v>8.58</v>
      </c>
      <c r="G145" s="123">
        <v>10</v>
      </c>
      <c r="H145" s="208">
        <v>20</v>
      </c>
      <c r="I145" s="215"/>
      <c r="J145" s="215"/>
      <c r="K145" s="215">
        <v>20</v>
      </c>
      <c r="L145" s="216">
        <v>17.16</v>
      </c>
    </row>
    <row r="146" spans="1:12" hidden="1">
      <c r="A146" s="209" t="s">
        <v>3849</v>
      </c>
      <c r="B146" s="69" t="s">
        <v>2072</v>
      </c>
      <c r="C146" s="69" t="s">
        <v>3982</v>
      </c>
      <c r="D146" s="96" t="s">
        <v>2073</v>
      </c>
      <c r="E146" s="69">
        <v>1</v>
      </c>
      <c r="F146" s="123">
        <v>64.58</v>
      </c>
      <c r="G146" s="123">
        <v>74.5</v>
      </c>
      <c r="H146" s="208">
        <v>74.5</v>
      </c>
      <c r="I146" s="215"/>
      <c r="J146" s="215"/>
      <c r="K146" s="215">
        <v>74.5</v>
      </c>
      <c r="L146" s="216">
        <v>64.58</v>
      </c>
    </row>
    <row r="147" spans="1:12" hidden="1">
      <c r="A147" s="209" t="s">
        <v>3849</v>
      </c>
      <c r="B147" s="69" t="s">
        <v>2589</v>
      </c>
      <c r="C147" s="69" t="s">
        <v>3982</v>
      </c>
      <c r="D147" s="96" t="s">
        <v>2590</v>
      </c>
      <c r="E147" s="69">
        <v>8</v>
      </c>
      <c r="F147" s="123">
        <v>5.41</v>
      </c>
      <c r="G147" s="123">
        <v>6.25</v>
      </c>
      <c r="H147" s="208">
        <v>50</v>
      </c>
      <c r="I147" s="215"/>
      <c r="J147" s="215"/>
      <c r="K147" s="215">
        <v>50</v>
      </c>
      <c r="L147" s="216">
        <v>43.28</v>
      </c>
    </row>
    <row r="148" spans="1:12" hidden="1">
      <c r="A148" s="209" t="s">
        <v>3849</v>
      </c>
      <c r="B148" s="69" t="s">
        <v>2672</v>
      </c>
      <c r="C148" s="69" t="s">
        <v>3982</v>
      </c>
      <c r="D148" s="96" t="s">
        <v>2673</v>
      </c>
      <c r="E148" s="69">
        <v>1</v>
      </c>
      <c r="F148" s="123">
        <v>23.15</v>
      </c>
      <c r="G148" s="123">
        <v>27</v>
      </c>
      <c r="H148" s="208">
        <v>27</v>
      </c>
      <c r="I148" s="215"/>
      <c r="J148" s="215"/>
      <c r="K148" s="215">
        <v>27</v>
      </c>
      <c r="L148" s="216">
        <v>23.15</v>
      </c>
    </row>
    <row r="149" spans="1:12" hidden="1">
      <c r="A149" s="209" t="s">
        <v>3849</v>
      </c>
      <c r="B149" s="69" t="s">
        <v>2211</v>
      </c>
      <c r="C149" s="69" t="s">
        <v>3983</v>
      </c>
      <c r="D149" s="96" t="s">
        <v>2212</v>
      </c>
      <c r="E149" s="69">
        <v>2</v>
      </c>
      <c r="F149" s="123">
        <v>17.059999999999999</v>
      </c>
      <c r="G149" s="123">
        <v>19.75</v>
      </c>
      <c r="H149" s="208">
        <v>39.5</v>
      </c>
      <c r="I149" s="215"/>
      <c r="J149" s="215"/>
      <c r="K149" s="215">
        <v>39.5</v>
      </c>
      <c r="L149" s="216">
        <v>34.119999999999997</v>
      </c>
    </row>
    <row r="150" spans="1:12" hidden="1">
      <c r="A150" s="209" t="s">
        <v>3849</v>
      </c>
      <c r="B150" s="69" t="s">
        <v>96</v>
      </c>
      <c r="C150" s="69" t="s">
        <v>3984</v>
      </c>
      <c r="D150" s="96" t="s">
        <v>97</v>
      </c>
      <c r="E150" s="69">
        <v>1</v>
      </c>
      <c r="F150" s="123">
        <v>17.649999999999999</v>
      </c>
      <c r="G150" s="123">
        <v>20.5</v>
      </c>
      <c r="H150" s="208">
        <v>20.5</v>
      </c>
      <c r="I150" s="215"/>
      <c r="J150" s="215"/>
      <c r="K150" s="215">
        <v>20.5</v>
      </c>
      <c r="L150" s="216">
        <v>17.649999999999999</v>
      </c>
    </row>
    <row r="151" spans="1:12" hidden="1">
      <c r="A151" s="209" t="s">
        <v>3849</v>
      </c>
      <c r="B151" s="69" t="s">
        <v>3080</v>
      </c>
      <c r="C151" s="69" t="s">
        <v>3985</v>
      </c>
      <c r="D151" s="96" t="s">
        <v>3081</v>
      </c>
      <c r="E151" s="69">
        <v>1</v>
      </c>
      <c r="F151" s="123">
        <v>20.399999999999999</v>
      </c>
      <c r="G151" s="123">
        <v>23.5</v>
      </c>
      <c r="H151" s="208">
        <v>23.5</v>
      </c>
      <c r="I151" s="215"/>
      <c r="J151" s="215"/>
      <c r="K151" s="215">
        <v>23.5</v>
      </c>
      <c r="L151" s="216">
        <v>20.399999999999999</v>
      </c>
    </row>
    <row r="152" spans="1:12" hidden="1">
      <c r="A152" s="209" t="s">
        <v>3849</v>
      </c>
      <c r="B152" s="69" t="s">
        <v>3145</v>
      </c>
      <c r="C152" s="69" t="s">
        <v>3986</v>
      </c>
      <c r="D152" s="96" t="s">
        <v>3146</v>
      </c>
      <c r="E152" s="69">
        <v>1</v>
      </c>
      <c r="F152" s="123">
        <v>49.75</v>
      </c>
      <c r="G152" s="123">
        <v>57.25</v>
      </c>
      <c r="H152" s="208">
        <v>57.25</v>
      </c>
      <c r="I152" s="215"/>
      <c r="J152" s="215"/>
      <c r="K152" s="215">
        <v>57.25</v>
      </c>
      <c r="L152" s="216">
        <v>49.75</v>
      </c>
    </row>
    <row r="153" spans="1:12" hidden="1">
      <c r="A153" s="209" t="s">
        <v>3849</v>
      </c>
      <c r="B153" s="69" t="s">
        <v>2193</v>
      </c>
      <c r="C153" s="69" t="s">
        <v>3987</v>
      </c>
      <c r="D153" s="96" t="s">
        <v>2194</v>
      </c>
      <c r="E153" s="69">
        <v>2</v>
      </c>
      <c r="F153" s="123">
        <v>18.64</v>
      </c>
      <c r="G153" s="123">
        <v>21.5</v>
      </c>
      <c r="H153" s="208">
        <v>43</v>
      </c>
      <c r="I153" s="215"/>
      <c r="J153" s="215"/>
      <c r="K153" s="215">
        <v>43</v>
      </c>
      <c r="L153" s="216">
        <v>37.28</v>
      </c>
    </row>
    <row r="154" spans="1:12" hidden="1">
      <c r="A154" s="209" t="s">
        <v>3849</v>
      </c>
      <c r="B154" s="69" t="s">
        <v>2633</v>
      </c>
      <c r="C154" s="69" t="s">
        <v>3987</v>
      </c>
      <c r="D154" s="96" t="s">
        <v>2634</v>
      </c>
      <c r="E154" s="69">
        <v>2</v>
      </c>
      <c r="F154" s="123">
        <v>14.43</v>
      </c>
      <c r="G154" s="123">
        <v>17</v>
      </c>
      <c r="H154" s="208">
        <v>34</v>
      </c>
      <c r="I154" s="215"/>
      <c r="J154" s="215"/>
      <c r="K154" s="215">
        <v>34</v>
      </c>
      <c r="L154" s="216">
        <v>28.86</v>
      </c>
    </row>
    <row r="155" spans="1:12" hidden="1">
      <c r="A155" s="209" t="s">
        <v>3849</v>
      </c>
      <c r="B155" s="69" t="s">
        <v>800</v>
      </c>
      <c r="C155" s="69" t="s">
        <v>3987</v>
      </c>
      <c r="D155" s="96" t="s">
        <v>801</v>
      </c>
      <c r="E155" s="69">
        <v>2</v>
      </c>
      <c r="F155" s="123">
        <v>3.94</v>
      </c>
      <c r="G155" s="123">
        <v>5</v>
      </c>
      <c r="H155" s="208">
        <v>10</v>
      </c>
      <c r="I155" s="215"/>
      <c r="J155" s="215"/>
      <c r="K155" s="215">
        <v>10</v>
      </c>
      <c r="L155" s="216">
        <v>7.88</v>
      </c>
    </row>
    <row r="156" spans="1:12" hidden="1">
      <c r="A156" s="209" t="s">
        <v>3849</v>
      </c>
      <c r="B156" s="69" t="s">
        <v>1790</v>
      </c>
      <c r="C156" s="69" t="s">
        <v>3987</v>
      </c>
      <c r="D156" s="96" t="s">
        <v>1791</v>
      </c>
      <c r="E156" s="69">
        <v>2</v>
      </c>
      <c r="F156" s="123">
        <v>9.17</v>
      </c>
      <c r="G156" s="123">
        <v>10.75</v>
      </c>
      <c r="H156" s="208">
        <v>21.5</v>
      </c>
      <c r="I156" s="215"/>
      <c r="J156" s="215"/>
      <c r="K156" s="215">
        <v>21.5</v>
      </c>
      <c r="L156" s="216">
        <v>18.34</v>
      </c>
    </row>
    <row r="157" spans="1:12" hidden="1">
      <c r="A157" s="209" t="s">
        <v>3849</v>
      </c>
      <c r="B157" s="69" t="s">
        <v>3627</v>
      </c>
      <c r="C157" s="69" t="s">
        <v>3987</v>
      </c>
      <c r="D157" s="96" t="s">
        <v>3628</v>
      </c>
      <c r="E157" s="69">
        <v>1</v>
      </c>
      <c r="F157" s="123">
        <v>16.91</v>
      </c>
      <c r="G157" s="123">
        <v>18.600000000000001</v>
      </c>
      <c r="H157" s="208">
        <v>18.600000000000001</v>
      </c>
      <c r="I157" s="215"/>
      <c r="J157" s="215"/>
      <c r="K157" s="215">
        <v>18.600000000000001</v>
      </c>
      <c r="L157" s="216">
        <v>16.91</v>
      </c>
    </row>
    <row r="158" spans="1:12" hidden="1">
      <c r="A158" s="209" t="s">
        <v>3849</v>
      </c>
      <c r="B158" s="69" t="s">
        <v>3658</v>
      </c>
      <c r="C158" s="69" t="s">
        <v>3987</v>
      </c>
      <c r="D158" s="96" t="s">
        <v>3659</v>
      </c>
      <c r="E158" s="69">
        <v>1</v>
      </c>
      <c r="F158" s="123">
        <v>13.12</v>
      </c>
      <c r="G158" s="123">
        <v>15.25</v>
      </c>
      <c r="H158" s="208">
        <v>15.25</v>
      </c>
      <c r="I158" s="215"/>
      <c r="J158" s="215"/>
      <c r="K158" s="215">
        <v>15.25</v>
      </c>
      <c r="L158" s="216">
        <v>13.12</v>
      </c>
    </row>
    <row r="159" spans="1:12" hidden="1">
      <c r="A159" s="209" t="s">
        <v>3849</v>
      </c>
      <c r="B159" s="69" t="s">
        <v>1162</v>
      </c>
      <c r="C159" s="69" t="s">
        <v>3987</v>
      </c>
      <c r="D159" s="96" t="s">
        <v>1163</v>
      </c>
      <c r="E159" s="69">
        <v>1</v>
      </c>
      <c r="F159" s="123">
        <v>21.88</v>
      </c>
      <c r="G159" s="123">
        <v>25.25</v>
      </c>
      <c r="H159" s="208">
        <v>25.25</v>
      </c>
      <c r="I159" s="215"/>
      <c r="J159" s="215"/>
      <c r="K159" s="215">
        <v>25.25</v>
      </c>
      <c r="L159" s="216">
        <v>21.88</v>
      </c>
    </row>
    <row r="160" spans="1:12" hidden="1">
      <c r="A160" s="209" t="s">
        <v>3849</v>
      </c>
      <c r="B160" s="69" t="s">
        <v>1164</v>
      </c>
      <c r="C160" s="69" t="s">
        <v>3987</v>
      </c>
      <c r="D160" s="96" t="s">
        <v>1165</v>
      </c>
      <c r="E160" s="69">
        <v>1</v>
      </c>
      <c r="F160" s="123">
        <v>21.88</v>
      </c>
      <c r="G160" s="123">
        <v>24.5</v>
      </c>
      <c r="H160" s="208">
        <v>24.5</v>
      </c>
      <c r="I160" s="215"/>
      <c r="J160" s="215"/>
      <c r="K160" s="215">
        <v>24.5</v>
      </c>
      <c r="L160" s="216">
        <v>21.88</v>
      </c>
    </row>
    <row r="161" spans="1:12" hidden="1">
      <c r="A161" s="209" t="s">
        <v>3849</v>
      </c>
      <c r="B161" s="69" t="s">
        <v>267</v>
      </c>
      <c r="C161" s="69" t="s">
        <v>3987</v>
      </c>
      <c r="D161" s="96" t="s">
        <v>268</v>
      </c>
      <c r="E161" s="69">
        <v>1</v>
      </c>
      <c r="F161" s="123">
        <v>60</v>
      </c>
      <c r="G161" s="123">
        <v>75</v>
      </c>
      <c r="H161" s="208">
        <v>75</v>
      </c>
      <c r="I161" s="215"/>
      <c r="J161" s="215"/>
      <c r="K161" s="215">
        <v>75</v>
      </c>
      <c r="L161" s="216">
        <v>60</v>
      </c>
    </row>
    <row r="162" spans="1:12" hidden="1">
      <c r="A162" s="209" t="s">
        <v>3849</v>
      </c>
      <c r="B162" s="69" t="s">
        <v>1164</v>
      </c>
      <c r="C162" s="69" t="s">
        <v>3988</v>
      </c>
      <c r="D162" s="96" t="s">
        <v>1165</v>
      </c>
      <c r="E162" s="69">
        <v>1</v>
      </c>
      <c r="F162" s="123">
        <v>21.88</v>
      </c>
      <c r="G162" s="123">
        <v>24.5</v>
      </c>
      <c r="H162" s="208">
        <v>24.5</v>
      </c>
      <c r="I162" s="215"/>
      <c r="J162" s="215"/>
      <c r="K162" s="215">
        <v>24.5</v>
      </c>
      <c r="L162" s="216">
        <v>21.88</v>
      </c>
    </row>
    <row r="163" spans="1:12" hidden="1">
      <c r="A163" s="209" t="s">
        <v>3849</v>
      </c>
      <c r="B163" s="69" t="s">
        <v>1164</v>
      </c>
      <c r="C163" s="69" t="s">
        <v>3989</v>
      </c>
      <c r="D163" s="96" t="s">
        <v>1165</v>
      </c>
      <c r="E163" s="69">
        <v>1</v>
      </c>
      <c r="F163" s="123">
        <v>21.88</v>
      </c>
      <c r="G163" s="123">
        <v>24.5</v>
      </c>
      <c r="H163" s="208">
        <v>24.5</v>
      </c>
      <c r="I163" s="215"/>
      <c r="J163" s="215"/>
      <c r="K163" s="215">
        <v>24.5</v>
      </c>
      <c r="L163" s="216">
        <v>21.88</v>
      </c>
    </row>
    <row r="164" spans="1:12" hidden="1">
      <c r="A164" s="209" t="s">
        <v>3849</v>
      </c>
      <c r="B164" s="69" t="s">
        <v>375</v>
      </c>
      <c r="C164" s="69" t="s">
        <v>3990</v>
      </c>
      <c r="D164" s="96" t="s">
        <v>376</v>
      </c>
      <c r="E164" s="69">
        <v>1</v>
      </c>
      <c r="F164" s="123">
        <v>44.8</v>
      </c>
      <c r="G164" s="123">
        <v>51.75</v>
      </c>
      <c r="H164" s="208">
        <v>51.75</v>
      </c>
      <c r="I164" s="215"/>
      <c r="J164" s="215"/>
      <c r="K164" s="215">
        <v>51.75</v>
      </c>
      <c r="L164" s="216">
        <v>44.8</v>
      </c>
    </row>
    <row r="165" spans="1:12" hidden="1">
      <c r="A165" s="209" t="s">
        <v>3849</v>
      </c>
      <c r="B165" s="69" t="s">
        <v>1443</v>
      </c>
      <c r="C165" s="69" t="s">
        <v>3990</v>
      </c>
      <c r="D165" s="96" t="s">
        <v>1444</v>
      </c>
      <c r="E165" s="69">
        <v>1</v>
      </c>
      <c r="F165" s="123">
        <v>71.06</v>
      </c>
      <c r="G165" s="123">
        <v>81.75</v>
      </c>
      <c r="H165" s="208">
        <v>81.75</v>
      </c>
      <c r="I165" s="215"/>
      <c r="J165" s="215"/>
      <c r="K165" s="215">
        <v>81.75</v>
      </c>
      <c r="L165" s="216">
        <v>71.06</v>
      </c>
    </row>
    <row r="166" spans="1:12" hidden="1">
      <c r="A166" s="209" t="s">
        <v>3849</v>
      </c>
      <c r="B166" s="69" t="s">
        <v>53</v>
      </c>
      <c r="C166" s="69" t="s">
        <v>3990</v>
      </c>
      <c r="D166" s="96" t="s">
        <v>54</v>
      </c>
      <c r="E166" s="69">
        <v>1</v>
      </c>
      <c r="F166" s="123">
        <v>16.03</v>
      </c>
      <c r="G166" s="123">
        <v>18.5</v>
      </c>
      <c r="H166" s="208">
        <v>18.5</v>
      </c>
      <c r="I166" s="215"/>
      <c r="J166" s="215"/>
      <c r="K166" s="215">
        <v>18.5</v>
      </c>
      <c r="L166" s="216">
        <v>16.03</v>
      </c>
    </row>
    <row r="167" spans="1:12" hidden="1">
      <c r="A167" s="209" t="s">
        <v>3849</v>
      </c>
      <c r="B167" s="69" t="s">
        <v>732</v>
      </c>
      <c r="C167" s="69" t="s">
        <v>3991</v>
      </c>
      <c r="D167" s="96" t="s">
        <v>733</v>
      </c>
      <c r="E167" s="69">
        <v>1</v>
      </c>
      <c r="F167" s="123">
        <v>22.19</v>
      </c>
      <c r="G167" s="123">
        <v>25.75</v>
      </c>
      <c r="H167" s="208">
        <v>25.75</v>
      </c>
      <c r="I167" s="215"/>
      <c r="J167" s="215"/>
      <c r="K167" s="215">
        <v>25.75</v>
      </c>
      <c r="L167" s="216">
        <v>22.19</v>
      </c>
    </row>
    <row r="168" spans="1:12" hidden="1">
      <c r="A168" s="209" t="s">
        <v>3849</v>
      </c>
      <c r="B168" s="69" t="s">
        <v>1564</v>
      </c>
      <c r="C168" s="69" t="s">
        <v>3992</v>
      </c>
      <c r="D168" s="96" t="s">
        <v>1565</v>
      </c>
      <c r="E168" s="69">
        <v>1</v>
      </c>
      <c r="F168" s="123">
        <v>51.97</v>
      </c>
      <c r="G168" s="123">
        <v>60</v>
      </c>
      <c r="H168" s="208">
        <v>60</v>
      </c>
      <c r="I168" s="215"/>
      <c r="J168" s="215"/>
      <c r="K168" s="215">
        <v>60</v>
      </c>
      <c r="L168" s="216">
        <v>51.97</v>
      </c>
    </row>
    <row r="169" spans="1:12" hidden="1">
      <c r="A169" s="209" t="s">
        <v>3849</v>
      </c>
      <c r="B169" s="69" t="s">
        <v>1570</v>
      </c>
      <c r="C169" s="69" t="s">
        <v>3992</v>
      </c>
      <c r="D169" s="96" t="s">
        <v>1571</v>
      </c>
      <c r="E169" s="69">
        <v>1</v>
      </c>
      <c r="F169" s="123">
        <v>51.97</v>
      </c>
      <c r="G169" s="123">
        <v>60</v>
      </c>
      <c r="H169" s="208">
        <v>60</v>
      </c>
      <c r="I169" s="215"/>
      <c r="J169" s="215"/>
      <c r="K169" s="215">
        <v>60</v>
      </c>
      <c r="L169" s="216">
        <v>51.97</v>
      </c>
    </row>
    <row r="170" spans="1:12" hidden="1">
      <c r="A170" s="209" t="s">
        <v>3849</v>
      </c>
      <c r="B170" s="69" t="s">
        <v>1095</v>
      </c>
      <c r="C170" s="69" t="s">
        <v>3993</v>
      </c>
      <c r="D170" s="96" t="s">
        <v>1096</v>
      </c>
      <c r="E170" s="69">
        <v>1</v>
      </c>
      <c r="F170" s="123">
        <v>8.75</v>
      </c>
      <c r="G170" s="123">
        <v>10.25</v>
      </c>
      <c r="H170" s="208">
        <v>10.25</v>
      </c>
      <c r="I170" s="215"/>
      <c r="J170" s="215"/>
      <c r="K170" s="215">
        <v>10.25</v>
      </c>
      <c r="L170" s="216">
        <v>8.75</v>
      </c>
    </row>
    <row r="171" spans="1:12" hidden="1">
      <c r="A171" s="209" t="s">
        <v>3849</v>
      </c>
      <c r="B171" s="69" t="s">
        <v>285</v>
      </c>
      <c r="C171" s="69" t="s">
        <v>3994</v>
      </c>
      <c r="D171" s="96" t="s">
        <v>286</v>
      </c>
      <c r="E171" s="69">
        <v>2</v>
      </c>
      <c r="F171" s="123">
        <v>15.65</v>
      </c>
      <c r="G171" s="123">
        <v>18</v>
      </c>
      <c r="H171" s="208">
        <v>36</v>
      </c>
      <c r="I171" s="215"/>
      <c r="J171" s="215"/>
      <c r="K171" s="215">
        <v>36</v>
      </c>
      <c r="L171" s="216">
        <v>31.3</v>
      </c>
    </row>
    <row r="172" spans="1:12" hidden="1">
      <c r="A172" s="209" t="s">
        <v>3849</v>
      </c>
      <c r="B172" s="69" t="s">
        <v>96</v>
      </c>
      <c r="C172" s="69" t="s">
        <v>3994</v>
      </c>
      <c r="D172" s="96" t="s">
        <v>97</v>
      </c>
      <c r="E172" s="69">
        <v>1</v>
      </c>
      <c r="F172" s="123">
        <v>17.649999999999999</v>
      </c>
      <c r="G172" s="123">
        <v>20.5</v>
      </c>
      <c r="H172" s="208">
        <v>20.5</v>
      </c>
      <c r="I172" s="215"/>
      <c r="J172" s="215"/>
      <c r="K172" s="215">
        <v>20.5</v>
      </c>
      <c r="L172" s="216">
        <v>17.649999999999999</v>
      </c>
    </row>
    <row r="173" spans="1:12" hidden="1">
      <c r="A173" s="209" t="s">
        <v>3849</v>
      </c>
      <c r="B173" s="69" t="s">
        <v>180</v>
      </c>
      <c r="C173" s="69" t="s">
        <v>3994</v>
      </c>
      <c r="D173" s="96" t="s">
        <v>181</v>
      </c>
      <c r="E173" s="69">
        <v>1</v>
      </c>
      <c r="F173" s="123">
        <v>16.579999999999998</v>
      </c>
      <c r="G173" s="123">
        <v>19</v>
      </c>
      <c r="H173" s="208">
        <v>19</v>
      </c>
      <c r="I173" s="215"/>
      <c r="J173" s="215"/>
      <c r="K173" s="215">
        <v>19</v>
      </c>
      <c r="L173" s="216">
        <v>16.579999999999998</v>
      </c>
    </row>
    <row r="174" spans="1:12" hidden="1">
      <c r="A174" s="209" t="s">
        <v>3849</v>
      </c>
      <c r="B174" s="69" t="s">
        <v>3288</v>
      </c>
      <c r="C174" s="69" t="s">
        <v>3994</v>
      </c>
      <c r="D174" s="96" t="s">
        <v>3289</v>
      </c>
      <c r="E174" s="69">
        <v>2</v>
      </c>
      <c r="F174" s="123">
        <v>11.5</v>
      </c>
      <c r="G174" s="123">
        <v>13.5</v>
      </c>
      <c r="H174" s="208">
        <v>27</v>
      </c>
      <c r="I174" s="215"/>
      <c r="J174" s="215"/>
      <c r="K174" s="215">
        <v>27</v>
      </c>
      <c r="L174" s="216">
        <v>23</v>
      </c>
    </row>
    <row r="175" spans="1:12" hidden="1">
      <c r="A175" s="209" t="s">
        <v>3849</v>
      </c>
      <c r="B175" s="69" t="s">
        <v>279</v>
      </c>
      <c r="C175" s="69" t="s">
        <v>3995</v>
      </c>
      <c r="D175" s="96" t="s">
        <v>280</v>
      </c>
      <c r="E175" s="69">
        <v>1</v>
      </c>
      <c r="F175" s="123">
        <v>31.6</v>
      </c>
      <c r="G175" s="123">
        <v>36.5</v>
      </c>
      <c r="H175" s="208">
        <v>36.5</v>
      </c>
      <c r="I175" s="215"/>
      <c r="J175" s="215"/>
      <c r="K175" s="215">
        <v>36.5</v>
      </c>
      <c r="L175" s="216">
        <v>31.6</v>
      </c>
    </row>
    <row r="176" spans="1:12" hidden="1">
      <c r="A176" s="209" t="s">
        <v>3849</v>
      </c>
      <c r="B176" s="69" t="s">
        <v>2668</v>
      </c>
      <c r="C176" s="69" t="s">
        <v>3996</v>
      </c>
      <c r="D176" s="96" t="s">
        <v>2669</v>
      </c>
      <c r="E176" s="69">
        <v>1</v>
      </c>
      <c r="F176" s="123">
        <v>39.880000000000003</v>
      </c>
      <c r="G176" s="123">
        <v>46</v>
      </c>
      <c r="H176" s="208">
        <v>46</v>
      </c>
      <c r="I176" s="215"/>
      <c r="J176" s="215"/>
      <c r="K176" s="215">
        <v>46</v>
      </c>
      <c r="L176" s="216">
        <v>39.880000000000003</v>
      </c>
    </row>
    <row r="177" spans="1:12" hidden="1">
      <c r="A177" s="209" t="s">
        <v>3849</v>
      </c>
      <c r="B177" s="69" t="s">
        <v>2357</v>
      </c>
      <c r="C177" s="69" t="s">
        <v>3996</v>
      </c>
      <c r="D177" s="96" t="s">
        <v>2358</v>
      </c>
      <c r="E177" s="69">
        <v>1</v>
      </c>
      <c r="F177" s="123">
        <v>43.5</v>
      </c>
      <c r="G177" s="123">
        <v>50</v>
      </c>
      <c r="H177" s="208">
        <v>50</v>
      </c>
      <c r="I177" s="215"/>
      <c r="J177" s="215"/>
      <c r="K177" s="215">
        <v>50</v>
      </c>
      <c r="L177" s="216">
        <v>43.5</v>
      </c>
    </row>
    <row r="178" spans="1:12" hidden="1">
      <c r="A178" s="209" t="s">
        <v>3849</v>
      </c>
      <c r="B178" s="69" t="s">
        <v>2603</v>
      </c>
      <c r="C178" s="69" t="s">
        <v>3997</v>
      </c>
      <c r="D178" s="96" t="s">
        <v>2604</v>
      </c>
      <c r="E178" s="69">
        <v>1</v>
      </c>
      <c r="F178" s="123">
        <v>38.25</v>
      </c>
      <c r="G178" s="123">
        <v>44</v>
      </c>
      <c r="H178" s="208">
        <v>44</v>
      </c>
      <c r="I178" s="215"/>
      <c r="J178" s="215"/>
      <c r="K178" s="215">
        <v>44</v>
      </c>
      <c r="L178" s="216">
        <v>38.25</v>
      </c>
    </row>
    <row r="179" spans="1:12" hidden="1">
      <c r="A179" s="209" t="s">
        <v>3849</v>
      </c>
      <c r="B179" s="69" t="s">
        <v>3056</v>
      </c>
      <c r="C179" s="69" t="s">
        <v>3998</v>
      </c>
      <c r="D179" s="96" t="s">
        <v>3057</v>
      </c>
      <c r="E179" s="69">
        <v>1</v>
      </c>
      <c r="F179" s="123">
        <v>69.510000000000005</v>
      </c>
      <c r="G179" s="123">
        <v>80</v>
      </c>
      <c r="H179" s="208">
        <v>80</v>
      </c>
      <c r="I179" s="215"/>
      <c r="J179" s="215"/>
      <c r="K179" s="215">
        <v>80</v>
      </c>
      <c r="L179" s="216">
        <v>69.510000000000005</v>
      </c>
    </row>
    <row r="180" spans="1:12" hidden="1">
      <c r="A180" s="209" t="s">
        <v>3849</v>
      </c>
      <c r="B180" s="69" t="s">
        <v>1610</v>
      </c>
      <c r="C180" s="69" t="s">
        <v>3999</v>
      </c>
      <c r="D180" s="96" t="s">
        <v>1611</v>
      </c>
      <c r="E180" s="69">
        <v>2</v>
      </c>
      <c r="F180" s="123">
        <v>35.68</v>
      </c>
      <c r="G180" s="123">
        <v>41.25</v>
      </c>
      <c r="H180" s="208">
        <v>82.5</v>
      </c>
      <c r="I180" s="215"/>
      <c r="J180" s="215"/>
      <c r="K180" s="215">
        <v>82.5</v>
      </c>
      <c r="L180" s="216">
        <v>71.36</v>
      </c>
    </row>
    <row r="181" spans="1:12" hidden="1">
      <c r="A181" s="209" t="s">
        <v>3849</v>
      </c>
      <c r="B181" s="69" t="s">
        <v>1570</v>
      </c>
      <c r="C181" s="69" t="s">
        <v>3999</v>
      </c>
      <c r="D181" s="96" t="s">
        <v>1571</v>
      </c>
      <c r="E181" s="69">
        <v>2</v>
      </c>
      <c r="F181" s="123">
        <v>51.97</v>
      </c>
      <c r="G181" s="123">
        <v>60</v>
      </c>
      <c r="H181" s="208">
        <v>120</v>
      </c>
      <c r="I181" s="215"/>
      <c r="J181" s="215"/>
      <c r="K181" s="215">
        <v>120</v>
      </c>
      <c r="L181" s="216">
        <v>103.94</v>
      </c>
    </row>
    <row r="182" spans="1:12" hidden="1">
      <c r="A182" s="209" t="s">
        <v>3849</v>
      </c>
      <c r="B182" s="69" t="s">
        <v>1604</v>
      </c>
      <c r="C182" s="69" t="s">
        <v>3999</v>
      </c>
      <c r="D182" s="96" t="s">
        <v>1605</v>
      </c>
      <c r="E182" s="69">
        <v>4</v>
      </c>
      <c r="F182" s="123">
        <v>20.8</v>
      </c>
      <c r="G182" s="123">
        <v>24</v>
      </c>
      <c r="H182" s="208">
        <v>96</v>
      </c>
      <c r="I182" s="215"/>
      <c r="J182" s="215"/>
      <c r="K182" s="215">
        <v>96</v>
      </c>
      <c r="L182" s="216">
        <v>83.2</v>
      </c>
    </row>
    <row r="183" spans="1:12" hidden="1">
      <c r="A183" s="209" t="s">
        <v>3849</v>
      </c>
      <c r="B183" s="69" t="s">
        <v>1656</v>
      </c>
      <c r="C183" s="69" t="s">
        <v>3999</v>
      </c>
      <c r="D183" s="96" t="s">
        <v>1657</v>
      </c>
      <c r="E183" s="69">
        <v>1</v>
      </c>
      <c r="F183" s="123">
        <v>53.2</v>
      </c>
      <c r="G183" s="123">
        <v>61.25</v>
      </c>
      <c r="H183" s="208">
        <v>61.25</v>
      </c>
      <c r="I183" s="215"/>
      <c r="J183" s="215"/>
      <c r="K183" s="215">
        <v>61.25</v>
      </c>
      <c r="L183" s="216">
        <v>53.2</v>
      </c>
    </row>
    <row r="184" spans="1:12" hidden="1">
      <c r="A184" s="209" t="s">
        <v>3849</v>
      </c>
      <c r="B184" s="69" t="s">
        <v>1578</v>
      </c>
      <c r="C184" s="69" t="s">
        <v>3999</v>
      </c>
      <c r="D184" s="96" t="s">
        <v>1579</v>
      </c>
      <c r="E184" s="69">
        <v>1</v>
      </c>
      <c r="F184" s="123">
        <v>301.87</v>
      </c>
      <c r="G184" s="123">
        <v>347.25</v>
      </c>
      <c r="H184" s="208">
        <v>347.25</v>
      </c>
      <c r="I184" s="215"/>
      <c r="J184" s="215"/>
      <c r="K184" s="215">
        <v>347.25</v>
      </c>
      <c r="L184" s="216">
        <v>301.87</v>
      </c>
    </row>
    <row r="185" spans="1:12" hidden="1">
      <c r="A185" s="209" t="s">
        <v>3849</v>
      </c>
      <c r="B185" s="69" t="s">
        <v>1600</v>
      </c>
      <c r="C185" s="69" t="s">
        <v>3999</v>
      </c>
      <c r="D185" s="96" t="s">
        <v>1601</v>
      </c>
      <c r="E185" s="69">
        <v>16</v>
      </c>
      <c r="F185" s="123">
        <v>4.74</v>
      </c>
      <c r="G185" s="123">
        <v>5.5</v>
      </c>
      <c r="H185" s="208">
        <v>88</v>
      </c>
      <c r="I185" s="215"/>
      <c r="J185" s="215"/>
      <c r="K185" s="215">
        <v>88</v>
      </c>
      <c r="L185" s="216">
        <v>75.84</v>
      </c>
    </row>
    <row r="186" spans="1:12" hidden="1">
      <c r="A186" s="209" t="s">
        <v>3849</v>
      </c>
      <c r="B186" s="69" t="s">
        <v>1556</v>
      </c>
      <c r="C186" s="69" t="s">
        <v>3999</v>
      </c>
      <c r="D186" s="96" t="s">
        <v>1557</v>
      </c>
      <c r="E186" s="69">
        <v>12</v>
      </c>
      <c r="F186" s="123">
        <v>6.02</v>
      </c>
      <c r="G186" s="123">
        <v>7.25</v>
      </c>
      <c r="H186" s="208">
        <v>87</v>
      </c>
      <c r="I186" s="215"/>
      <c r="J186" s="215"/>
      <c r="K186" s="215">
        <v>87</v>
      </c>
      <c r="L186" s="216">
        <v>72.239999999999995</v>
      </c>
    </row>
    <row r="187" spans="1:12" hidden="1">
      <c r="A187" s="209" t="s">
        <v>3849</v>
      </c>
      <c r="B187" s="69" t="s">
        <v>1580</v>
      </c>
      <c r="C187" s="69" t="s">
        <v>3999</v>
      </c>
      <c r="D187" s="96" t="s">
        <v>1581</v>
      </c>
      <c r="E187" s="69">
        <v>12</v>
      </c>
      <c r="F187" s="123">
        <v>6.02</v>
      </c>
      <c r="G187" s="123">
        <v>7.25</v>
      </c>
      <c r="H187" s="208">
        <v>87</v>
      </c>
      <c r="I187" s="215"/>
      <c r="J187" s="215"/>
      <c r="K187" s="215">
        <v>87</v>
      </c>
      <c r="L187" s="216">
        <v>72.239999999999995</v>
      </c>
    </row>
    <row r="188" spans="1:12" hidden="1">
      <c r="A188" s="209" t="s">
        <v>3849</v>
      </c>
      <c r="B188" s="69" t="s">
        <v>1586</v>
      </c>
      <c r="C188" s="69" t="s">
        <v>3999</v>
      </c>
      <c r="D188" s="96" t="s">
        <v>1587</v>
      </c>
      <c r="E188" s="69">
        <v>9</v>
      </c>
      <c r="F188" s="123">
        <v>7.14</v>
      </c>
      <c r="G188" s="123">
        <v>8.25</v>
      </c>
      <c r="H188" s="208">
        <v>74.25</v>
      </c>
      <c r="I188" s="215"/>
      <c r="J188" s="215"/>
      <c r="K188" s="215">
        <v>74.25</v>
      </c>
      <c r="L188" s="216">
        <v>64.259999999999991</v>
      </c>
    </row>
    <row r="189" spans="1:12" hidden="1">
      <c r="A189" s="209" t="s">
        <v>3850</v>
      </c>
      <c r="B189" s="69" t="s">
        <v>3633</v>
      </c>
      <c r="C189" s="69" t="s">
        <v>4000</v>
      </c>
      <c r="D189" s="96" t="s">
        <v>3634</v>
      </c>
      <c r="E189" s="69">
        <v>1</v>
      </c>
      <c r="F189" s="123">
        <v>6.03</v>
      </c>
      <c r="G189" s="123">
        <v>7</v>
      </c>
      <c r="H189" s="208">
        <v>7</v>
      </c>
      <c r="I189" s="215"/>
      <c r="J189" s="215"/>
      <c r="K189" s="215">
        <v>7</v>
      </c>
      <c r="L189" s="216">
        <v>6.03</v>
      </c>
    </row>
    <row r="190" spans="1:12" hidden="1">
      <c r="A190" s="209" t="s">
        <v>3850</v>
      </c>
      <c r="B190" s="69" t="s">
        <v>3733</v>
      </c>
      <c r="C190" s="69" t="s">
        <v>4000</v>
      </c>
      <c r="D190" s="96" t="s">
        <v>3734</v>
      </c>
      <c r="E190" s="69">
        <v>2</v>
      </c>
      <c r="F190" s="123">
        <v>20.399999999999999</v>
      </c>
      <c r="G190" s="123">
        <v>23.46</v>
      </c>
      <c r="H190" s="208">
        <v>46.92</v>
      </c>
      <c r="I190" s="215"/>
      <c r="J190" s="215"/>
      <c r="K190" s="215">
        <v>46.92</v>
      </c>
      <c r="L190" s="216">
        <v>40.799999999999997</v>
      </c>
    </row>
    <row r="191" spans="1:12" hidden="1">
      <c r="A191" s="209" t="s">
        <v>3850</v>
      </c>
      <c r="B191" s="69" t="s">
        <v>3759</v>
      </c>
      <c r="C191" s="69" t="s">
        <v>4001</v>
      </c>
      <c r="D191" s="96" t="s">
        <v>3760</v>
      </c>
      <c r="E191" s="69">
        <v>3</v>
      </c>
      <c r="F191" s="123">
        <v>3.22</v>
      </c>
      <c r="G191" s="123">
        <v>5</v>
      </c>
      <c r="H191" s="208">
        <v>15</v>
      </c>
      <c r="I191" s="215"/>
      <c r="J191" s="215"/>
      <c r="K191" s="215">
        <v>15</v>
      </c>
      <c r="L191" s="216">
        <v>9.66</v>
      </c>
    </row>
    <row r="192" spans="1:12" hidden="1">
      <c r="A192" s="209" t="s">
        <v>3850</v>
      </c>
      <c r="B192" s="69" t="s">
        <v>2083</v>
      </c>
      <c r="C192" s="69" t="s">
        <v>4002</v>
      </c>
      <c r="D192" s="96" t="s">
        <v>2084</v>
      </c>
      <c r="E192" s="69">
        <v>2</v>
      </c>
      <c r="F192" s="123">
        <v>8.6</v>
      </c>
      <c r="G192" s="123">
        <v>10</v>
      </c>
      <c r="H192" s="208">
        <v>20</v>
      </c>
      <c r="I192" s="215"/>
      <c r="J192" s="215"/>
      <c r="K192" s="215">
        <v>20</v>
      </c>
      <c r="L192" s="216">
        <v>17.2</v>
      </c>
    </row>
    <row r="193" spans="1:12" hidden="1">
      <c r="A193" s="209" t="s">
        <v>3850</v>
      </c>
      <c r="B193" s="69" t="s">
        <v>1954</v>
      </c>
      <c r="C193" s="69" t="s">
        <v>4003</v>
      </c>
      <c r="D193" s="96" t="s">
        <v>1955</v>
      </c>
      <c r="E193" s="69">
        <v>1</v>
      </c>
      <c r="F193" s="123">
        <v>6.92</v>
      </c>
      <c r="G193" s="123">
        <v>7.75</v>
      </c>
      <c r="H193" s="208">
        <v>7.75</v>
      </c>
      <c r="I193" s="215"/>
      <c r="J193" s="215"/>
      <c r="K193" s="215">
        <v>7.75</v>
      </c>
      <c r="L193" s="216">
        <v>6.92</v>
      </c>
    </row>
    <row r="194" spans="1:12" hidden="1">
      <c r="A194" s="209" t="s">
        <v>3850</v>
      </c>
      <c r="B194" s="69" t="s">
        <v>2174</v>
      </c>
      <c r="C194" s="69" t="s">
        <v>4003</v>
      </c>
      <c r="D194" s="96" t="s">
        <v>2175</v>
      </c>
      <c r="E194" s="69">
        <v>1</v>
      </c>
      <c r="F194" s="123">
        <v>36.840000000000003</v>
      </c>
      <c r="G194" s="123">
        <v>42.5</v>
      </c>
      <c r="H194" s="208">
        <v>42.5</v>
      </c>
      <c r="I194" s="215"/>
      <c r="J194" s="215"/>
      <c r="K194" s="215">
        <v>42.5</v>
      </c>
      <c r="L194" s="216">
        <v>36.840000000000003</v>
      </c>
    </row>
    <row r="195" spans="1:12" hidden="1">
      <c r="A195" s="209" t="s">
        <v>3850</v>
      </c>
      <c r="B195" s="69" t="s">
        <v>102</v>
      </c>
      <c r="C195" s="69" t="s">
        <v>4004</v>
      </c>
      <c r="D195" s="96" t="s">
        <v>103</v>
      </c>
      <c r="E195" s="69">
        <v>3</v>
      </c>
      <c r="F195" s="123">
        <v>7.06</v>
      </c>
      <c r="G195" s="123">
        <v>8.25</v>
      </c>
      <c r="H195" s="208">
        <v>24.75</v>
      </c>
      <c r="I195" s="215"/>
      <c r="J195" s="215"/>
      <c r="K195" s="215">
        <v>24.75</v>
      </c>
      <c r="L195" s="216">
        <v>21.18</v>
      </c>
    </row>
    <row r="196" spans="1:12" hidden="1">
      <c r="A196" s="209" t="s">
        <v>3850</v>
      </c>
      <c r="B196" s="69" t="s">
        <v>1927</v>
      </c>
      <c r="C196" s="69" t="s">
        <v>4004</v>
      </c>
      <c r="D196" s="96" t="s">
        <v>1928</v>
      </c>
      <c r="E196" s="69">
        <v>1</v>
      </c>
      <c r="F196" s="123">
        <v>51.3</v>
      </c>
      <c r="G196" s="123">
        <v>59</v>
      </c>
      <c r="H196" s="208">
        <v>59</v>
      </c>
      <c r="I196" s="215"/>
      <c r="J196" s="215"/>
      <c r="K196" s="215">
        <v>59</v>
      </c>
      <c r="L196" s="216">
        <v>51.3</v>
      </c>
    </row>
    <row r="197" spans="1:12" hidden="1">
      <c r="A197" s="209" t="s">
        <v>3850</v>
      </c>
      <c r="B197" s="69" t="s">
        <v>740</v>
      </c>
      <c r="C197" s="69" t="s">
        <v>4005</v>
      </c>
      <c r="D197" s="96" t="s">
        <v>741</v>
      </c>
      <c r="E197" s="69">
        <v>1</v>
      </c>
      <c r="F197" s="123">
        <v>23.63</v>
      </c>
      <c r="G197" s="123">
        <v>27.25</v>
      </c>
      <c r="H197" s="208">
        <v>27.25</v>
      </c>
      <c r="I197" s="215"/>
      <c r="J197" s="215"/>
      <c r="K197" s="215">
        <v>27.25</v>
      </c>
      <c r="L197" s="216">
        <v>23.63</v>
      </c>
    </row>
    <row r="198" spans="1:12" hidden="1">
      <c r="A198" s="209" t="s">
        <v>3850</v>
      </c>
      <c r="B198" s="69" t="s">
        <v>296</v>
      </c>
      <c r="C198" s="69" t="s">
        <v>4006</v>
      </c>
      <c r="D198" s="96" t="s">
        <v>297</v>
      </c>
      <c r="E198" s="69">
        <v>1</v>
      </c>
      <c r="F198" s="123">
        <v>7.06</v>
      </c>
      <c r="G198" s="123">
        <v>8.25</v>
      </c>
      <c r="H198" s="208">
        <v>8.25</v>
      </c>
      <c r="I198" s="215"/>
      <c r="J198" s="215"/>
      <c r="K198" s="215">
        <v>8.25</v>
      </c>
      <c r="L198" s="216">
        <v>7.06</v>
      </c>
    </row>
    <row r="199" spans="1:12" hidden="1">
      <c r="A199" s="209" t="s">
        <v>3850</v>
      </c>
      <c r="B199" s="69" t="s">
        <v>1697</v>
      </c>
      <c r="C199" s="69" t="s">
        <v>4007</v>
      </c>
      <c r="D199" s="96" t="s">
        <v>1698</v>
      </c>
      <c r="E199" s="69">
        <v>1</v>
      </c>
      <c r="F199" s="123">
        <v>88</v>
      </c>
      <c r="G199" s="123">
        <v>101.25</v>
      </c>
      <c r="H199" s="208">
        <v>101.25</v>
      </c>
      <c r="I199" s="215"/>
      <c r="J199" s="215"/>
      <c r="K199" s="215">
        <v>101.25</v>
      </c>
      <c r="L199" s="216">
        <v>88</v>
      </c>
    </row>
    <row r="200" spans="1:12" hidden="1">
      <c r="A200" s="209" t="s">
        <v>3850</v>
      </c>
      <c r="B200" s="69" t="s">
        <v>712</v>
      </c>
      <c r="C200" s="69" t="s">
        <v>4008</v>
      </c>
      <c r="D200" s="96" t="s">
        <v>713</v>
      </c>
      <c r="E200" s="69">
        <v>2</v>
      </c>
      <c r="F200" s="123">
        <v>28.94</v>
      </c>
      <c r="G200" s="123">
        <v>33.5</v>
      </c>
      <c r="H200" s="208">
        <v>67</v>
      </c>
      <c r="I200" s="215"/>
      <c r="J200" s="215"/>
      <c r="K200" s="215">
        <v>67</v>
      </c>
      <c r="L200" s="216">
        <v>57.88</v>
      </c>
    </row>
    <row r="201" spans="1:12" hidden="1">
      <c r="A201" s="209" t="s">
        <v>3850</v>
      </c>
      <c r="B201" s="69" t="s">
        <v>560</v>
      </c>
      <c r="C201" s="69" t="s">
        <v>4008</v>
      </c>
      <c r="D201" s="96" t="s">
        <v>561</v>
      </c>
      <c r="E201" s="69">
        <v>1</v>
      </c>
      <c r="F201" s="123">
        <v>92.8</v>
      </c>
      <c r="G201" s="123">
        <v>106.75</v>
      </c>
      <c r="H201" s="208">
        <v>106.75</v>
      </c>
      <c r="I201" s="215"/>
      <c r="J201" s="215"/>
      <c r="K201" s="215">
        <v>106.75</v>
      </c>
      <c r="L201" s="216">
        <v>92.8</v>
      </c>
    </row>
    <row r="202" spans="1:12" hidden="1">
      <c r="A202" s="209" t="s">
        <v>3850</v>
      </c>
      <c r="B202" s="69" t="s">
        <v>3755</v>
      </c>
      <c r="C202" s="69" t="s">
        <v>4009</v>
      </c>
      <c r="D202" s="96" t="s">
        <v>3756</v>
      </c>
      <c r="E202" s="69">
        <v>1</v>
      </c>
      <c r="F202" s="123">
        <v>6.4</v>
      </c>
      <c r="G202" s="123">
        <v>7.5</v>
      </c>
      <c r="H202" s="208">
        <v>7.5</v>
      </c>
      <c r="I202" s="215"/>
      <c r="J202" s="215"/>
      <c r="K202" s="215">
        <v>7.5</v>
      </c>
      <c r="L202" s="216">
        <v>6.4</v>
      </c>
    </row>
    <row r="203" spans="1:12" hidden="1">
      <c r="A203" s="209" t="s">
        <v>3850</v>
      </c>
      <c r="B203" s="69" t="s">
        <v>1523</v>
      </c>
      <c r="C203" s="69" t="s">
        <v>4010</v>
      </c>
      <c r="D203" s="96" t="s">
        <v>1524</v>
      </c>
      <c r="E203" s="69">
        <v>1</v>
      </c>
      <c r="F203" s="123">
        <v>90.24</v>
      </c>
      <c r="G203" s="123">
        <v>103.75</v>
      </c>
      <c r="H203" s="208">
        <v>103.75</v>
      </c>
      <c r="I203" s="215"/>
      <c r="J203" s="215"/>
      <c r="K203" s="215">
        <v>103.75</v>
      </c>
      <c r="L203" s="216">
        <v>90.24</v>
      </c>
    </row>
    <row r="204" spans="1:12" hidden="1">
      <c r="A204" s="209" t="s">
        <v>3850</v>
      </c>
      <c r="B204" s="69" t="s">
        <v>1564</v>
      </c>
      <c r="C204" s="69" t="s">
        <v>4010</v>
      </c>
      <c r="D204" s="96" t="s">
        <v>1565</v>
      </c>
      <c r="E204" s="69">
        <v>2</v>
      </c>
      <c r="F204" s="123">
        <v>51.97</v>
      </c>
      <c r="G204" s="123">
        <v>60</v>
      </c>
      <c r="H204" s="208">
        <v>120</v>
      </c>
      <c r="I204" s="215"/>
      <c r="J204" s="215"/>
      <c r="K204" s="215">
        <v>120</v>
      </c>
      <c r="L204" s="216">
        <v>103.94</v>
      </c>
    </row>
    <row r="205" spans="1:12" hidden="1">
      <c r="A205" s="209" t="s">
        <v>3850</v>
      </c>
      <c r="B205" s="69" t="s">
        <v>1689</v>
      </c>
      <c r="C205" s="69" t="s">
        <v>4010</v>
      </c>
      <c r="D205" s="96" t="s">
        <v>1690</v>
      </c>
      <c r="E205" s="69">
        <v>2</v>
      </c>
      <c r="F205" s="123">
        <v>17.899999999999999</v>
      </c>
      <c r="G205" s="123">
        <v>20.75</v>
      </c>
      <c r="H205" s="208">
        <v>41.5</v>
      </c>
      <c r="I205" s="215"/>
      <c r="J205" s="215"/>
      <c r="K205" s="215">
        <v>41.5</v>
      </c>
      <c r="L205" s="216">
        <v>35.799999999999997</v>
      </c>
    </row>
    <row r="206" spans="1:12" hidden="1">
      <c r="A206" s="209" t="s">
        <v>3850</v>
      </c>
      <c r="B206" s="69" t="s">
        <v>1443</v>
      </c>
      <c r="C206" s="69" t="s">
        <v>4011</v>
      </c>
      <c r="D206" s="96" t="s">
        <v>1444</v>
      </c>
      <c r="E206" s="69">
        <v>1</v>
      </c>
      <c r="F206" s="123">
        <v>71.06</v>
      </c>
      <c r="G206" s="123">
        <v>81.75</v>
      </c>
      <c r="H206" s="208">
        <v>81.75</v>
      </c>
      <c r="I206" s="215"/>
      <c r="J206" s="215"/>
      <c r="K206" s="215">
        <v>81.75</v>
      </c>
      <c r="L206" s="216">
        <v>71.06</v>
      </c>
    </row>
    <row r="207" spans="1:12" hidden="1">
      <c r="A207" s="209" t="s">
        <v>3850</v>
      </c>
      <c r="B207" s="69" t="s">
        <v>1121</v>
      </c>
      <c r="C207" s="69" t="s">
        <v>4012</v>
      </c>
      <c r="D207" s="96" t="s">
        <v>1122</v>
      </c>
      <c r="E207" s="69">
        <v>1</v>
      </c>
      <c r="F207" s="123">
        <v>15.25</v>
      </c>
      <c r="G207" s="123">
        <v>17.75</v>
      </c>
      <c r="H207" s="208">
        <v>17.75</v>
      </c>
      <c r="I207" s="215"/>
      <c r="J207" s="215"/>
      <c r="K207" s="215">
        <v>17.75</v>
      </c>
      <c r="L207" s="216">
        <v>15.25</v>
      </c>
    </row>
    <row r="208" spans="1:12" hidden="1">
      <c r="A208" s="209" t="s">
        <v>3850</v>
      </c>
      <c r="B208" s="69" t="s">
        <v>3342</v>
      </c>
      <c r="C208" s="69" t="s">
        <v>4013</v>
      </c>
      <c r="D208" s="96" t="s">
        <v>3343</v>
      </c>
      <c r="E208" s="69">
        <v>2</v>
      </c>
      <c r="F208" s="123">
        <v>0.76</v>
      </c>
      <c r="G208" s="123">
        <v>1</v>
      </c>
      <c r="H208" s="208">
        <v>2</v>
      </c>
      <c r="I208" s="215"/>
      <c r="J208" s="215"/>
      <c r="K208" s="215">
        <v>2</v>
      </c>
      <c r="L208" s="216">
        <v>1.52</v>
      </c>
    </row>
    <row r="209" spans="1:12" hidden="1">
      <c r="A209" s="209" t="s">
        <v>3850</v>
      </c>
      <c r="B209" s="69" t="s">
        <v>3233</v>
      </c>
      <c r="C209" s="69" t="s">
        <v>4014</v>
      </c>
      <c r="D209" s="96" t="s">
        <v>3234</v>
      </c>
      <c r="E209" s="69">
        <v>1</v>
      </c>
      <c r="F209" s="123">
        <v>30.79</v>
      </c>
      <c r="G209" s="123">
        <v>36.75</v>
      </c>
      <c r="H209" s="208">
        <v>36.75</v>
      </c>
      <c r="I209" s="215"/>
      <c r="J209" s="215"/>
      <c r="K209" s="215">
        <v>36.75</v>
      </c>
      <c r="L209" s="216">
        <v>30.79</v>
      </c>
    </row>
    <row r="210" spans="1:12" hidden="1">
      <c r="A210" s="209" t="s">
        <v>3850</v>
      </c>
      <c r="B210" s="69" t="s">
        <v>271</v>
      </c>
      <c r="C210" s="69" t="s">
        <v>4014</v>
      </c>
      <c r="D210" s="96" t="s">
        <v>272</v>
      </c>
      <c r="E210" s="69">
        <v>1</v>
      </c>
      <c r="F210" s="123">
        <v>31.6</v>
      </c>
      <c r="G210" s="123">
        <v>36.33</v>
      </c>
      <c r="H210" s="208">
        <v>36.33</v>
      </c>
      <c r="I210" s="215"/>
      <c r="J210" s="215"/>
      <c r="K210" s="215">
        <v>36.33</v>
      </c>
      <c r="L210" s="216">
        <v>31.6</v>
      </c>
    </row>
    <row r="211" spans="1:12" hidden="1">
      <c r="A211" s="209" t="s">
        <v>3850</v>
      </c>
      <c r="B211" s="69" t="s">
        <v>2648</v>
      </c>
      <c r="C211" s="69" t="s">
        <v>4015</v>
      </c>
      <c r="D211" s="96" t="s">
        <v>2649</v>
      </c>
      <c r="E211" s="69">
        <v>1</v>
      </c>
      <c r="F211" s="123">
        <v>18.98</v>
      </c>
      <c r="G211" s="123">
        <v>22</v>
      </c>
      <c r="H211" s="208">
        <v>22</v>
      </c>
      <c r="I211" s="215"/>
      <c r="J211" s="215"/>
      <c r="K211" s="215">
        <v>22</v>
      </c>
      <c r="L211" s="216">
        <v>18.98</v>
      </c>
    </row>
    <row r="212" spans="1:12" hidden="1">
      <c r="A212" s="209" t="s">
        <v>3851</v>
      </c>
      <c r="B212" s="69" t="s">
        <v>390</v>
      </c>
      <c r="C212" s="69" t="s">
        <v>4016</v>
      </c>
      <c r="D212" s="96" t="s">
        <v>391</v>
      </c>
      <c r="E212" s="69">
        <v>1</v>
      </c>
      <c r="F212" s="123">
        <v>30.04</v>
      </c>
      <c r="G212" s="123">
        <v>34.75</v>
      </c>
      <c r="H212" s="208">
        <v>34.75</v>
      </c>
      <c r="I212" s="215"/>
      <c r="J212" s="215"/>
      <c r="K212" s="215">
        <v>34.75</v>
      </c>
      <c r="L212" s="216">
        <v>30.04</v>
      </c>
    </row>
    <row r="213" spans="1:12" hidden="1">
      <c r="A213" s="209" t="s">
        <v>3851</v>
      </c>
      <c r="B213" s="69" t="s">
        <v>1024</v>
      </c>
      <c r="C213" s="69" t="s">
        <v>4016</v>
      </c>
      <c r="D213" s="96" t="s">
        <v>1025</v>
      </c>
      <c r="E213" s="69">
        <v>1</v>
      </c>
      <c r="F213" s="123">
        <v>8.58</v>
      </c>
      <c r="G213" s="123">
        <v>10</v>
      </c>
      <c r="H213" s="208">
        <v>10</v>
      </c>
      <c r="I213" s="215"/>
      <c r="J213" s="215"/>
      <c r="K213" s="215">
        <v>10</v>
      </c>
      <c r="L213" s="216">
        <v>8.58</v>
      </c>
    </row>
    <row r="214" spans="1:12" hidden="1">
      <c r="A214" s="209" t="s">
        <v>3851</v>
      </c>
      <c r="B214" s="69" t="s">
        <v>3627</v>
      </c>
      <c r="C214" s="69" t="s">
        <v>4016</v>
      </c>
      <c r="D214" s="96" t="s">
        <v>3628</v>
      </c>
      <c r="E214" s="69">
        <v>1</v>
      </c>
      <c r="F214" s="123">
        <v>16.91</v>
      </c>
      <c r="G214" s="123">
        <v>18.600000000000001</v>
      </c>
      <c r="H214" s="208">
        <v>18.600000000000001</v>
      </c>
      <c r="I214" s="215"/>
      <c r="J214" s="215"/>
      <c r="K214" s="215">
        <v>18.600000000000001</v>
      </c>
      <c r="L214" s="216">
        <v>16.91</v>
      </c>
    </row>
    <row r="215" spans="1:12" hidden="1">
      <c r="A215" s="209" t="s">
        <v>3851</v>
      </c>
      <c r="B215" s="69" t="s">
        <v>196</v>
      </c>
      <c r="C215" s="69" t="s">
        <v>4017</v>
      </c>
      <c r="D215" s="96" t="s">
        <v>197</v>
      </c>
      <c r="E215" s="69">
        <v>1</v>
      </c>
      <c r="F215" s="123">
        <v>7.62</v>
      </c>
      <c r="G215" s="123">
        <v>8.75</v>
      </c>
      <c r="H215" s="208">
        <v>8.75</v>
      </c>
      <c r="I215" s="215"/>
      <c r="J215" s="215"/>
      <c r="K215" s="215">
        <v>8.75</v>
      </c>
      <c r="L215" s="216">
        <v>7.62</v>
      </c>
    </row>
    <row r="216" spans="1:12" hidden="1">
      <c r="A216" s="209" t="s">
        <v>3851</v>
      </c>
      <c r="B216" s="69" t="s">
        <v>3804</v>
      </c>
      <c r="C216" s="69" t="s">
        <v>4018</v>
      </c>
      <c r="D216" s="96" t="s">
        <v>3790</v>
      </c>
      <c r="E216" s="69">
        <v>1</v>
      </c>
      <c r="F216" s="123">
        <v>8.75</v>
      </c>
      <c r="G216" s="123">
        <v>10.25</v>
      </c>
      <c r="H216" s="208">
        <v>10.25</v>
      </c>
      <c r="I216" s="215"/>
      <c r="J216" s="215"/>
      <c r="K216" s="215">
        <v>10.25</v>
      </c>
      <c r="L216" s="216">
        <v>8.75</v>
      </c>
    </row>
    <row r="217" spans="1:12" hidden="1">
      <c r="A217" s="209" t="s">
        <v>3851</v>
      </c>
      <c r="B217" s="69" t="s">
        <v>1497</v>
      </c>
      <c r="C217" s="69" t="s">
        <v>4019</v>
      </c>
      <c r="D217" s="96" t="s">
        <v>1498</v>
      </c>
      <c r="E217" s="69">
        <v>2</v>
      </c>
      <c r="F217" s="123">
        <v>65.95</v>
      </c>
      <c r="G217" s="123">
        <v>76</v>
      </c>
      <c r="H217" s="208">
        <v>152</v>
      </c>
      <c r="I217" s="215"/>
      <c r="J217" s="215"/>
      <c r="K217" s="215">
        <v>152</v>
      </c>
      <c r="L217" s="216">
        <v>131.9</v>
      </c>
    </row>
    <row r="218" spans="1:12" hidden="1">
      <c r="A218" s="209" t="s">
        <v>3851</v>
      </c>
      <c r="B218" s="69" t="s">
        <v>3646</v>
      </c>
      <c r="C218" s="69" t="s">
        <v>4019</v>
      </c>
      <c r="D218" s="96" t="s">
        <v>3647</v>
      </c>
      <c r="E218" s="69">
        <v>5</v>
      </c>
      <c r="F218" s="123">
        <v>32.76</v>
      </c>
      <c r="G218" s="123">
        <v>37.75</v>
      </c>
      <c r="H218" s="208">
        <v>188.75</v>
      </c>
      <c r="I218" s="215"/>
      <c r="J218" s="215"/>
      <c r="K218" s="215">
        <v>188.75</v>
      </c>
      <c r="L218" s="216">
        <v>163.79999999999998</v>
      </c>
    </row>
    <row r="219" spans="1:12" hidden="1">
      <c r="A219" s="209" t="s">
        <v>3851</v>
      </c>
      <c r="B219" s="69" t="s">
        <v>2072</v>
      </c>
      <c r="C219" s="69" t="s">
        <v>4020</v>
      </c>
      <c r="D219" s="96" t="s">
        <v>2073</v>
      </c>
      <c r="E219" s="69">
        <v>1</v>
      </c>
      <c r="F219" s="123">
        <v>64.58</v>
      </c>
      <c r="G219" s="123">
        <v>74.5</v>
      </c>
      <c r="H219" s="208">
        <v>74.5</v>
      </c>
      <c r="I219" s="215"/>
      <c r="J219" s="215"/>
      <c r="K219" s="215">
        <v>74.5</v>
      </c>
      <c r="L219" s="216">
        <v>64.58</v>
      </c>
    </row>
    <row r="220" spans="1:12" hidden="1">
      <c r="A220" s="209" t="s">
        <v>3851</v>
      </c>
      <c r="B220" s="69" t="s">
        <v>98</v>
      </c>
      <c r="C220" s="69" t="s">
        <v>4021</v>
      </c>
      <c r="D220" s="96" t="s">
        <v>99</v>
      </c>
      <c r="E220" s="69">
        <v>1</v>
      </c>
      <c r="F220" s="123">
        <v>18.649999999999999</v>
      </c>
      <c r="G220" s="123">
        <v>21.5</v>
      </c>
      <c r="H220" s="208">
        <v>21.5</v>
      </c>
      <c r="I220" s="215"/>
      <c r="J220" s="215"/>
      <c r="K220" s="215">
        <v>21.5</v>
      </c>
      <c r="L220" s="216">
        <v>18.649999999999999</v>
      </c>
    </row>
    <row r="221" spans="1:12" hidden="1">
      <c r="A221" s="209" t="s">
        <v>3851</v>
      </c>
      <c r="B221" s="69" t="s">
        <v>1317</v>
      </c>
      <c r="C221" s="69" t="s">
        <v>4022</v>
      </c>
      <c r="D221" s="96" t="s">
        <v>1318</v>
      </c>
      <c r="E221" s="69">
        <v>2</v>
      </c>
      <c r="F221" s="123">
        <v>132.80000000000001</v>
      </c>
      <c r="G221" s="123">
        <v>152.75</v>
      </c>
      <c r="H221" s="208">
        <v>305.5</v>
      </c>
      <c r="I221" s="215"/>
      <c r="J221" s="215"/>
      <c r="K221" s="215">
        <v>305.5</v>
      </c>
      <c r="L221" s="216">
        <v>265.60000000000002</v>
      </c>
    </row>
    <row r="222" spans="1:12" hidden="1">
      <c r="A222" s="209" t="s">
        <v>3851</v>
      </c>
      <c r="B222" s="69" t="s">
        <v>1604</v>
      </c>
      <c r="C222" s="69" t="s">
        <v>4022</v>
      </c>
      <c r="D222" s="96" t="s">
        <v>1605</v>
      </c>
      <c r="E222" s="69">
        <v>3</v>
      </c>
      <c r="F222" s="123">
        <v>20.8</v>
      </c>
      <c r="G222" s="123">
        <v>24</v>
      </c>
      <c r="H222" s="208">
        <v>72</v>
      </c>
      <c r="I222" s="215"/>
      <c r="J222" s="215"/>
      <c r="K222" s="215">
        <v>72</v>
      </c>
      <c r="L222" s="216">
        <v>62.400000000000006</v>
      </c>
    </row>
    <row r="223" spans="1:12" hidden="1">
      <c r="A223" s="209" t="s">
        <v>3851</v>
      </c>
      <c r="B223" s="69" t="s">
        <v>1600</v>
      </c>
      <c r="C223" s="69" t="s">
        <v>4022</v>
      </c>
      <c r="D223" s="96" t="s">
        <v>1601</v>
      </c>
      <c r="E223" s="69">
        <v>16</v>
      </c>
      <c r="F223" s="123">
        <v>4.74</v>
      </c>
      <c r="G223" s="123">
        <v>5.5</v>
      </c>
      <c r="H223" s="208">
        <v>88</v>
      </c>
      <c r="I223" s="215"/>
      <c r="J223" s="215"/>
      <c r="K223" s="215">
        <v>88</v>
      </c>
      <c r="L223" s="216">
        <v>75.84</v>
      </c>
    </row>
    <row r="224" spans="1:12" hidden="1">
      <c r="A224" s="209" t="s">
        <v>3851</v>
      </c>
      <c r="B224" s="69" t="s">
        <v>1473</v>
      </c>
      <c r="C224" s="69" t="s">
        <v>4022</v>
      </c>
      <c r="D224" s="96" t="s">
        <v>1474</v>
      </c>
      <c r="E224" s="69">
        <v>1</v>
      </c>
      <c r="F224" s="123">
        <v>60.4</v>
      </c>
      <c r="G224" s="123">
        <v>70</v>
      </c>
      <c r="H224" s="208">
        <v>70</v>
      </c>
      <c r="I224" s="215"/>
      <c r="J224" s="215"/>
      <c r="K224" s="215">
        <v>70</v>
      </c>
      <c r="L224" s="216">
        <v>60.4</v>
      </c>
    </row>
    <row r="225" spans="1:12" hidden="1">
      <c r="A225" s="209" t="s">
        <v>3851</v>
      </c>
      <c r="B225" s="69" t="s">
        <v>3658</v>
      </c>
      <c r="C225" s="69" t="s">
        <v>4023</v>
      </c>
      <c r="D225" s="96" t="s">
        <v>3659</v>
      </c>
      <c r="E225" s="69">
        <v>1</v>
      </c>
      <c r="F225" s="123">
        <v>13.12</v>
      </c>
      <c r="G225" s="123">
        <v>15.25</v>
      </c>
      <c r="H225" s="208">
        <v>15.25</v>
      </c>
      <c r="I225" s="215"/>
      <c r="J225" s="215"/>
      <c r="K225" s="215">
        <v>15.25</v>
      </c>
      <c r="L225" s="216">
        <v>13.12</v>
      </c>
    </row>
    <row r="226" spans="1:12" hidden="1">
      <c r="A226" s="209" t="s">
        <v>3851</v>
      </c>
      <c r="B226" s="69" t="s">
        <v>3745</v>
      </c>
      <c r="C226" s="69" t="s">
        <v>4024</v>
      </c>
      <c r="D226" s="96" t="s">
        <v>3746</v>
      </c>
      <c r="E226" s="69">
        <v>1</v>
      </c>
      <c r="F226" s="123">
        <v>14.5</v>
      </c>
      <c r="G226" s="123">
        <v>16.75</v>
      </c>
      <c r="H226" s="208">
        <v>16.75</v>
      </c>
      <c r="I226" s="215"/>
      <c r="J226" s="215"/>
      <c r="K226" s="215">
        <v>16.75</v>
      </c>
      <c r="L226" s="216">
        <v>14.5</v>
      </c>
    </row>
    <row r="227" spans="1:12" hidden="1">
      <c r="A227" s="209" t="s">
        <v>3851</v>
      </c>
      <c r="B227" s="69" t="s">
        <v>552</v>
      </c>
      <c r="C227" s="69" t="s">
        <v>4024</v>
      </c>
      <c r="D227" s="96" t="s">
        <v>553</v>
      </c>
      <c r="E227" s="69">
        <v>1</v>
      </c>
      <c r="F227" s="123">
        <v>7.41</v>
      </c>
      <c r="G227" s="123">
        <v>8.75</v>
      </c>
      <c r="H227" s="208">
        <v>8.75</v>
      </c>
      <c r="I227" s="215"/>
      <c r="J227" s="215"/>
      <c r="K227" s="215">
        <v>8.75</v>
      </c>
      <c r="L227" s="216">
        <v>7.41</v>
      </c>
    </row>
    <row r="228" spans="1:12" hidden="1">
      <c r="A228" s="209" t="s">
        <v>3851</v>
      </c>
      <c r="B228" s="69" t="s">
        <v>1495</v>
      </c>
      <c r="C228" s="69" t="s">
        <v>4025</v>
      </c>
      <c r="D228" s="96" t="s">
        <v>1496</v>
      </c>
      <c r="E228" s="69">
        <v>2</v>
      </c>
      <c r="F228" s="123">
        <v>32.86</v>
      </c>
      <c r="G228" s="123">
        <v>38</v>
      </c>
      <c r="H228" s="208">
        <v>76</v>
      </c>
      <c r="I228" s="215"/>
      <c r="J228" s="215"/>
      <c r="K228" s="215">
        <v>76</v>
      </c>
      <c r="L228" s="216">
        <v>65.72</v>
      </c>
    </row>
    <row r="229" spans="1:12" hidden="1">
      <c r="A229" s="209" t="s">
        <v>3851</v>
      </c>
      <c r="B229" s="69" t="s">
        <v>1610</v>
      </c>
      <c r="C229" s="69" t="s">
        <v>4025</v>
      </c>
      <c r="D229" s="96" t="s">
        <v>1611</v>
      </c>
      <c r="E229" s="69">
        <v>1</v>
      </c>
      <c r="F229" s="123">
        <v>35.68</v>
      </c>
      <c r="G229" s="123">
        <v>41.25</v>
      </c>
      <c r="H229" s="208">
        <v>41.25</v>
      </c>
      <c r="I229" s="215"/>
      <c r="J229" s="215"/>
      <c r="K229" s="215">
        <v>41.25</v>
      </c>
      <c r="L229" s="216">
        <v>35.68</v>
      </c>
    </row>
    <row r="230" spans="1:12" hidden="1">
      <c r="A230" s="209" t="s">
        <v>3851</v>
      </c>
      <c r="B230" s="69" t="s">
        <v>1315</v>
      </c>
      <c r="C230" s="69" t="s">
        <v>4026</v>
      </c>
      <c r="D230" s="96" t="s">
        <v>1316</v>
      </c>
      <c r="E230" s="69">
        <v>2</v>
      </c>
      <c r="F230" s="123">
        <v>62.8</v>
      </c>
      <c r="G230" s="123">
        <v>72.25</v>
      </c>
      <c r="H230" s="208">
        <v>144.5</v>
      </c>
      <c r="I230" s="215"/>
      <c r="J230" s="215"/>
      <c r="K230" s="215">
        <v>144.5</v>
      </c>
      <c r="L230" s="216">
        <v>125.6</v>
      </c>
    </row>
    <row r="231" spans="1:12" hidden="1">
      <c r="A231" s="209" t="s">
        <v>3851</v>
      </c>
      <c r="B231" s="69" t="s">
        <v>1656</v>
      </c>
      <c r="C231" s="69" t="s">
        <v>4027</v>
      </c>
      <c r="D231" s="96" t="s">
        <v>1657</v>
      </c>
      <c r="E231" s="69">
        <v>1</v>
      </c>
      <c r="F231" s="123">
        <v>53.2</v>
      </c>
      <c r="G231" s="123">
        <v>61.25</v>
      </c>
      <c r="H231" s="208">
        <v>61.25</v>
      </c>
      <c r="I231" s="215"/>
      <c r="J231" s="215"/>
      <c r="K231" s="215">
        <v>61.25</v>
      </c>
      <c r="L231" s="216">
        <v>53.2</v>
      </c>
    </row>
    <row r="232" spans="1:12" hidden="1">
      <c r="A232" s="209" t="s">
        <v>3851</v>
      </c>
      <c r="B232" s="69" t="s">
        <v>3743</v>
      </c>
      <c r="C232" s="69" t="s">
        <v>4028</v>
      </c>
      <c r="D232" s="96" t="s">
        <v>3744</v>
      </c>
      <c r="E232" s="69">
        <v>4</v>
      </c>
      <c r="F232" s="123">
        <v>0.81</v>
      </c>
      <c r="G232" s="123">
        <v>1</v>
      </c>
      <c r="H232" s="208">
        <v>4</v>
      </c>
      <c r="I232" s="215"/>
      <c r="J232" s="215"/>
      <c r="K232" s="215">
        <v>4</v>
      </c>
      <c r="L232" s="216">
        <v>3.24</v>
      </c>
    </row>
    <row r="233" spans="1:12" hidden="1">
      <c r="A233" s="209" t="s">
        <v>3851</v>
      </c>
      <c r="B233" s="69" t="s">
        <v>3755</v>
      </c>
      <c r="C233" s="69" t="s">
        <v>4029</v>
      </c>
      <c r="D233" s="96" t="s">
        <v>3756</v>
      </c>
      <c r="E233" s="69">
        <v>1</v>
      </c>
      <c r="F233" s="123">
        <v>6.4</v>
      </c>
      <c r="G233" s="123">
        <v>7.5</v>
      </c>
      <c r="H233" s="208">
        <v>7.5</v>
      </c>
      <c r="I233" s="215"/>
      <c r="J233" s="215"/>
      <c r="K233" s="215">
        <v>7.5</v>
      </c>
      <c r="L233" s="216">
        <v>6.4</v>
      </c>
    </row>
    <row r="234" spans="1:12" hidden="1">
      <c r="A234" s="209" t="s">
        <v>3851</v>
      </c>
      <c r="B234" s="69" t="s">
        <v>1317</v>
      </c>
      <c r="C234" s="69" t="s">
        <v>4030</v>
      </c>
      <c r="D234" s="96" t="s">
        <v>1318</v>
      </c>
      <c r="E234" s="69">
        <v>1</v>
      </c>
      <c r="F234" s="123">
        <v>132.80000000000001</v>
      </c>
      <c r="G234" s="123">
        <v>152.75</v>
      </c>
      <c r="H234" s="208">
        <v>152.75</v>
      </c>
      <c r="I234" s="215"/>
      <c r="J234" s="215"/>
      <c r="K234" s="215">
        <v>152.75</v>
      </c>
      <c r="L234" s="216">
        <v>132.80000000000001</v>
      </c>
    </row>
    <row r="235" spans="1:12" hidden="1">
      <c r="A235" s="209" t="s">
        <v>3851</v>
      </c>
      <c r="B235" s="69" t="s">
        <v>3627</v>
      </c>
      <c r="C235" s="69" t="s">
        <v>4031</v>
      </c>
      <c r="D235" s="96" t="s">
        <v>3628</v>
      </c>
      <c r="E235" s="69">
        <v>1</v>
      </c>
      <c r="F235" s="123">
        <v>16.91</v>
      </c>
      <c r="G235" s="123">
        <v>18.600000000000001</v>
      </c>
      <c r="H235" s="208">
        <v>18.600000000000001</v>
      </c>
      <c r="I235" s="215"/>
      <c r="J235" s="215"/>
      <c r="K235" s="215">
        <v>18.600000000000001</v>
      </c>
      <c r="L235" s="216">
        <v>16.91</v>
      </c>
    </row>
    <row r="236" spans="1:12" hidden="1">
      <c r="A236" s="209" t="s">
        <v>3851</v>
      </c>
      <c r="B236" s="69" t="s">
        <v>3755</v>
      </c>
      <c r="C236" s="69" t="s">
        <v>4032</v>
      </c>
      <c r="D236" s="96" t="s">
        <v>3756</v>
      </c>
      <c r="E236" s="69">
        <v>1</v>
      </c>
      <c r="F236" s="123">
        <v>6.4</v>
      </c>
      <c r="G236" s="123">
        <v>7.5</v>
      </c>
      <c r="H236" s="208">
        <v>7.5</v>
      </c>
      <c r="I236" s="215"/>
      <c r="J236" s="215"/>
      <c r="K236" s="215">
        <v>7.5</v>
      </c>
      <c r="L236" s="216">
        <v>6.4</v>
      </c>
    </row>
    <row r="237" spans="1:12" hidden="1">
      <c r="A237" s="209" t="s">
        <v>3851</v>
      </c>
      <c r="B237" s="69" t="s">
        <v>3334</v>
      </c>
      <c r="C237" s="69" t="s">
        <v>4033</v>
      </c>
      <c r="D237" s="96" t="s">
        <v>3335</v>
      </c>
      <c r="E237" s="69">
        <v>2</v>
      </c>
      <c r="F237" s="123">
        <v>3.6</v>
      </c>
      <c r="G237" s="123">
        <v>4.25</v>
      </c>
      <c r="H237" s="208">
        <v>8.5</v>
      </c>
      <c r="I237" s="215"/>
      <c r="J237" s="215"/>
      <c r="K237" s="215">
        <v>8.5</v>
      </c>
      <c r="L237" s="216">
        <v>7.2</v>
      </c>
    </row>
    <row r="238" spans="1:12" hidden="1">
      <c r="A238" s="209" t="s">
        <v>3851</v>
      </c>
      <c r="B238" s="69" t="s">
        <v>275</v>
      </c>
      <c r="C238" s="69" t="s">
        <v>4034</v>
      </c>
      <c r="D238" s="96" t="s">
        <v>276</v>
      </c>
      <c r="E238" s="69">
        <v>1</v>
      </c>
      <c r="F238" s="123">
        <v>31.6</v>
      </c>
      <c r="G238" s="123">
        <v>36.5</v>
      </c>
      <c r="H238" s="208">
        <v>36.5</v>
      </c>
      <c r="I238" s="215"/>
      <c r="J238" s="215"/>
      <c r="K238" s="215">
        <v>36.5</v>
      </c>
      <c r="L238" s="216">
        <v>31.6</v>
      </c>
    </row>
    <row r="239" spans="1:12" hidden="1">
      <c r="A239" s="209" t="s">
        <v>3851</v>
      </c>
      <c r="B239" s="69" t="s">
        <v>3366</v>
      </c>
      <c r="C239" s="69" t="s">
        <v>4035</v>
      </c>
      <c r="D239" s="96" t="s">
        <v>3367</v>
      </c>
      <c r="E239" s="69">
        <v>4</v>
      </c>
      <c r="F239" s="123">
        <v>0.81</v>
      </c>
      <c r="G239" s="123">
        <v>1</v>
      </c>
      <c r="H239" s="208">
        <v>4</v>
      </c>
      <c r="I239" s="215"/>
      <c r="J239" s="215"/>
      <c r="K239" s="215">
        <v>4</v>
      </c>
      <c r="L239" s="216">
        <v>3.24</v>
      </c>
    </row>
    <row r="240" spans="1:12" hidden="1">
      <c r="A240" s="209" t="s">
        <v>3851</v>
      </c>
      <c r="B240" s="69" t="s">
        <v>275</v>
      </c>
      <c r="C240" s="69" t="s">
        <v>4036</v>
      </c>
      <c r="D240" s="96" t="s">
        <v>276</v>
      </c>
      <c r="E240" s="69">
        <v>1</v>
      </c>
      <c r="F240" s="123">
        <v>31.6</v>
      </c>
      <c r="G240" s="123">
        <v>36.5</v>
      </c>
      <c r="H240" s="208">
        <v>36.5</v>
      </c>
      <c r="I240" s="215"/>
      <c r="J240" s="215"/>
      <c r="K240" s="215">
        <v>36.5</v>
      </c>
      <c r="L240" s="216">
        <v>31.6</v>
      </c>
    </row>
    <row r="241" spans="1:12" hidden="1">
      <c r="A241" s="209" t="s">
        <v>3852</v>
      </c>
      <c r="B241" s="69" t="s">
        <v>2368</v>
      </c>
      <c r="C241" s="69" t="s">
        <v>4037</v>
      </c>
      <c r="D241" s="96" t="s">
        <v>2369</v>
      </c>
      <c r="E241" s="69">
        <v>3</v>
      </c>
      <c r="F241" s="123">
        <v>14.91</v>
      </c>
      <c r="G241" s="123">
        <v>17.25</v>
      </c>
      <c r="H241" s="208">
        <v>51.75</v>
      </c>
      <c r="I241" s="215"/>
      <c r="J241" s="215"/>
      <c r="K241" s="215">
        <v>51.75</v>
      </c>
      <c r="L241" s="216">
        <v>44.730000000000004</v>
      </c>
    </row>
    <row r="242" spans="1:12" hidden="1">
      <c r="A242" s="209" t="s">
        <v>3852</v>
      </c>
      <c r="B242" s="69" t="s">
        <v>2459</v>
      </c>
      <c r="C242" s="69" t="s">
        <v>4037</v>
      </c>
      <c r="D242" s="96" t="s">
        <v>2460</v>
      </c>
      <c r="E242" s="69">
        <v>1</v>
      </c>
      <c r="F242" s="123">
        <v>13.87</v>
      </c>
      <c r="G242" s="123">
        <v>17.75</v>
      </c>
      <c r="H242" s="208">
        <v>17.75</v>
      </c>
      <c r="I242" s="215"/>
      <c r="J242" s="215"/>
      <c r="K242" s="215">
        <v>17.75</v>
      </c>
      <c r="L242" s="216">
        <v>13.87</v>
      </c>
    </row>
    <row r="243" spans="1:12" hidden="1">
      <c r="A243" s="209" t="s">
        <v>3852</v>
      </c>
      <c r="B243" s="69" t="s">
        <v>3853</v>
      </c>
      <c r="C243" s="69" t="s">
        <v>4038</v>
      </c>
      <c r="D243" s="96" t="s">
        <v>4039</v>
      </c>
      <c r="E243" s="69">
        <v>1</v>
      </c>
      <c r="F243" s="123">
        <v>32</v>
      </c>
      <c r="G243" s="123">
        <v>37</v>
      </c>
      <c r="H243" s="208">
        <v>37</v>
      </c>
      <c r="I243" s="215"/>
      <c r="J243" s="215"/>
      <c r="K243" s="215">
        <v>37</v>
      </c>
      <c r="L243" s="216">
        <v>32</v>
      </c>
    </row>
    <row r="244" spans="1:12" hidden="1">
      <c r="A244" s="209" t="s">
        <v>3852</v>
      </c>
      <c r="B244" s="69" t="s">
        <v>269</v>
      </c>
      <c r="C244" s="69" t="s">
        <v>4040</v>
      </c>
      <c r="D244" s="96" t="s">
        <v>270</v>
      </c>
      <c r="E244" s="69">
        <v>1</v>
      </c>
      <c r="F244" s="123">
        <v>15.12</v>
      </c>
      <c r="G244" s="123">
        <v>17.5</v>
      </c>
      <c r="H244" s="208">
        <v>17.5</v>
      </c>
      <c r="I244" s="215"/>
      <c r="J244" s="215"/>
      <c r="K244" s="215">
        <v>17.5</v>
      </c>
      <c r="L244" s="216">
        <v>15.12</v>
      </c>
    </row>
    <row r="245" spans="1:12" hidden="1">
      <c r="A245" s="209" t="s">
        <v>3852</v>
      </c>
      <c r="B245" s="69" t="s">
        <v>94</v>
      </c>
      <c r="C245" s="69" t="s">
        <v>4041</v>
      </c>
      <c r="D245" s="96" t="s">
        <v>95</v>
      </c>
      <c r="E245" s="69">
        <v>1</v>
      </c>
      <c r="F245" s="123">
        <v>17.649999999999999</v>
      </c>
      <c r="G245" s="123">
        <v>18.75</v>
      </c>
      <c r="H245" s="208">
        <v>18.75</v>
      </c>
      <c r="I245" s="215"/>
      <c r="J245" s="215"/>
      <c r="K245" s="215">
        <v>18.75</v>
      </c>
      <c r="L245" s="216">
        <v>17.649999999999999</v>
      </c>
    </row>
    <row r="246" spans="1:12" hidden="1">
      <c r="A246" s="209" t="s">
        <v>3852</v>
      </c>
      <c r="B246" s="69" t="s">
        <v>2607</v>
      </c>
      <c r="C246" s="69" t="s">
        <v>4042</v>
      </c>
      <c r="D246" s="96" t="s">
        <v>2608</v>
      </c>
      <c r="E246" s="69">
        <v>6</v>
      </c>
      <c r="F246" s="123">
        <v>6.37</v>
      </c>
      <c r="G246" s="123">
        <v>7.5</v>
      </c>
      <c r="H246" s="208">
        <v>45</v>
      </c>
      <c r="I246" s="215"/>
      <c r="J246" s="215"/>
      <c r="K246" s="215">
        <v>45</v>
      </c>
      <c r="L246" s="216">
        <v>38.22</v>
      </c>
    </row>
    <row r="247" spans="1:12" hidden="1">
      <c r="A247" s="209" t="s">
        <v>3852</v>
      </c>
      <c r="B247" s="69" t="s">
        <v>2439</v>
      </c>
      <c r="C247" s="69" t="s">
        <v>4042</v>
      </c>
      <c r="D247" s="96" t="s">
        <v>2440</v>
      </c>
      <c r="E247" s="69">
        <v>4</v>
      </c>
      <c r="F247" s="123">
        <v>3.72</v>
      </c>
      <c r="G247" s="123">
        <v>4.5</v>
      </c>
      <c r="H247" s="208">
        <v>18</v>
      </c>
      <c r="I247" s="215"/>
      <c r="J247" s="215"/>
      <c r="K247" s="215">
        <v>18</v>
      </c>
      <c r="L247" s="216">
        <v>14.88</v>
      </c>
    </row>
    <row r="248" spans="1:12" hidden="1">
      <c r="A248" s="209" t="s">
        <v>3852</v>
      </c>
      <c r="B248" s="69" t="s">
        <v>552</v>
      </c>
      <c r="C248" s="69" t="s">
        <v>4042</v>
      </c>
      <c r="D248" s="96" t="s">
        <v>553</v>
      </c>
      <c r="E248" s="69">
        <v>1</v>
      </c>
      <c r="F248" s="123">
        <v>7.41</v>
      </c>
      <c r="G248" s="123">
        <v>8.75</v>
      </c>
      <c r="H248" s="208">
        <v>8.75</v>
      </c>
      <c r="I248" s="215"/>
      <c r="J248" s="215"/>
      <c r="K248" s="215">
        <v>8.75</v>
      </c>
      <c r="L248" s="216">
        <v>7.41</v>
      </c>
    </row>
    <row r="249" spans="1:12" hidden="1">
      <c r="A249" s="209" t="s">
        <v>3852</v>
      </c>
      <c r="B249" s="69" t="s">
        <v>695</v>
      </c>
      <c r="C249" s="69" t="s">
        <v>4042</v>
      </c>
      <c r="D249" s="96" t="s">
        <v>696</v>
      </c>
      <c r="E249" s="69">
        <v>1</v>
      </c>
      <c r="F249" s="123">
        <v>8.3800000000000008</v>
      </c>
      <c r="G249" s="123">
        <v>9.75</v>
      </c>
      <c r="H249" s="208">
        <v>9.75</v>
      </c>
      <c r="I249" s="215"/>
      <c r="J249" s="215"/>
      <c r="K249" s="215">
        <v>9.75</v>
      </c>
      <c r="L249" s="216">
        <v>8.3800000000000008</v>
      </c>
    </row>
    <row r="250" spans="1:12" hidden="1">
      <c r="A250" s="209" t="s">
        <v>3852</v>
      </c>
      <c r="B250" s="69" t="s">
        <v>1297</v>
      </c>
      <c r="C250" s="69" t="s">
        <v>4043</v>
      </c>
      <c r="D250" s="96" t="s">
        <v>1298</v>
      </c>
      <c r="E250" s="69">
        <v>1</v>
      </c>
      <c r="F250" s="123">
        <v>53.81</v>
      </c>
      <c r="G250" s="123">
        <v>62</v>
      </c>
      <c r="H250" s="208">
        <v>62</v>
      </c>
      <c r="I250" s="215"/>
      <c r="J250" s="215"/>
      <c r="K250" s="215">
        <v>62</v>
      </c>
      <c r="L250" s="216">
        <v>53.81</v>
      </c>
    </row>
    <row r="251" spans="1:12" hidden="1">
      <c r="A251" s="209" t="s">
        <v>3852</v>
      </c>
      <c r="B251" s="69" t="s">
        <v>1570</v>
      </c>
      <c r="C251" s="69" t="s">
        <v>4043</v>
      </c>
      <c r="D251" s="96" t="s">
        <v>1571</v>
      </c>
      <c r="E251" s="69">
        <v>2</v>
      </c>
      <c r="F251" s="123">
        <v>51.97</v>
      </c>
      <c r="G251" s="123">
        <v>60</v>
      </c>
      <c r="H251" s="208">
        <v>120</v>
      </c>
      <c r="I251" s="215"/>
      <c r="J251" s="215"/>
      <c r="K251" s="215">
        <v>120</v>
      </c>
      <c r="L251" s="216">
        <v>103.94</v>
      </c>
    </row>
    <row r="252" spans="1:12" hidden="1">
      <c r="A252" s="209" t="s">
        <v>3852</v>
      </c>
      <c r="B252" s="69" t="s">
        <v>1009</v>
      </c>
      <c r="C252" s="69" t="s">
        <v>4044</v>
      </c>
      <c r="D252" s="96" t="s">
        <v>1010</v>
      </c>
      <c r="E252" s="69">
        <v>6</v>
      </c>
      <c r="F252" s="123">
        <v>10.64</v>
      </c>
      <c r="G252" s="123">
        <v>12.25</v>
      </c>
      <c r="H252" s="208">
        <v>73.5</v>
      </c>
      <c r="I252" s="215"/>
      <c r="J252" s="215"/>
      <c r="K252" s="215">
        <v>73.5</v>
      </c>
      <c r="L252" s="216">
        <v>63.84</v>
      </c>
    </row>
    <row r="253" spans="1:12" hidden="1">
      <c r="A253" s="209" t="s">
        <v>3852</v>
      </c>
      <c r="B253" s="69" t="s">
        <v>1596</v>
      </c>
      <c r="C253" s="69" t="s">
        <v>4044</v>
      </c>
      <c r="D253" s="96" t="s">
        <v>1597</v>
      </c>
      <c r="E253" s="69">
        <v>1</v>
      </c>
      <c r="F253" s="123">
        <v>13.92</v>
      </c>
      <c r="G253" s="123">
        <v>22</v>
      </c>
      <c r="H253" s="208">
        <v>22</v>
      </c>
      <c r="I253" s="215"/>
      <c r="J253" s="215"/>
      <c r="K253" s="215">
        <v>22</v>
      </c>
      <c r="L253" s="216">
        <v>13.92</v>
      </c>
    </row>
    <row r="254" spans="1:12" hidden="1">
      <c r="A254" s="209" t="s">
        <v>3852</v>
      </c>
      <c r="B254" s="69" t="s">
        <v>740</v>
      </c>
      <c r="C254" s="69" t="s">
        <v>4045</v>
      </c>
      <c r="D254" s="96" t="s">
        <v>741</v>
      </c>
      <c r="E254" s="69">
        <v>2</v>
      </c>
      <c r="F254" s="123">
        <v>23.63</v>
      </c>
      <c r="G254" s="123">
        <v>27.25</v>
      </c>
      <c r="H254" s="208">
        <v>54.5</v>
      </c>
      <c r="I254" s="215"/>
      <c r="J254" s="215"/>
      <c r="K254" s="215">
        <v>54.5</v>
      </c>
      <c r="L254" s="216">
        <v>47.26</v>
      </c>
    </row>
    <row r="255" spans="1:12" hidden="1">
      <c r="A255" s="209" t="s">
        <v>3852</v>
      </c>
      <c r="B255" s="69" t="s">
        <v>196</v>
      </c>
      <c r="C255" s="69" t="s">
        <v>4046</v>
      </c>
      <c r="D255" s="96" t="s">
        <v>197</v>
      </c>
      <c r="E255" s="69">
        <v>1</v>
      </c>
      <c r="F255" s="123">
        <v>7.62</v>
      </c>
      <c r="G255" s="123">
        <v>8.75</v>
      </c>
      <c r="H255" s="208">
        <v>8.75</v>
      </c>
      <c r="I255" s="215"/>
      <c r="J255" s="215"/>
      <c r="K255" s="215">
        <v>8.75</v>
      </c>
      <c r="L255" s="216">
        <v>7.62</v>
      </c>
    </row>
    <row r="256" spans="1:12" hidden="1">
      <c r="A256" s="209" t="s">
        <v>3852</v>
      </c>
      <c r="B256" s="69" t="s">
        <v>1024</v>
      </c>
      <c r="C256" s="69" t="s">
        <v>4047</v>
      </c>
      <c r="D256" s="96" t="s">
        <v>1025</v>
      </c>
      <c r="E256" s="69">
        <v>1</v>
      </c>
      <c r="F256" s="123">
        <v>8.58</v>
      </c>
      <c r="G256" s="123">
        <v>10</v>
      </c>
      <c r="H256" s="208">
        <v>10</v>
      </c>
      <c r="I256" s="215"/>
      <c r="J256" s="215"/>
      <c r="K256" s="215">
        <v>10</v>
      </c>
      <c r="L256" s="216">
        <v>8.58</v>
      </c>
    </row>
    <row r="257" spans="1:12" hidden="1">
      <c r="A257" s="209" t="s">
        <v>3852</v>
      </c>
      <c r="B257" s="69" t="s">
        <v>3658</v>
      </c>
      <c r="C257" s="69" t="s">
        <v>4048</v>
      </c>
      <c r="D257" s="96" t="s">
        <v>3659</v>
      </c>
      <c r="E257" s="69">
        <v>1</v>
      </c>
      <c r="F257" s="123">
        <v>13.12</v>
      </c>
      <c r="G257" s="123">
        <v>15.25</v>
      </c>
      <c r="H257" s="208">
        <v>15.25</v>
      </c>
      <c r="I257" s="215"/>
      <c r="J257" s="215"/>
      <c r="K257" s="215">
        <v>15.25</v>
      </c>
      <c r="L257" s="216">
        <v>13.12</v>
      </c>
    </row>
    <row r="258" spans="1:12" hidden="1">
      <c r="A258" s="209" t="s">
        <v>3852</v>
      </c>
      <c r="B258" s="69" t="s">
        <v>3732</v>
      </c>
      <c r="C258" s="69" t="s">
        <v>4049</v>
      </c>
      <c r="D258" s="96" t="s">
        <v>3635</v>
      </c>
      <c r="E258" s="69">
        <v>1</v>
      </c>
      <c r="F258" s="123">
        <v>6.03</v>
      </c>
      <c r="G258" s="123">
        <v>7</v>
      </c>
      <c r="H258" s="208">
        <v>7</v>
      </c>
      <c r="I258" s="215"/>
      <c r="J258" s="215"/>
      <c r="K258" s="215">
        <v>7</v>
      </c>
      <c r="L258" s="216">
        <v>6.03</v>
      </c>
    </row>
    <row r="259" spans="1:12" hidden="1">
      <c r="A259" s="209" t="s">
        <v>3852</v>
      </c>
      <c r="B259" s="69" t="s">
        <v>3330</v>
      </c>
      <c r="C259" s="69" t="s">
        <v>4050</v>
      </c>
      <c r="D259" s="96" t="s">
        <v>3331</v>
      </c>
      <c r="E259" s="69">
        <v>6</v>
      </c>
      <c r="F259" s="123">
        <v>4.4800000000000004</v>
      </c>
      <c r="G259" s="123">
        <v>5.25</v>
      </c>
      <c r="H259" s="208">
        <v>31.5</v>
      </c>
      <c r="I259" s="215"/>
      <c r="J259" s="215"/>
      <c r="K259" s="215">
        <v>31.5</v>
      </c>
      <c r="L259" s="216">
        <v>26.880000000000003</v>
      </c>
    </row>
    <row r="260" spans="1:12" hidden="1">
      <c r="A260" s="209" t="s">
        <v>3852</v>
      </c>
      <c r="B260" s="69" t="s">
        <v>1636</v>
      </c>
      <c r="C260" s="69" t="s">
        <v>4051</v>
      </c>
      <c r="D260" s="96" t="s">
        <v>1637</v>
      </c>
      <c r="E260" s="69">
        <v>1</v>
      </c>
      <c r="F260" s="123">
        <v>67.290000000000006</v>
      </c>
      <c r="G260" s="123">
        <v>77.5</v>
      </c>
      <c r="H260" s="208">
        <v>77.5</v>
      </c>
      <c r="I260" s="215"/>
      <c r="J260" s="215"/>
      <c r="K260" s="215">
        <v>77.5</v>
      </c>
      <c r="L260" s="216">
        <v>67.290000000000006</v>
      </c>
    </row>
    <row r="261" spans="1:12" hidden="1">
      <c r="A261" s="209" t="s">
        <v>3852</v>
      </c>
      <c r="B261" s="69" t="s">
        <v>3854</v>
      </c>
      <c r="C261" s="69" t="s">
        <v>4052</v>
      </c>
      <c r="D261" s="96" t="s">
        <v>4053</v>
      </c>
      <c r="E261" s="69">
        <v>1</v>
      </c>
      <c r="F261" s="123">
        <v>5.8</v>
      </c>
      <c r="G261" s="123">
        <v>7</v>
      </c>
      <c r="H261" s="208">
        <v>7</v>
      </c>
      <c r="I261" s="215"/>
      <c r="J261" s="215"/>
      <c r="K261" s="215">
        <v>7</v>
      </c>
      <c r="L261" s="216">
        <v>5.8</v>
      </c>
    </row>
    <row r="262" spans="1:12" hidden="1">
      <c r="A262" s="209" t="s">
        <v>3852</v>
      </c>
      <c r="B262" s="69" t="s">
        <v>3854</v>
      </c>
      <c r="C262" s="69" t="s">
        <v>4054</v>
      </c>
      <c r="D262" s="96" t="s">
        <v>4053</v>
      </c>
      <c r="E262" s="69">
        <v>1</v>
      </c>
      <c r="F262" s="123">
        <v>5.8</v>
      </c>
      <c r="G262" s="123">
        <v>7</v>
      </c>
      <c r="H262" s="208">
        <v>7</v>
      </c>
      <c r="I262" s="215"/>
      <c r="J262" s="215"/>
      <c r="K262" s="215">
        <v>7</v>
      </c>
      <c r="L262" s="216">
        <v>5.8</v>
      </c>
    </row>
    <row r="263" spans="1:12" hidden="1">
      <c r="A263" s="209" t="s">
        <v>3852</v>
      </c>
      <c r="B263" s="69" t="s">
        <v>3342</v>
      </c>
      <c r="C263" s="69" t="s">
        <v>4055</v>
      </c>
      <c r="D263" s="96" t="s">
        <v>3343</v>
      </c>
      <c r="E263" s="69">
        <v>5</v>
      </c>
      <c r="F263" s="123">
        <v>0.76</v>
      </c>
      <c r="G263" s="123">
        <v>1</v>
      </c>
      <c r="H263" s="208">
        <v>5</v>
      </c>
      <c r="I263" s="215"/>
      <c r="J263" s="215"/>
      <c r="K263" s="215">
        <v>5</v>
      </c>
      <c r="L263" s="216">
        <v>3.8</v>
      </c>
    </row>
    <row r="264" spans="1:12" hidden="1">
      <c r="A264" s="209" t="s">
        <v>3852</v>
      </c>
      <c r="B264" s="69" t="s">
        <v>3715</v>
      </c>
      <c r="C264" s="69" t="s">
        <v>4056</v>
      </c>
      <c r="D264" s="96" t="s">
        <v>52</v>
      </c>
      <c r="E264" s="69">
        <v>1</v>
      </c>
      <c r="F264" s="123">
        <v>16.03</v>
      </c>
      <c r="G264" s="123">
        <v>18.5</v>
      </c>
      <c r="H264" s="208">
        <v>18.5</v>
      </c>
      <c r="I264" s="215"/>
      <c r="J264" s="215"/>
      <c r="K264" s="215">
        <v>18.5</v>
      </c>
      <c r="L264" s="216">
        <v>16.03</v>
      </c>
    </row>
    <row r="265" spans="1:12" hidden="1">
      <c r="A265" s="209" t="s">
        <v>3852</v>
      </c>
      <c r="B265" s="69" t="s">
        <v>414</v>
      </c>
      <c r="C265" s="69" t="s">
        <v>4056</v>
      </c>
      <c r="D265" s="96" t="s">
        <v>415</v>
      </c>
      <c r="E265" s="69">
        <v>2</v>
      </c>
      <c r="F265" s="123">
        <v>8.1999999999999993</v>
      </c>
      <c r="G265" s="123">
        <v>10</v>
      </c>
      <c r="H265" s="208">
        <v>20</v>
      </c>
      <c r="I265" s="215"/>
      <c r="J265" s="215"/>
      <c r="K265" s="215">
        <v>20</v>
      </c>
      <c r="L265" s="216">
        <v>16.399999999999999</v>
      </c>
    </row>
    <row r="266" spans="1:12" hidden="1">
      <c r="A266" s="209" t="s">
        <v>3852</v>
      </c>
      <c r="B266" s="69" t="s">
        <v>285</v>
      </c>
      <c r="C266" s="69" t="s">
        <v>4057</v>
      </c>
      <c r="D266" s="96" t="s">
        <v>286</v>
      </c>
      <c r="E266" s="69">
        <v>1</v>
      </c>
      <c r="F266" s="123">
        <v>15.65</v>
      </c>
      <c r="G266" s="123">
        <v>18</v>
      </c>
      <c r="H266" s="208">
        <v>18</v>
      </c>
      <c r="I266" s="215"/>
      <c r="J266" s="215"/>
      <c r="K266" s="215">
        <v>18</v>
      </c>
      <c r="L266" s="216">
        <v>15.65</v>
      </c>
    </row>
    <row r="267" spans="1:12" hidden="1">
      <c r="A267" s="209" t="s">
        <v>3852</v>
      </c>
      <c r="B267" s="69" t="s">
        <v>2241</v>
      </c>
      <c r="C267" s="69" t="s">
        <v>4058</v>
      </c>
      <c r="D267" s="96" t="s">
        <v>2242</v>
      </c>
      <c r="E267" s="69">
        <v>1</v>
      </c>
      <c r="F267" s="123">
        <v>127.35</v>
      </c>
      <c r="G267" s="123">
        <v>146.5</v>
      </c>
      <c r="H267" s="208">
        <v>146.5</v>
      </c>
      <c r="I267" s="215"/>
      <c r="J267" s="215"/>
      <c r="K267" s="215">
        <v>146.5</v>
      </c>
      <c r="L267" s="216">
        <v>127.35</v>
      </c>
    </row>
    <row r="268" spans="1:12" hidden="1">
      <c r="A268" s="209" t="s">
        <v>3852</v>
      </c>
      <c r="B268" s="69" t="s">
        <v>2107</v>
      </c>
      <c r="C268" s="69" t="s">
        <v>4058</v>
      </c>
      <c r="D268" s="96" t="s">
        <v>2108</v>
      </c>
      <c r="E268" s="69">
        <v>1</v>
      </c>
      <c r="F268" s="123">
        <v>57.77</v>
      </c>
      <c r="G268" s="123">
        <v>66.5</v>
      </c>
      <c r="H268" s="208">
        <v>66.5</v>
      </c>
      <c r="I268" s="215"/>
      <c r="J268" s="215"/>
      <c r="K268" s="215">
        <v>66.5</v>
      </c>
      <c r="L268" s="216">
        <v>57.77</v>
      </c>
    </row>
    <row r="269" spans="1:12" hidden="1">
      <c r="A269" s="209" t="s">
        <v>3852</v>
      </c>
      <c r="B269" s="69" t="s">
        <v>2672</v>
      </c>
      <c r="C269" s="69" t="s">
        <v>4058</v>
      </c>
      <c r="D269" s="96" t="s">
        <v>2673</v>
      </c>
      <c r="E269" s="69">
        <v>1</v>
      </c>
      <c r="F269" s="123">
        <v>23.15</v>
      </c>
      <c r="G269" s="123">
        <v>27</v>
      </c>
      <c r="H269" s="208">
        <v>27</v>
      </c>
      <c r="I269" s="215"/>
      <c r="J269" s="215"/>
      <c r="K269" s="215">
        <v>27</v>
      </c>
      <c r="L269" s="216">
        <v>23.15</v>
      </c>
    </row>
    <row r="270" spans="1:12" hidden="1">
      <c r="A270" s="209" t="s">
        <v>3852</v>
      </c>
      <c r="B270" s="69" t="s">
        <v>1931</v>
      </c>
      <c r="C270" s="69" t="s">
        <v>4058</v>
      </c>
      <c r="D270" s="96" t="s">
        <v>1932</v>
      </c>
      <c r="E270" s="69">
        <v>2</v>
      </c>
      <c r="F270" s="123">
        <v>10.95</v>
      </c>
      <c r="G270" s="123">
        <v>12.75</v>
      </c>
      <c r="H270" s="208">
        <v>25.5</v>
      </c>
      <c r="I270" s="215"/>
      <c r="J270" s="215"/>
      <c r="K270" s="215">
        <v>25.5</v>
      </c>
      <c r="L270" s="216">
        <v>21.9</v>
      </c>
    </row>
    <row r="271" spans="1:12" hidden="1">
      <c r="A271" s="209" t="s">
        <v>3852</v>
      </c>
      <c r="B271" s="69" t="s">
        <v>1846</v>
      </c>
      <c r="C271" s="69" t="s">
        <v>4058</v>
      </c>
      <c r="D271" s="96" t="s">
        <v>1847</v>
      </c>
      <c r="E271" s="69">
        <v>1</v>
      </c>
      <c r="F271" s="123">
        <v>67.88</v>
      </c>
      <c r="G271" s="123">
        <v>78.25</v>
      </c>
      <c r="H271" s="208">
        <v>78.25</v>
      </c>
      <c r="I271" s="215"/>
      <c r="J271" s="215"/>
      <c r="K271" s="215">
        <v>78.25</v>
      </c>
      <c r="L271" s="216">
        <v>67.88</v>
      </c>
    </row>
    <row r="272" spans="1:12" hidden="1">
      <c r="A272" s="209" t="s">
        <v>3855</v>
      </c>
      <c r="B272" s="69" t="s">
        <v>3617</v>
      </c>
      <c r="C272" s="69" t="s">
        <v>4059</v>
      </c>
      <c r="D272" s="96" t="s">
        <v>3618</v>
      </c>
      <c r="E272" s="69">
        <v>1</v>
      </c>
      <c r="F272" s="123">
        <v>1160.3499999999999</v>
      </c>
      <c r="G272" s="123">
        <v>1334.5</v>
      </c>
      <c r="H272" s="208">
        <v>1334.5</v>
      </c>
      <c r="I272" s="215"/>
      <c r="J272" s="215"/>
      <c r="K272" s="215">
        <v>1334.5</v>
      </c>
      <c r="L272" s="216">
        <v>1160.3499999999999</v>
      </c>
    </row>
    <row r="273" spans="1:12" hidden="1">
      <c r="A273" s="209" t="s">
        <v>3855</v>
      </c>
      <c r="B273" s="69" t="s">
        <v>1560</v>
      </c>
      <c r="C273" s="69" t="s">
        <v>4059</v>
      </c>
      <c r="D273" s="96" t="s">
        <v>1561</v>
      </c>
      <c r="E273" s="69">
        <v>45</v>
      </c>
      <c r="F273" s="123">
        <v>6.12</v>
      </c>
      <c r="G273" s="123">
        <v>7.25</v>
      </c>
      <c r="H273" s="208">
        <v>326.25</v>
      </c>
      <c r="I273" s="215"/>
      <c r="J273" s="215"/>
      <c r="K273" s="215">
        <v>326.25</v>
      </c>
      <c r="L273" s="216">
        <v>275.39999999999998</v>
      </c>
    </row>
    <row r="274" spans="1:12" hidden="1">
      <c r="A274" s="209" t="s">
        <v>3855</v>
      </c>
      <c r="B274" s="69" t="s">
        <v>1582</v>
      </c>
      <c r="C274" s="69" t="s">
        <v>4059</v>
      </c>
      <c r="D274" s="96" t="s">
        <v>1583</v>
      </c>
      <c r="E274" s="69">
        <v>29</v>
      </c>
      <c r="F274" s="123">
        <v>6.02</v>
      </c>
      <c r="G274" s="123">
        <v>7.25</v>
      </c>
      <c r="H274" s="208">
        <v>210.25</v>
      </c>
      <c r="I274" s="215"/>
      <c r="J274" s="215"/>
      <c r="K274" s="215">
        <v>210.25</v>
      </c>
      <c r="L274" s="216">
        <v>174.57999999999998</v>
      </c>
    </row>
    <row r="275" spans="1:12" hidden="1">
      <c r="A275" s="209" t="s">
        <v>3855</v>
      </c>
      <c r="B275" s="69" t="s">
        <v>1673</v>
      </c>
      <c r="C275" s="69" t="s">
        <v>4059</v>
      </c>
      <c r="D275" s="96" t="s">
        <v>1674</v>
      </c>
      <c r="E275" s="69">
        <v>1</v>
      </c>
      <c r="F275" s="123">
        <v>250.75</v>
      </c>
      <c r="G275" s="123">
        <v>288.5</v>
      </c>
      <c r="H275" s="208">
        <v>288.5</v>
      </c>
      <c r="I275" s="215"/>
      <c r="J275" s="215"/>
      <c r="K275" s="215">
        <v>288.5</v>
      </c>
      <c r="L275" s="216">
        <v>250.75</v>
      </c>
    </row>
    <row r="276" spans="1:12" hidden="1">
      <c r="A276" s="209" t="s">
        <v>3855</v>
      </c>
      <c r="B276" s="69" t="s">
        <v>1580</v>
      </c>
      <c r="C276" s="69" t="s">
        <v>4059</v>
      </c>
      <c r="D276" s="96" t="s">
        <v>1581</v>
      </c>
      <c r="E276" s="69">
        <v>24</v>
      </c>
      <c r="F276" s="123">
        <v>6.02</v>
      </c>
      <c r="G276" s="123">
        <v>7.25</v>
      </c>
      <c r="H276" s="208">
        <v>174</v>
      </c>
      <c r="I276" s="215"/>
      <c r="J276" s="215"/>
      <c r="K276" s="215">
        <v>174</v>
      </c>
      <c r="L276" s="216">
        <v>144.47999999999999</v>
      </c>
    </row>
    <row r="277" spans="1:12" hidden="1">
      <c r="A277" s="209" t="s">
        <v>3855</v>
      </c>
      <c r="B277" s="69" t="s">
        <v>1556</v>
      </c>
      <c r="C277" s="69" t="s">
        <v>4059</v>
      </c>
      <c r="D277" s="96" t="s">
        <v>1557</v>
      </c>
      <c r="E277" s="69">
        <v>24</v>
      </c>
      <c r="F277" s="123">
        <v>6.02</v>
      </c>
      <c r="G277" s="123">
        <v>7.25</v>
      </c>
      <c r="H277" s="208">
        <v>174</v>
      </c>
      <c r="I277" s="215"/>
      <c r="J277" s="215"/>
      <c r="K277" s="215">
        <v>174</v>
      </c>
      <c r="L277" s="216">
        <v>144.47999999999999</v>
      </c>
    </row>
    <row r="278" spans="1:12" hidden="1">
      <c r="A278" s="209" t="s">
        <v>3855</v>
      </c>
      <c r="B278" s="69" t="s">
        <v>1654</v>
      </c>
      <c r="C278" s="69" t="s">
        <v>4059</v>
      </c>
      <c r="D278" s="96" t="s">
        <v>1655</v>
      </c>
      <c r="E278" s="69">
        <v>2</v>
      </c>
      <c r="F278" s="123">
        <v>63.2</v>
      </c>
      <c r="G278" s="123">
        <v>72.75</v>
      </c>
      <c r="H278" s="208">
        <v>145.5</v>
      </c>
      <c r="I278" s="215"/>
      <c r="J278" s="215"/>
      <c r="K278" s="215">
        <v>145.5</v>
      </c>
      <c r="L278" s="216">
        <v>126.4</v>
      </c>
    </row>
    <row r="279" spans="1:12" hidden="1">
      <c r="A279" s="209" t="s">
        <v>3855</v>
      </c>
      <c r="B279" s="69" t="s">
        <v>1578</v>
      </c>
      <c r="C279" s="69" t="s">
        <v>4059</v>
      </c>
      <c r="D279" s="96" t="s">
        <v>1579</v>
      </c>
      <c r="E279" s="69">
        <v>2</v>
      </c>
      <c r="F279" s="123">
        <v>301.87</v>
      </c>
      <c r="G279" s="123">
        <v>347.25</v>
      </c>
      <c r="H279" s="208">
        <v>694.5</v>
      </c>
      <c r="I279" s="215"/>
      <c r="J279" s="215"/>
      <c r="K279" s="215">
        <v>694.5</v>
      </c>
      <c r="L279" s="216">
        <v>603.74</v>
      </c>
    </row>
    <row r="280" spans="1:12" hidden="1">
      <c r="A280" s="209" t="s">
        <v>3855</v>
      </c>
      <c r="B280" s="69" t="s">
        <v>1679</v>
      </c>
      <c r="C280" s="69" t="s">
        <v>4059</v>
      </c>
      <c r="D280" s="96" t="s">
        <v>1680</v>
      </c>
      <c r="E280" s="69">
        <v>1</v>
      </c>
      <c r="F280" s="123">
        <v>1670</v>
      </c>
      <c r="G280" s="123">
        <v>1920.5</v>
      </c>
      <c r="H280" s="208">
        <v>1920.5</v>
      </c>
      <c r="I280" s="215"/>
      <c r="J280" s="215"/>
      <c r="K280" s="215">
        <v>1920.5</v>
      </c>
      <c r="L280" s="216">
        <v>1670</v>
      </c>
    </row>
    <row r="281" spans="1:12" hidden="1">
      <c r="A281" s="209" t="s">
        <v>3855</v>
      </c>
      <c r="B281" s="69" t="s">
        <v>1570</v>
      </c>
      <c r="C281" s="69" t="s">
        <v>4059</v>
      </c>
      <c r="D281" s="96" t="s">
        <v>1571</v>
      </c>
      <c r="E281" s="69">
        <v>2</v>
      </c>
      <c r="F281" s="123">
        <v>51.97</v>
      </c>
      <c r="G281" s="123">
        <v>60</v>
      </c>
      <c r="H281" s="208">
        <v>120</v>
      </c>
      <c r="I281" s="215"/>
      <c r="J281" s="215"/>
      <c r="K281" s="215">
        <v>120</v>
      </c>
      <c r="L281" s="216">
        <v>103.94</v>
      </c>
    </row>
    <row r="282" spans="1:12" hidden="1">
      <c r="A282" s="209" t="s">
        <v>3855</v>
      </c>
      <c r="B282" s="69" t="s">
        <v>1564</v>
      </c>
      <c r="C282" s="69" t="s">
        <v>4059</v>
      </c>
      <c r="D282" s="96" t="s">
        <v>1565</v>
      </c>
      <c r="E282" s="69">
        <v>2</v>
      </c>
      <c r="F282" s="123">
        <v>51.97</v>
      </c>
      <c r="G282" s="123">
        <v>60</v>
      </c>
      <c r="H282" s="208">
        <v>120</v>
      </c>
      <c r="I282" s="215"/>
      <c r="J282" s="215"/>
      <c r="K282" s="215">
        <v>120</v>
      </c>
      <c r="L282" s="216">
        <v>103.94</v>
      </c>
    </row>
    <row r="283" spans="1:12" hidden="1">
      <c r="A283" s="209" t="s">
        <v>3855</v>
      </c>
      <c r="B283" s="69" t="s">
        <v>1610</v>
      </c>
      <c r="C283" s="69" t="s">
        <v>4059</v>
      </c>
      <c r="D283" s="96" t="s">
        <v>1611</v>
      </c>
      <c r="E283" s="69">
        <v>4</v>
      </c>
      <c r="F283" s="123">
        <v>35.68</v>
      </c>
      <c r="G283" s="123">
        <v>41.25</v>
      </c>
      <c r="H283" s="208">
        <v>165</v>
      </c>
      <c r="I283" s="215"/>
      <c r="J283" s="215"/>
      <c r="K283" s="215">
        <v>165</v>
      </c>
      <c r="L283" s="216">
        <v>142.72</v>
      </c>
    </row>
    <row r="284" spans="1:12" hidden="1">
      <c r="A284" s="209" t="s">
        <v>3855</v>
      </c>
      <c r="B284" s="69" t="s">
        <v>1604</v>
      </c>
      <c r="C284" s="69" t="s">
        <v>4059</v>
      </c>
      <c r="D284" s="96" t="s">
        <v>1605</v>
      </c>
      <c r="E284" s="69">
        <v>4</v>
      </c>
      <c r="F284" s="123">
        <v>20.8</v>
      </c>
      <c r="G284" s="123">
        <v>24</v>
      </c>
      <c r="H284" s="208">
        <v>96</v>
      </c>
      <c r="I284" s="215"/>
      <c r="J284" s="215"/>
      <c r="K284" s="215">
        <v>96</v>
      </c>
      <c r="L284" s="216">
        <v>83.2</v>
      </c>
    </row>
    <row r="285" spans="1:12" hidden="1">
      <c r="A285" s="209" t="s">
        <v>3855</v>
      </c>
      <c r="B285" s="69" t="s">
        <v>1497</v>
      </c>
      <c r="C285" s="69" t="s">
        <v>4059</v>
      </c>
      <c r="D285" s="96" t="s">
        <v>1498</v>
      </c>
      <c r="E285" s="69">
        <v>5</v>
      </c>
      <c r="F285" s="123">
        <v>68.569999999999993</v>
      </c>
      <c r="G285" s="123">
        <v>79</v>
      </c>
      <c r="H285" s="208">
        <v>395</v>
      </c>
      <c r="I285" s="215"/>
      <c r="J285" s="215"/>
      <c r="K285" s="215">
        <v>395</v>
      </c>
      <c r="L285" s="216">
        <v>342.84999999999997</v>
      </c>
    </row>
    <row r="286" spans="1:12" hidden="1">
      <c r="A286" s="209" t="s">
        <v>3855</v>
      </c>
      <c r="B286" s="69" t="s">
        <v>1317</v>
      </c>
      <c r="C286" s="69" t="s">
        <v>4059</v>
      </c>
      <c r="D286" s="96" t="s">
        <v>1318</v>
      </c>
      <c r="E286" s="69">
        <v>2</v>
      </c>
      <c r="F286" s="123">
        <v>132.80000000000001</v>
      </c>
      <c r="G286" s="123">
        <v>152.75</v>
      </c>
      <c r="H286" s="208">
        <v>305.5</v>
      </c>
      <c r="I286" s="215"/>
      <c r="J286" s="215"/>
      <c r="K286" s="215">
        <v>305.5</v>
      </c>
      <c r="L286" s="216">
        <v>265.60000000000002</v>
      </c>
    </row>
    <row r="287" spans="1:12" hidden="1">
      <c r="A287" s="209" t="s">
        <v>3855</v>
      </c>
      <c r="B287" s="69" t="s">
        <v>3623</v>
      </c>
      <c r="C287" s="69" t="s">
        <v>4059</v>
      </c>
      <c r="D287" s="96" t="s">
        <v>3624</v>
      </c>
      <c r="E287" s="69">
        <v>1</v>
      </c>
      <c r="F287" s="123">
        <v>89.91</v>
      </c>
      <c r="G287" s="123">
        <v>103.5</v>
      </c>
      <c r="H287" s="208">
        <v>103.5</v>
      </c>
      <c r="I287" s="215"/>
      <c r="J287" s="215"/>
      <c r="K287" s="215">
        <v>103.5</v>
      </c>
      <c r="L287" s="216">
        <v>89.91</v>
      </c>
    </row>
    <row r="288" spans="1:12" hidden="1">
      <c r="A288" s="209" t="s">
        <v>3855</v>
      </c>
      <c r="B288" s="69" t="s">
        <v>2595</v>
      </c>
      <c r="C288" s="69" t="s">
        <v>4059</v>
      </c>
      <c r="D288" s="96" t="s">
        <v>2596</v>
      </c>
      <c r="E288" s="69">
        <v>6</v>
      </c>
      <c r="F288" s="123">
        <v>6.38</v>
      </c>
      <c r="G288" s="123">
        <v>7.5</v>
      </c>
      <c r="H288" s="208">
        <v>45</v>
      </c>
      <c r="I288" s="215"/>
      <c r="J288" s="215"/>
      <c r="K288" s="215">
        <v>45</v>
      </c>
      <c r="L288" s="216">
        <v>38.28</v>
      </c>
    </row>
    <row r="289" spans="1:12" hidden="1">
      <c r="A289" s="209" t="s">
        <v>3855</v>
      </c>
      <c r="B289" s="69" t="s">
        <v>2589</v>
      </c>
      <c r="C289" s="69" t="s">
        <v>4059</v>
      </c>
      <c r="D289" s="96" t="s">
        <v>2590</v>
      </c>
      <c r="E289" s="69">
        <v>4</v>
      </c>
      <c r="F289" s="123">
        <v>5.41</v>
      </c>
      <c r="G289" s="123">
        <v>6.25</v>
      </c>
      <c r="H289" s="208">
        <v>25</v>
      </c>
      <c r="I289" s="215"/>
      <c r="J289" s="215"/>
      <c r="K289" s="215">
        <v>25</v>
      </c>
      <c r="L289" s="216">
        <v>21.64</v>
      </c>
    </row>
    <row r="290" spans="1:12" hidden="1">
      <c r="A290" s="209" t="s">
        <v>3855</v>
      </c>
      <c r="B290" s="69" t="s">
        <v>1009</v>
      </c>
      <c r="C290" s="69" t="s">
        <v>4060</v>
      </c>
      <c r="D290" s="96" t="s">
        <v>1010</v>
      </c>
      <c r="E290" s="69">
        <v>1</v>
      </c>
      <c r="F290" s="123">
        <v>10.64</v>
      </c>
      <c r="G290" s="123">
        <v>12.25</v>
      </c>
      <c r="H290" s="208">
        <v>12.25</v>
      </c>
      <c r="I290" s="215"/>
      <c r="J290" s="215"/>
      <c r="K290" s="215">
        <v>12.25</v>
      </c>
      <c r="L290" s="216">
        <v>10.64</v>
      </c>
    </row>
    <row r="291" spans="1:12" hidden="1">
      <c r="A291" s="209" t="s">
        <v>3855</v>
      </c>
      <c r="B291" s="69" t="s">
        <v>65</v>
      </c>
      <c r="C291" s="69" t="s">
        <v>4060</v>
      </c>
      <c r="D291" s="96" t="s">
        <v>66</v>
      </c>
      <c r="E291" s="69">
        <v>1</v>
      </c>
      <c r="F291" s="123">
        <v>33.75</v>
      </c>
      <c r="G291" s="123">
        <v>39</v>
      </c>
      <c r="H291" s="208">
        <v>39</v>
      </c>
      <c r="I291" s="215"/>
      <c r="J291" s="215"/>
      <c r="K291" s="215">
        <v>39</v>
      </c>
      <c r="L291" s="216">
        <v>33.75</v>
      </c>
    </row>
    <row r="292" spans="1:12" hidden="1">
      <c r="A292" s="209" t="s">
        <v>3855</v>
      </c>
      <c r="B292" s="69" t="s">
        <v>68</v>
      </c>
      <c r="C292" s="69" t="s">
        <v>4060</v>
      </c>
      <c r="D292" s="96" t="s">
        <v>69</v>
      </c>
      <c r="E292" s="69">
        <v>1</v>
      </c>
      <c r="F292" s="123">
        <v>18.53</v>
      </c>
      <c r="G292" s="123">
        <v>21.5</v>
      </c>
      <c r="H292" s="208">
        <v>21.5</v>
      </c>
      <c r="I292" s="215"/>
      <c r="J292" s="215"/>
      <c r="K292" s="215">
        <v>21.5</v>
      </c>
      <c r="L292" s="216">
        <v>18.53</v>
      </c>
    </row>
    <row r="293" spans="1:12" hidden="1">
      <c r="A293" s="209" t="s">
        <v>3855</v>
      </c>
      <c r="B293" s="69" t="s">
        <v>102</v>
      </c>
      <c r="C293" s="69" t="s">
        <v>4061</v>
      </c>
      <c r="D293" s="96" t="s">
        <v>103</v>
      </c>
      <c r="E293" s="69">
        <v>2</v>
      </c>
      <c r="F293" s="123">
        <v>7.06</v>
      </c>
      <c r="G293" s="123">
        <v>8.25</v>
      </c>
      <c r="H293" s="208">
        <v>16.5</v>
      </c>
      <c r="I293" s="215"/>
      <c r="J293" s="215"/>
      <c r="K293" s="215">
        <v>16.5</v>
      </c>
      <c r="L293" s="216">
        <v>14.12</v>
      </c>
    </row>
    <row r="294" spans="1:12" hidden="1">
      <c r="A294" s="209" t="s">
        <v>3855</v>
      </c>
      <c r="B294" s="69" t="s">
        <v>962</v>
      </c>
      <c r="C294" s="69" t="s">
        <v>4062</v>
      </c>
      <c r="D294" s="96" t="s">
        <v>963</v>
      </c>
      <c r="E294" s="69">
        <v>1</v>
      </c>
      <c r="F294" s="123">
        <v>145.18</v>
      </c>
      <c r="G294" s="123">
        <v>167</v>
      </c>
      <c r="H294" s="208">
        <v>167</v>
      </c>
      <c r="I294" s="215"/>
      <c r="J294" s="215"/>
      <c r="K294" s="215">
        <v>167</v>
      </c>
      <c r="L294" s="216">
        <v>145.18</v>
      </c>
    </row>
    <row r="295" spans="1:12" hidden="1">
      <c r="A295" s="209" t="s">
        <v>3855</v>
      </c>
      <c r="B295" s="69" t="s">
        <v>1024</v>
      </c>
      <c r="C295" s="69" t="s">
        <v>4063</v>
      </c>
      <c r="D295" s="96" t="s">
        <v>1025</v>
      </c>
      <c r="E295" s="69">
        <v>3</v>
      </c>
      <c r="F295" s="123">
        <v>8.58</v>
      </c>
      <c r="G295" s="123">
        <v>10</v>
      </c>
      <c r="H295" s="208">
        <v>30</v>
      </c>
      <c r="I295" s="215"/>
      <c r="J295" s="215"/>
      <c r="K295" s="215">
        <v>30</v>
      </c>
      <c r="L295" s="216">
        <v>25.740000000000002</v>
      </c>
    </row>
    <row r="296" spans="1:12" hidden="1">
      <c r="A296" s="209" t="s">
        <v>3855</v>
      </c>
      <c r="B296" s="69" t="s">
        <v>1154</v>
      </c>
      <c r="C296" s="69" t="s">
        <v>4063</v>
      </c>
      <c r="D296" s="96" t="s">
        <v>1155</v>
      </c>
      <c r="E296" s="69">
        <v>2</v>
      </c>
      <c r="F296" s="123">
        <v>24.04</v>
      </c>
      <c r="G296" s="123">
        <v>27.75</v>
      </c>
      <c r="H296" s="208">
        <v>55.5</v>
      </c>
      <c r="I296" s="215"/>
      <c r="J296" s="215"/>
      <c r="K296" s="215">
        <v>55.5</v>
      </c>
      <c r="L296" s="216">
        <v>48.08</v>
      </c>
    </row>
    <row r="297" spans="1:12" hidden="1">
      <c r="A297" s="209" t="s">
        <v>3855</v>
      </c>
      <c r="B297" s="69" t="s">
        <v>1376</v>
      </c>
      <c r="C297" s="69" t="s">
        <v>4064</v>
      </c>
      <c r="D297" s="96" t="s">
        <v>1377</v>
      </c>
      <c r="E297" s="69">
        <v>1</v>
      </c>
      <c r="F297" s="123">
        <v>24.24</v>
      </c>
      <c r="G297" s="123">
        <v>29.25</v>
      </c>
      <c r="H297" s="208">
        <v>29.25</v>
      </c>
      <c r="I297" s="215"/>
      <c r="J297" s="215"/>
      <c r="K297" s="215">
        <v>29.25</v>
      </c>
      <c r="L297" s="216">
        <v>24.24</v>
      </c>
    </row>
    <row r="298" spans="1:12" hidden="1">
      <c r="A298" s="209" t="s">
        <v>3855</v>
      </c>
      <c r="B298" s="69" t="s">
        <v>281</v>
      </c>
      <c r="C298" s="69" t="s">
        <v>4064</v>
      </c>
      <c r="D298" s="96" t="s">
        <v>282</v>
      </c>
      <c r="E298" s="69">
        <v>1</v>
      </c>
      <c r="F298" s="123">
        <v>15.12</v>
      </c>
      <c r="G298" s="123">
        <v>17.5</v>
      </c>
      <c r="H298" s="208">
        <v>17.5</v>
      </c>
      <c r="I298" s="215"/>
      <c r="J298" s="215"/>
      <c r="K298" s="215">
        <v>17.5</v>
      </c>
      <c r="L298" s="216">
        <v>15.12</v>
      </c>
    </row>
    <row r="299" spans="1:12" hidden="1">
      <c r="A299" s="209" t="s">
        <v>3855</v>
      </c>
      <c r="B299" s="69" t="s">
        <v>3342</v>
      </c>
      <c r="C299" s="69" t="s">
        <v>4065</v>
      </c>
      <c r="D299" s="96" t="s">
        <v>3343</v>
      </c>
      <c r="E299" s="69">
        <v>5</v>
      </c>
      <c r="F299" s="123">
        <v>0.76</v>
      </c>
      <c r="G299" s="123">
        <v>1</v>
      </c>
      <c r="H299" s="208">
        <v>5</v>
      </c>
      <c r="I299" s="215"/>
      <c r="J299" s="215"/>
      <c r="K299" s="215">
        <v>5</v>
      </c>
      <c r="L299" s="216">
        <v>3.8</v>
      </c>
    </row>
    <row r="300" spans="1:12" hidden="1">
      <c r="A300" s="209" t="s">
        <v>3855</v>
      </c>
      <c r="B300" s="69" t="s">
        <v>3330</v>
      </c>
      <c r="C300" s="69" t="s">
        <v>4066</v>
      </c>
      <c r="D300" s="96" t="s">
        <v>3331</v>
      </c>
      <c r="E300" s="69">
        <v>1</v>
      </c>
      <c r="F300" s="123">
        <v>4.4800000000000004</v>
      </c>
      <c r="G300" s="123">
        <v>5.25</v>
      </c>
      <c r="H300" s="208">
        <v>5.25</v>
      </c>
      <c r="I300" s="215"/>
      <c r="J300" s="215"/>
      <c r="K300" s="215">
        <v>5.25</v>
      </c>
      <c r="L300" s="216">
        <v>4.4800000000000004</v>
      </c>
    </row>
    <row r="301" spans="1:12" hidden="1">
      <c r="A301" s="209" t="s">
        <v>3855</v>
      </c>
      <c r="B301" s="69" t="s">
        <v>3658</v>
      </c>
      <c r="C301" s="69" t="s">
        <v>4067</v>
      </c>
      <c r="D301" s="96" t="s">
        <v>3659</v>
      </c>
      <c r="E301" s="69">
        <v>1</v>
      </c>
      <c r="F301" s="123">
        <v>13.12</v>
      </c>
      <c r="G301" s="123">
        <v>15.25</v>
      </c>
      <c r="H301" s="208">
        <v>15.25</v>
      </c>
      <c r="I301" s="215"/>
      <c r="J301" s="215"/>
      <c r="K301" s="215">
        <v>15.25</v>
      </c>
      <c r="L301" s="216">
        <v>13.12</v>
      </c>
    </row>
    <row r="302" spans="1:12" hidden="1">
      <c r="A302" s="209" t="s">
        <v>3855</v>
      </c>
      <c r="B302" s="69" t="s">
        <v>464</v>
      </c>
      <c r="C302" s="69" t="s">
        <v>4068</v>
      </c>
      <c r="D302" s="96" t="s">
        <v>465</v>
      </c>
      <c r="E302" s="69">
        <v>1</v>
      </c>
      <c r="F302" s="123">
        <v>125</v>
      </c>
      <c r="G302" s="123">
        <v>137.5</v>
      </c>
      <c r="H302" s="208">
        <v>137.5</v>
      </c>
      <c r="I302" s="215"/>
      <c r="J302" s="215"/>
      <c r="K302" s="215">
        <v>137.5</v>
      </c>
      <c r="L302" s="216">
        <v>125</v>
      </c>
    </row>
    <row r="303" spans="1:12" hidden="1">
      <c r="A303" s="209" t="s">
        <v>3855</v>
      </c>
      <c r="B303" s="69" t="s">
        <v>1380</v>
      </c>
      <c r="C303" s="69" t="s">
        <v>4069</v>
      </c>
      <c r="D303" s="96" t="s">
        <v>1381</v>
      </c>
      <c r="E303" s="69">
        <v>4</v>
      </c>
      <c r="F303" s="123">
        <v>26</v>
      </c>
      <c r="G303" s="123">
        <v>30</v>
      </c>
      <c r="H303" s="208">
        <v>120</v>
      </c>
      <c r="I303" s="215"/>
      <c r="J303" s="215"/>
      <c r="K303" s="215">
        <v>120</v>
      </c>
      <c r="L303" s="216">
        <v>104</v>
      </c>
    </row>
    <row r="304" spans="1:12" hidden="1">
      <c r="A304" s="209" t="s">
        <v>3855</v>
      </c>
      <c r="B304" s="69" t="s">
        <v>3631</v>
      </c>
      <c r="C304" s="69" t="s">
        <v>4070</v>
      </c>
      <c r="D304" s="96" t="s">
        <v>3632</v>
      </c>
      <c r="E304" s="69">
        <v>1</v>
      </c>
      <c r="F304" s="123">
        <v>42.87</v>
      </c>
      <c r="G304" s="123">
        <v>49.5</v>
      </c>
      <c r="H304" s="208">
        <v>49.5</v>
      </c>
      <c r="I304" s="215"/>
      <c r="J304" s="215"/>
      <c r="K304" s="215">
        <v>49.5</v>
      </c>
      <c r="L304" s="216">
        <v>42.87</v>
      </c>
    </row>
    <row r="305" spans="1:12" hidden="1">
      <c r="A305" s="209" t="s">
        <v>3855</v>
      </c>
      <c r="B305" s="69" t="s">
        <v>965</v>
      </c>
      <c r="C305" s="69" t="s">
        <v>4071</v>
      </c>
      <c r="D305" s="96" t="s">
        <v>966</v>
      </c>
      <c r="E305" s="69">
        <v>1</v>
      </c>
      <c r="F305" s="123">
        <v>200.03</v>
      </c>
      <c r="G305" s="123">
        <v>230</v>
      </c>
      <c r="H305" s="208">
        <v>230</v>
      </c>
      <c r="I305" s="215"/>
      <c r="J305" s="215"/>
      <c r="K305" s="215">
        <v>230</v>
      </c>
      <c r="L305" s="216">
        <v>200.03</v>
      </c>
    </row>
    <row r="306" spans="1:12" hidden="1">
      <c r="A306" s="209" t="s">
        <v>3855</v>
      </c>
      <c r="B306" s="69" t="s">
        <v>1596</v>
      </c>
      <c r="C306" s="69" t="s">
        <v>4071</v>
      </c>
      <c r="D306" s="96" t="s">
        <v>1597</v>
      </c>
      <c r="E306" s="69">
        <v>4</v>
      </c>
      <c r="F306" s="123">
        <v>13.92</v>
      </c>
      <c r="G306" s="123">
        <v>22</v>
      </c>
      <c r="H306" s="208">
        <v>88</v>
      </c>
      <c r="I306" s="215"/>
      <c r="J306" s="215"/>
      <c r="K306" s="215">
        <v>88</v>
      </c>
      <c r="L306" s="216">
        <v>55.68</v>
      </c>
    </row>
    <row r="307" spans="1:12" hidden="1">
      <c r="A307" s="209" t="s">
        <v>3855</v>
      </c>
      <c r="B307" s="69" t="s">
        <v>1024</v>
      </c>
      <c r="C307" s="69" t="s">
        <v>4071</v>
      </c>
      <c r="D307" s="96" t="s">
        <v>1025</v>
      </c>
      <c r="E307" s="69">
        <v>12</v>
      </c>
      <c r="F307" s="123">
        <v>8.58</v>
      </c>
      <c r="G307" s="123">
        <v>10</v>
      </c>
      <c r="H307" s="208">
        <v>120</v>
      </c>
      <c r="I307" s="215"/>
      <c r="J307" s="215"/>
      <c r="K307" s="215">
        <v>120</v>
      </c>
      <c r="L307" s="216">
        <v>102.96000000000001</v>
      </c>
    </row>
    <row r="308" spans="1:12" hidden="1">
      <c r="A308" s="209" t="s">
        <v>3855</v>
      </c>
      <c r="B308" s="69" t="s">
        <v>3856</v>
      </c>
      <c r="C308" s="69" t="s">
        <v>4072</v>
      </c>
      <c r="D308" s="96" t="s">
        <v>4073</v>
      </c>
      <c r="E308" s="69">
        <v>2</v>
      </c>
      <c r="F308" s="123">
        <v>3.7</v>
      </c>
      <c r="G308" s="123">
        <v>5</v>
      </c>
      <c r="H308" s="208">
        <v>10</v>
      </c>
      <c r="I308" s="215"/>
      <c r="J308" s="215"/>
      <c r="K308" s="215">
        <v>10</v>
      </c>
      <c r="L308" s="216">
        <v>7.4</v>
      </c>
    </row>
    <row r="309" spans="1:12" hidden="1">
      <c r="A309" s="209" t="s">
        <v>3855</v>
      </c>
      <c r="B309" s="69" t="s">
        <v>1024</v>
      </c>
      <c r="C309" s="69" t="s">
        <v>4074</v>
      </c>
      <c r="D309" s="96" t="s">
        <v>1025</v>
      </c>
      <c r="E309" s="69">
        <v>2</v>
      </c>
      <c r="F309" s="123">
        <v>8.58</v>
      </c>
      <c r="G309" s="123">
        <v>10</v>
      </c>
      <c r="H309" s="208">
        <v>20</v>
      </c>
      <c r="I309" s="215"/>
      <c r="J309" s="215"/>
      <c r="K309" s="215">
        <v>20</v>
      </c>
      <c r="L309" s="216">
        <v>17.16</v>
      </c>
    </row>
    <row r="310" spans="1:12" hidden="1">
      <c r="A310" s="209" t="s">
        <v>3855</v>
      </c>
      <c r="B310" s="69" t="s">
        <v>858</v>
      </c>
      <c r="C310" s="69" t="s">
        <v>4074</v>
      </c>
      <c r="D310" s="96" t="s">
        <v>859</v>
      </c>
      <c r="E310" s="69">
        <v>1</v>
      </c>
      <c r="F310" s="123">
        <v>7.85</v>
      </c>
      <c r="G310" s="123">
        <v>12</v>
      </c>
      <c r="H310" s="208">
        <v>12</v>
      </c>
      <c r="I310" s="215"/>
      <c r="J310" s="215"/>
      <c r="K310" s="215">
        <v>12</v>
      </c>
      <c r="L310" s="216">
        <v>7.85</v>
      </c>
    </row>
    <row r="311" spans="1:12" hidden="1">
      <c r="A311" s="209" t="s">
        <v>3855</v>
      </c>
      <c r="B311" s="69" t="s">
        <v>2961</v>
      </c>
      <c r="C311" s="69" t="s">
        <v>4075</v>
      </c>
      <c r="D311" s="96" t="s">
        <v>2962</v>
      </c>
      <c r="E311" s="69">
        <v>1</v>
      </c>
      <c r="F311" s="123">
        <v>90</v>
      </c>
      <c r="G311" s="123">
        <v>120</v>
      </c>
      <c r="H311" s="208">
        <v>120</v>
      </c>
      <c r="I311" s="215"/>
      <c r="J311" s="215"/>
      <c r="K311" s="215">
        <v>120</v>
      </c>
      <c r="L311" s="216">
        <v>90</v>
      </c>
    </row>
    <row r="312" spans="1:12" hidden="1">
      <c r="A312" s="209" t="s">
        <v>3855</v>
      </c>
      <c r="B312" s="69" t="s">
        <v>3286</v>
      </c>
      <c r="C312" s="69" t="s">
        <v>4075</v>
      </c>
      <c r="D312" s="96" t="s">
        <v>3287</v>
      </c>
      <c r="E312" s="69">
        <v>1</v>
      </c>
      <c r="F312" s="123">
        <v>19.47</v>
      </c>
      <c r="G312" s="123">
        <v>23</v>
      </c>
      <c r="H312" s="208">
        <v>23</v>
      </c>
      <c r="I312" s="215"/>
      <c r="J312" s="215"/>
      <c r="K312" s="215">
        <v>23</v>
      </c>
      <c r="L312" s="216">
        <v>19.47</v>
      </c>
    </row>
    <row r="313" spans="1:12" hidden="1">
      <c r="A313" s="209" t="s">
        <v>3855</v>
      </c>
      <c r="B313" s="69" t="s">
        <v>196</v>
      </c>
      <c r="C313" s="69" t="s">
        <v>4076</v>
      </c>
      <c r="D313" s="96" t="s">
        <v>197</v>
      </c>
      <c r="E313" s="69">
        <v>1</v>
      </c>
      <c r="F313" s="123">
        <v>7.62</v>
      </c>
      <c r="G313" s="123">
        <v>8.75</v>
      </c>
      <c r="H313" s="208">
        <v>8.75</v>
      </c>
      <c r="I313" s="215"/>
      <c r="J313" s="215"/>
      <c r="K313" s="215">
        <v>8.75</v>
      </c>
      <c r="L313" s="216">
        <v>7.62</v>
      </c>
    </row>
    <row r="314" spans="1:12" hidden="1">
      <c r="A314" s="209" t="s">
        <v>3855</v>
      </c>
      <c r="B314" s="69" t="s">
        <v>3743</v>
      </c>
      <c r="C314" s="69" t="s">
        <v>4077</v>
      </c>
      <c r="D314" s="96" t="s">
        <v>3744</v>
      </c>
      <c r="E314" s="69">
        <v>1</v>
      </c>
      <c r="F314" s="123">
        <v>0.81</v>
      </c>
      <c r="G314" s="123">
        <v>1</v>
      </c>
      <c r="H314" s="208">
        <v>1</v>
      </c>
      <c r="I314" s="215"/>
      <c r="J314" s="215"/>
      <c r="K314" s="215">
        <v>1</v>
      </c>
      <c r="L314" s="216">
        <v>0.81</v>
      </c>
    </row>
    <row r="315" spans="1:12" hidden="1">
      <c r="A315" s="209" t="s">
        <v>3855</v>
      </c>
      <c r="B315" s="69" t="s">
        <v>3342</v>
      </c>
      <c r="C315" s="69" t="s">
        <v>4077</v>
      </c>
      <c r="D315" s="96" t="s">
        <v>3343</v>
      </c>
      <c r="E315" s="69">
        <v>4</v>
      </c>
      <c r="F315" s="123">
        <v>0.76</v>
      </c>
      <c r="G315" s="123">
        <v>1</v>
      </c>
      <c r="H315" s="208">
        <v>4</v>
      </c>
      <c r="I315" s="215"/>
      <c r="J315" s="215"/>
      <c r="K315" s="215">
        <v>4</v>
      </c>
      <c r="L315" s="216">
        <v>3.04</v>
      </c>
    </row>
    <row r="316" spans="1:12" hidden="1">
      <c r="A316" s="209" t="s">
        <v>3855</v>
      </c>
      <c r="B316" s="69" t="s">
        <v>3857</v>
      </c>
      <c r="C316" s="69" t="s">
        <v>4078</v>
      </c>
      <c r="D316" s="96" t="s">
        <v>4079</v>
      </c>
      <c r="E316" s="69">
        <v>15</v>
      </c>
      <c r="F316" s="123">
        <v>1</v>
      </c>
      <c r="G316" s="123">
        <v>1.25</v>
      </c>
      <c r="H316" s="208">
        <v>18.75</v>
      </c>
      <c r="I316" s="215"/>
      <c r="J316" s="215"/>
      <c r="K316" s="215">
        <v>18.75</v>
      </c>
      <c r="L316" s="216">
        <v>15</v>
      </c>
    </row>
    <row r="317" spans="1:12" hidden="1">
      <c r="A317" s="209" t="s">
        <v>3855</v>
      </c>
      <c r="B317" s="69" t="s">
        <v>3110</v>
      </c>
      <c r="C317" s="69" t="s">
        <v>4080</v>
      </c>
      <c r="D317" s="96" t="s">
        <v>3111</v>
      </c>
      <c r="E317" s="69">
        <v>1</v>
      </c>
      <c r="F317" s="123">
        <v>97.36</v>
      </c>
      <c r="G317" s="123">
        <v>112</v>
      </c>
      <c r="H317" s="208">
        <v>112</v>
      </c>
      <c r="I317" s="215"/>
      <c r="J317" s="215"/>
      <c r="K317" s="215">
        <v>112</v>
      </c>
      <c r="L317" s="216">
        <v>97.36</v>
      </c>
    </row>
    <row r="318" spans="1:12" hidden="1">
      <c r="A318" s="209" t="s">
        <v>3855</v>
      </c>
      <c r="B318" s="69" t="s">
        <v>3100</v>
      </c>
      <c r="C318" s="69" t="s">
        <v>4080</v>
      </c>
      <c r="D318" s="96" t="s">
        <v>3101</v>
      </c>
      <c r="E318" s="69">
        <v>3</v>
      </c>
      <c r="F318" s="123">
        <v>23.15</v>
      </c>
      <c r="G318" s="123">
        <v>26.75</v>
      </c>
      <c r="H318" s="208">
        <v>80.25</v>
      </c>
      <c r="I318" s="215"/>
      <c r="J318" s="215"/>
      <c r="K318" s="215">
        <v>80.25</v>
      </c>
      <c r="L318" s="216">
        <v>69.449999999999989</v>
      </c>
    </row>
    <row r="319" spans="1:12" hidden="1">
      <c r="A319" s="209" t="s">
        <v>3855</v>
      </c>
      <c r="B319" s="69" t="s">
        <v>1917</v>
      </c>
      <c r="C319" s="69" t="s">
        <v>4080</v>
      </c>
      <c r="D319" s="96" t="s">
        <v>1918</v>
      </c>
      <c r="E319" s="69">
        <v>2</v>
      </c>
      <c r="F319" s="123">
        <v>27.9</v>
      </c>
      <c r="G319" s="123">
        <v>32.25</v>
      </c>
      <c r="H319" s="208">
        <v>64.5</v>
      </c>
      <c r="I319" s="215"/>
      <c r="J319" s="215"/>
      <c r="K319" s="215">
        <v>64.5</v>
      </c>
      <c r="L319" s="216">
        <v>55.8</v>
      </c>
    </row>
    <row r="320" spans="1:12" hidden="1">
      <c r="A320" s="209" t="s">
        <v>3855</v>
      </c>
      <c r="B320" s="69" t="s">
        <v>1913</v>
      </c>
      <c r="C320" s="69" t="s">
        <v>4081</v>
      </c>
      <c r="D320" s="96" t="s">
        <v>1914</v>
      </c>
      <c r="E320" s="69">
        <v>1</v>
      </c>
      <c r="F320" s="123">
        <v>54.38</v>
      </c>
      <c r="G320" s="123">
        <v>62.75</v>
      </c>
      <c r="H320" s="208">
        <v>62.75</v>
      </c>
      <c r="I320" s="215"/>
      <c r="J320" s="215"/>
      <c r="K320" s="215">
        <v>62.75</v>
      </c>
      <c r="L320" s="216">
        <v>54.38</v>
      </c>
    </row>
    <row r="321" spans="1:12" hidden="1">
      <c r="A321" s="209" t="s">
        <v>3855</v>
      </c>
      <c r="B321" s="69" t="s">
        <v>3806</v>
      </c>
      <c r="C321" s="69" t="s">
        <v>4081</v>
      </c>
      <c r="D321" s="96" t="s">
        <v>3793</v>
      </c>
      <c r="E321" s="69">
        <v>1</v>
      </c>
      <c r="F321" s="123">
        <v>90.69</v>
      </c>
      <c r="G321" s="123">
        <v>104.5</v>
      </c>
      <c r="H321" s="208">
        <v>104.5</v>
      </c>
      <c r="I321" s="215"/>
      <c r="J321" s="215"/>
      <c r="K321" s="215">
        <v>104.5</v>
      </c>
      <c r="L321" s="216">
        <v>90.69</v>
      </c>
    </row>
    <row r="322" spans="1:12" hidden="1">
      <c r="A322" s="209" t="s">
        <v>3855</v>
      </c>
      <c r="B322" s="69" t="s">
        <v>180</v>
      </c>
      <c r="C322" s="69" t="s">
        <v>4082</v>
      </c>
      <c r="D322" s="96" t="s">
        <v>181</v>
      </c>
      <c r="E322" s="69">
        <v>1</v>
      </c>
      <c r="F322" s="123">
        <v>16.579999999999998</v>
      </c>
      <c r="G322" s="123">
        <v>19</v>
      </c>
      <c r="H322" s="208">
        <v>19</v>
      </c>
      <c r="I322" s="215"/>
      <c r="J322" s="215"/>
      <c r="K322" s="215">
        <v>19</v>
      </c>
      <c r="L322" s="216">
        <v>16.579999999999998</v>
      </c>
    </row>
    <row r="323" spans="1:12" hidden="1">
      <c r="A323" s="209" t="s">
        <v>3855</v>
      </c>
      <c r="B323" s="69" t="s">
        <v>1435</v>
      </c>
      <c r="C323" s="69" t="s">
        <v>4083</v>
      </c>
      <c r="D323" s="96" t="s">
        <v>1436</v>
      </c>
      <c r="E323" s="69">
        <v>2</v>
      </c>
      <c r="F323" s="123">
        <v>35.75</v>
      </c>
      <c r="G323" s="123">
        <v>41.25</v>
      </c>
      <c r="H323" s="208">
        <v>82.5</v>
      </c>
      <c r="I323" s="215"/>
      <c r="J323" s="215"/>
      <c r="K323" s="215">
        <v>82.5</v>
      </c>
      <c r="L323" s="216">
        <v>71.5</v>
      </c>
    </row>
    <row r="324" spans="1:12" hidden="1">
      <c r="A324" s="209" t="s">
        <v>3855</v>
      </c>
      <c r="B324" s="69" t="s">
        <v>1403</v>
      </c>
      <c r="C324" s="69" t="s">
        <v>4083</v>
      </c>
      <c r="D324" s="96" t="s">
        <v>1404</v>
      </c>
      <c r="E324" s="69">
        <v>2</v>
      </c>
      <c r="F324" s="123">
        <v>61.5</v>
      </c>
      <c r="G324" s="123">
        <v>66.5</v>
      </c>
      <c r="H324" s="208">
        <v>133</v>
      </c>
      <c r="I324" s="215"/>
      <c r="J324" s="215"/>
      <c r="K324" s="215">
        <v>133</v>
      </c>
      <c r="L324" s="216">
        <v>123</v>
      </c>
    </row>
    <row r="325" spans="1:12" hidden="1">
      <c r="A325" s="209" t="s">
        <v>3855</v>
      </c>
      <c r="B325" s="69" t="s">
        <v>1473</v>
      </c>
      <c r="C325" s="69" t="s">
        <v>4083</v>
      </c>
      <c r="D325" s="96" t="s">
        <v>1474</v>
      </c>
      <c r="E325" s="69">
        <v>1</v>
      </c>
      <c r="F325" s="123">
        <v>60.4</v>
      </c>
      <c r="G325" s="123">
        <v>70</v>
      </c>
      <c r="H325" s="208">
        <v>70</v>
      </c>
      <c r="I325" s="215"/>
      <c r="J325" s="215"/>
      <c r="K325" s="215">
        <v>70</v>
      </c>
      <c r="L325" s="216">
        <v>60.4</v>
      </c>
    </row>
    <row r="326" spans="1:12" hidden="1">
      <c r="A326" s="209" t="s">
        <v>3855</v>
      </c>
      <c r="B326" s="69" t="s">
        <v>1600</v>
      </c>
      <c r="C326" s="69" t="s">
        <v>4083</v>
      </c>
      <c r="D326" s="96" t="s">
        <v>1601</v>
      </c>
      <c r="E326" s="69">
        <v>32</v>
      </c>
      <c r="F326" s="123">
        <v>4.74</v>
      </c>
      <c r="G326" s="123">
        <v>5.5</v>
      </c>
      <c r="H326" s="208">
        <v>176</v>
      </c>
      <c r="I326" s="215"/>
      <c r="J326" s="215"/>
      <c r="K326" s="215">
        <v>176</v>
      </c>
      <c r="L326" s="216">
        <v>151.68</v>
      </c>
    </row>
    <row r="327" spans="1:12" hidden="1">
      <c r="A327" s="209" t="s">
        <v>3855</v>
      </c>
      <c r="B327" s="69" t="s">
        <v>1024</v>
      </c>
      <c r="C327" s="69" t="s">
        <v>4084</v>
      </c>
      <c r="D327" s="96" t="s">
        <v>1025</v>
      </c>
      <c r="E327" s="69">
        <v>1</v>
      </c>
      <c r="F327" s="123">
        <v>8.58</v>
      </c>
      <c r="G327" s="123">
        <v>10</v>
      </c>
      <c r="H327" s="208">
        <v>10</v>
      </c>
      <c r="I327" s="215"/>
      <c r="J327" s="215"/>
      <c r="K327" s="215">
        <v>10</v>
      </c>
      <c r="L327" s="216">
        <v>8.58</v>
      </c>
    </row>
    <row r="328" spans="1:12" hidden="1">
      <c r="A328" s="209" t="s">
        <v>3855</v>
      </c>
      <c r="B328" s="69" t="s">
        <v>472</v>
      </c>
      <c r="C328" s="69" t="s">
        <v>4084</v>
      </c>
      <c r="D328" s="96" t="s">
        <v>473</v>
      </c>
      <c r="E328" s="69">
        <v>1</v>
      </c>
      <c r="F328" s="123">
        <v>53.9</v>
      </c>
      <c r="G328" s="123">
        <v>59.25</v>
      </c>
      <c r="H328" s="208">
        <v>59.25</v>
      </c>
      <c r="I328" s="215"/>
      <c r="J328" s="215"/>
      <c r="K328" s="215">
        <v>59.25</v>
      </c>
      <c r="L328" s="216">
        <v>53.9</v>
      </c>
    </row>
    <row r="329" spans="1:12" hidden="1">
      <c r="A329" s="209" t="s">
        <v>3855</v>
      </c>
      <c r="B329" s="69" t="s">
        <v>3080</v>
      </c>
      <c r="C329" s="69" t="s">
        <v>4085</v>
      </c>
      <c r="D329" s="96" t="s">
        <v>3081</v>
      </c>
      <c r="E329" s="69">
        <v>1</v>
      </c>
      <c r="F329" s="123">
        <v>20.399999999999999</v>
      </c>
      <c r="G329" s="123">
        <v>23.5</v>
      </c>
      <c r="H329" s="208">
        <v>23.5</v>
      </c>
      <c r="I329" s="215"/>
      <c r="J329" s="215"/>
      <c r="K329" s="215">
        <v>23.5</v>
      </c>
      <c r="L329" s="216">
        <v>20.399999999999999</v>
      </c>
    </row>
    <row r="330" spans="1:12" hidden="1">
      <c r="A330" s="209" t="s">
        <v>3855</v>
      </c>
      <c r="B330" s="69" t="s">
        <v>3627</v>
      </c>
      <c r="C330" s="69" t="s">
        <v>4086</v>
      </c>
      <c r="D330" s="96" t="s">
        <v>3628</v>
      </c>
      <c r="E330" s="69">
        <v>1</v>
      </c>
      <c r="F330" s="123">
        <v>16.91</v>
      </c>
      <c r="G330" s="123">
        <v>18.600000000000001</v>
      </c>
      <c r="H330" s="208">
        <v>18.600000000000001</v>
      </c>
      <c r="I330" s="215"/>
      <c r="J330" s="215"/>
      <c r="K330" s="215">
        <v>18.600000000000001</v>
      </c>
      <c r="L330" s="216">
        <v>16.91</v>
      </c>
    </row>
    <row r="331" spans="1:12" hidden="1">
      <c r="A331" s="209" t="s">
        <v>3855</v>
      </c>
      <c r="B331" s="69" t="s">
        <v>68</v>
      </c>
      <c r="C331" s="69" t="s">
        <v>4086</v>
      </c>
      <c r="D331" s="96" t="s">
        <v>69</v>
      </c>
      <c r="E331" s="69">
        <v>1</v>
      </c>
      <c r="F331" s="123">
        <v>18.53</v>
      </c>
      <c r="G331" s="123">
        <v>21.5</v>
      </c>
      <c r="H331" s="208">
        <v>21.5</v>
      </c>
      <c r="I331" s="215"/>
      <c r="J331" s="215"/>
      <c r="K331" s="215">
        <v>21.5</v>
      </c>
      <c r="L331" s="216">
        <v>18.53</v>
      </c>
    </row>
    <row r="332" spans="1:12" hidden="1">
      <c r="A332" s="209" t="s">
        <v>3855</v>
      </c>
      <c r="B332" s="69" t="s">
        <v>2961</v>
      </c>
      <c r="C332" s="69" t="s">
        <v>4087</v>
      </c>
      <c r="D332" s="96" t="s">
        <v>2962</v>
      </c>
      <c r="E332" s="69">
        <v>9</v>
      </c>
      <c r="F332" s="123">
        <v>90</v>
      </c>
      <c r="G332" s="123">
        <v>120</v>
      </c>
      <c r="H332" s="208">
        <v>1080</v>
      </c>
      <c r="I332" s="215"/>
      <c r="J332" s="215"/>
      <c r="K332" s="215">
        <v>1080</v>
      </c>
      <c r="L332" s="216">
        <v>810</v>
      </c>
    </row>
    <row r="333" spans="1:12" hidden="1">
      <c r="A333" s="209" t="s">
        <v>3855</v>
      </c>
      <c r="B333" s="69" t="s">
        <v>3084</v>
      </c>
      <c r="C333" s="69" t="s">
        <v>4087</v>
      </c>
      <c r="D333" s="96" t="s">
        <v>3085</v>
      </c>
      <c r="E333" s="69">
        <v>18</v>
      </c>
      <c r="F333" s="123">
        <v>27.85</v>
      </c>
      <c r="G333" s="123">
        <v>32.25</v>
      </c>
      <c r="H333" s="208">
        <v>580.5</v>
      </c>
      <c r="I333" s="215"/>
      <c r="J333" s="215"/>
      <c r="K333" s="215">
        <v>580.5</v>
      </c>
      <c r="L333" s="216">
        <v>501.3</v>
      </c>
    </row>
    <row r="334" spans="1:12" hidden="1">
      <c r="A334" s="209" t="s">
        <v>3855</v>
      </c>
      <c r="B334" s="69" t="s">
        <v>3056</v>
      </c>
      <c r="C334" s="69" t="s">
        <v>4087</v>
      </c>
      <c r="D334" s="96" t="s">
        <v>3057</v>
      </c>
      <c r="E334" s="69">
        <v>2</v>
      </c>
      <c r="F334" s="123">
        <v>69.510000000000005</v>
      </c>
      <c r="G334" s="123">
        <v>80</v>
      </c>
      <c r="H334" s="208">
        <v>160</v>
      </c>
      <c r="I334" s="215"/>
      <c r="J334" s="215"/>
      <c r="K334" s="215">
        <v>160</v>
      </c>
      <c r="L334" s="216">
        <v>139.02000000000001</v>
      </c>
    </row>
    <row r="335" spans="1:12" hidden="1">
      <c r="A335" s="209" t="s">
        <v>3858</v>
      </c>
      <c r="B335" s="69" t="s">
        <v>3627</v>
      </c>
      <c r="C335" s="69" t="s">
        <v>4088</v>
      </c>
      <c r="D335" s="96" t="s">
        <v>3628</v>
      </c>
      <c r="E335" s="69">
        <v>1</v>
      </c>
      <c r="F335" s="123">
        <v>16.91</v>
      </c>
      <c r="G335" s="123">
        <v>18.600000000000001</v>
      </c>
      <c r="H335" s="208">
        <v>18.600000000000001</v>
      </c>
      <c r="I335" s="215"/>
      <c r="J335" s="215"/>
      <c r="K335" s="215">
        <v>18.600000000000001</v>
      </c>
      <c r="L335" s="216">
        <v>16.91</v>
      </c>
    </row>
    <row r="336" spans="1:12" hidden="1">
      <c r="A336" s="209" t="s">
        <v>3858</v>
      </c>
      <c r="B336" s="69" t="s">
        <v>1614</v>
      </c>
      <c r="C336" s="69" t="s">
        <v>4089</v>
      </c>
      <c r="D336" s="96" t="s">
        <v>1615</v>
      </c>
      <c r="E336" s="69">
        <v>1</v>
      </c>
      <c r="F336" s="123">
        <v>13.39</v>
      </c>
      <c r="G336" s="123">
        <v>15.5</v>
      </c>
      <c r="H336" s="208">
        <v>15.5</v>
      </c>
      <c r="I336" s="215"/>
      <c r="J336" s="215"/>
      <c r="K336" s="215">
        <v>15.5</v>
      </c>
      <c r="L336" s="216">
        <v>13.39</v>
      </c>
    </row>
    <row r="337" spans="1:12" hidden="1">
      <c r="A337" s="209" t="s">
        <v>3858</v>
      </c>
      <c r="B337" s="69" t="s">
        <v>3330</v>
      </c>
      <c r="C337" s="69" t="s">
        <v>4090</v>
      </c>
      <c r="D337" s="96" t="s">
        <v>3331</v>
      </c>
      <c r="E337" s="69">
        <v>1</v>
      </c>
      <c r="F337" s="123">
        <v>4.4800000000000004</v>
      </c>
      <c r="G337" s="123">
        <v>5.25</v>
      </c>
      <c r="H337" s="208">
        <v>5.25</v>
      </c>
      <c r="I337" s="215"/>
      <c r="J337" s="215"/>
      <c r="K337" s="215">
        <v>5.25</v>
      </c>
      <c r="L337" s="216">
        <v>4.4800000000000004</v>
      </c>
    </row>
    <row r="338" spans="1:12" hidden="1">
      <c r="A338" s="209" t="s">
        <v>3858</v>
      </c>
      <c r="B338" s="69" t="s">
        <v>1913</v>
      </c>
      <c r="C338" s="69" t="s">
        <v>4091</v>
      </c>
      <c r="D338" s="96" t="s">
        <v>1914</v>
      </c>
      <c r="E338" s="69">
        <v>1</v>
      </c>
      <c r="F338" s="123">
        <v>54.38</v>
      </c>
      <c r="G338" s="123">
        <v>62.75</v>
      </c>
      <c r="H338" s="208">
        <v>62.75</v>
      </c>
      <c r="I338" s="215"/>
      <c r="J338" s="215"/>
      <c r="K338" s="215">
        <v>62.75</v>
      </c>
      <c r="L338" s="216">
        <v>54.38</v>
      </c>
    </row>
    <row r="339" spans="1:12" hidden="1">
      <c r="A339" s="209" t="s">
        <v>3858</v>
      </c>
      <c r="B339" s="69" t="s">
        <v>2961</v>
      </c>
      <c r="C339" s="69" t="s">
        <v>4091</v>
      </c>
      <c r="D339" s="96" t="s">
        <v>2962</v>
      </c>
      <c r="E339" s="69">
        <v>1</v>
      </c>
      <c r="F339" s="123">
        <v>90</v>
      </c>
      <c r="G339" s="123">
        <v>120</v>
      </c>
      <c r="H339" s="208">
        <v>120</v>
      </c>
      <c r="I339" s="215"/>
      <c r="J339" s="215"/>
      <c r="K339" s="215">
        <v>120</v>
      </c>
      <c r="L339" s="216">
        <v>90</v>
      </c>
    </row>
    <row r="340" spans="1:12" hidden="1">
      <c r="A340" s="209" t="s">
        <v>3858</v>
      </c>
      <c r="B340" s="69" t="s">
        <v>3854</v>
      </c>
      <c r="C340" s="69" t="s">
        <v>4092</v>
      </c>
      <c r="D340" s="96" t="s">
        <v>4053</v>
      </c>
      <c r="E340" s="69">
        <v>2</v>
      </c>
      <c r="F340" s="123">
        <v>5.8</v>
      </c>
      <c r="G340" s="123">
        <v>7</v>
      </c>
      <c r="H340" s="208">
        <v>14</v>
      </c>
      <c r="I340" s="215"/>
      <c r="J340" s="215"/>
      <c r="K340" s="215">
        <v>14</v>
      </c>
      <c r="L340" s="216">
        <v>11.6</v>
      </c>
    </row>
    <row r="341" spans="1:12" hidden="1">
      <c r="A341" s="209" t="s">
        <v>3858</v>
      </c>
      <c r="B341" s="69" t="s">
        <v>3330</v>
      </c>
      <c r="C341" s="69" t="s">
        <v>4092</v>
      </c>
      <c r="D341" s="96" t="s">
        <v>3331</v>
      </c>
      <c r="E341" s="69">
        <v>1</v>
      </c>
      <c r="F341" s="123">
        <v>4.4800000000000004</v>
      </c>
      <c r="G341" s="123">
        <v>5.25</v>
      </c>
      <c r="H341" s="208">
        <v>5.25</v>
      </c>
      <c r="I341" s="215"/>
      <c r="J341" s="215"/>
      <c r="K341" s="215">
        <v>5.25</v>
      </c>
      <c r="L341" s="216">
        <v>4.4800000000000004</v>
      </c>
    </row>
    <row r="342" spans="1:12" hidden="1">
      <c r="A342" s="209" t="s">
        <v>3858</v>
      </c>
      <c r="B342" s="69" t="s">
        <v>273</v>
      </c>
      <c r="C342" s="69" t="s">
        <v>4092</v>
      </c>
      <c r="D342" s="96" t="s">
        <v>274</v>
      </c>
      <c r="E342" s="69">
        <v>1</v>
      </c>
      <c r="F342" s="123">
        <v>15.12</v>
      </c>
      <c r="G342" s="123">
        <v>17.5</v>
      </c>
      <c r="H342" s="208">
        <v>17.5</v>
      </c>
      <c r="I342" s="215"/>
      <c r="J342" s="215"/>
      <c r="K342" s="215">
        <v>17.5</v>
      </c>
      <c r="L342" s="216">
        <v>15.12</v>
      </c>
    </row>
    <row r="343" spans="1:12" hidden="1">
      <c r="A343" s="209" t="s">
        <v>3858</v>
      </c>
      <c r="B343" s="69" t="s">
        <v>3747</v>
      </c>
      <c r="C343" s="69" t="s">
        <v>4092</v>
      </c>
      <c r="D343" s="96" t="s">
        <v>3748</v>
      </c>
      <c r="E343" s="69">
        <v>2</v>
      </c>
      <c r="F343" s="123">
        <v>50.88</v>
      </c>
      <c r="G343" s="123">
        <v>58.75</v>
      </c>
      <c r="H343" s="208">
        <v>117.5</v>
      </c>
      <c r="I343" s="215"/>
      <c r="J343" s="215"/>
      <c r="K343" s="215">
        <v>117.5</v>
      </c>
      <c r="L343" s="216">
        <v>101.76</v>
      </c>
    </row>
    <row r="344" spans="1:12" hidden="1">
      <c r="A344" s="209" t="s">
        <v>3858</v>
      </c>
      <c r="B344" s="69" t="s">
        <v>285</v>
      </c>
      <c r="C344" s="69" t="s">
        <v>4092</v>
      </c>
      <c r="D344" s="96" t="s">
        <v>286</v>
      </c>
      <c r="E344" s="69">
        <v>2</v>
      </c>
      <c r="F344" s="123">
        <v>15.65</v>
      </c>
      <c r="G344" s="123">
        <v>18</v>
      </c>
      <c r="H344" s="208">
        <v>36</v>
      </c>
      <c r="I344" s="215"/>
      <c r="J344" s="215"/>
      <c r="K344" s="215">
        <v>36</v>
      </c>
      <c r="L344" s="216">
        <v>31.3</v>
      </c>
    </row>
    <row r="345" spans="1:12" hidden="1">
      <c r="A345" s="209" t="s">
        <v>3858</v>
      </c>
      <c r="B345" s="69" t="s">
        <v>2459</v>
      </c>
      <c r="C345" s="69" t="s">
        <v>4092</v>
      </c>
      <c r="D345" s="96" t="s">
        <v>2460</v>
      </c>
      <c r="E345" s="69">
        <v>4</v>
      </c>
      <c r="F345" s="123">
        <v>13.87</v>
      </c>
      <c r="G345" s="123">
        <v>17.75</v>
      </c>
      <c r="H345" s="208">
        <v>71</v>
      </c>
      <c r="I345" s="215"/>
      <c r="J345" s="215"/>
      <c r="K345" s="215">
        <v>71</v>
      </c>
      <c r="L345" s="216">
        <v>55.48</v>
      </c>
    </row>
    <row r="346" spans="1:12" hidden="1">
      <c r="A346" s="209" t="s">
        <v>3858</v>
      </c>
      <c r="B346" s="69" t="s">
        <v>1948</v>
      </c>
      <c r="C346" s="69" t="s">
        <v>4092</v>
      </c>
      <c r="D346" s="96" t="s">
        <v>1949</v>
      </c>
      <c r="E346" s="69">
        <v>12</v>
      </c>
      <c r="F346" s="123">
        <v>6.82</v>
      </c>
      <c r="G346" s="123">
        <v>8</v>
      </c>
      <c r="H346" s="208">
        <v>96</v>
      </c>
      <c r="I346" s="215"/>
      <c r="J346" s="215"/>
      <c r="K346" s="215">
        <v>96</v>
      </c>
      <c r="L346" s="216">
        <v>81.84</v>
      </c>
    </row>
    <row r="347" spans="1:12" hidden="1">
      <c r="A347" s="209" t="s">
        <v>3858</v>
      </c>
      <c r="B347" s="69" t="s">
        <v>2366</v>
      </c>
      <c r="C347" s="69" t="s">
        <v>4092</v>
      </c>
      <c r="D347" s="96" t="s">
        <v>2367</v>
      </c>
      <c r="E347" s="69">
        <v>6</v>
      </c>
      <c r="F347" s="123">
        <v>14.42</v>
      </c>
      <c r="G347" s="123">
        <v>16.75</v>
      </c>
      <c r="H347" s="208">
        <v>100.5</v>
      </c>
      <c r="I347" s="215"/>
      <c r="J347" s="215"/>
      <c r="K347" s="215">
        <v>100.5</v>
      </c>
      <c r="L347" s="216">
        <v>86.52</v>
      </c>
    </row>
    <row r="348" spans="1:12" hidden="1">
      <c r="A348" s="209" t="s">
        <v>3858</v>
      </c>
      <c r="B348" s="69" t="s">
        <v>3854</v>
      </c>
      <c r="C348" s="69" t="s">
        <v>4093</v>
      </c>
      <c r="D348" s="96" t="s">
        <v>4053</v>
      </c>
      <c r="E348" s="69">
        <v>1</v>
      </c>
      <c r="F348" s="123">
        <v>5.8</v>
      </c>
      <c r="G348" s="123">
        <v>7</v>
      </c>
      <c r="H348" s="208">
        <v>7</v>
      </c>
      <c r="I348" s="215"/>
      <c r="J348" s="215"/>
      <c r="K348" s="215">
        <v>7</v>
      </c>
      <c r="L348" s="216">
        <v>5.8</v>
      </c>
    </row>
    <row r="349" spans="1:12" hidden="1">
      <c r="A349" s="209" t="s">
        <v>3858</v>
      </c>
      <c r="B349" s="69" t="s">
        <v>3366</v>
      </c>
      <c r="C349" s="69" t="s">
        <v>4093</v>
      </c>
      <c r="D349" s="96" t="s">
        <v>3367</v>
      </c>
      <c r="E349" s="69">
        <v>1</v>
      </c>
      <c r="F349" s="123">
        <v>0.81</v>
      </c>
      <c r="G349" s="123">
        <v>1</v>
      </c>
      <c r="H349" s="208">
        <v>1</v>
      </c>
      <c r="I349" s="215"/>
      <c r="J349" s="215"/>
      <c r="K349" s="215">
        <v>1</v>
      </c>
      <c r="L349" s="216">
        <v>0.81</v>
      </c>
    </row>
    <row r="350" spans="1:12" hidden="1">
      <c r="A350" s="209" t="s">
        <v>3858</v>
      </c>
      <c r="B350" s="69" t="s">
        <v>497</v>
      </c>
      <c r="C350" s="69" t="s">
        <v>4094</v>
      </c>
      <c r="D350" s="96" t="s">
        <v>498</v>
      </c>
      <c r="E350" s="69">
        <v>1</v>
      </c>
      <c r="F350" s="123">
        <v>57.4</v>
      </c>
      <c r="G350" s="123">
        <v>66</v>
      </c>
      <c r="H350" s="208">
        <v>66</v>
      </c>
      <c r="I350" s="215"/>
      <c r="J350" s="215"/>
      <c r="K350" s="215">
        <v>66</v>
      </c>
      <c r="L350" s="216">
        <v>57.4</v>
      </c>
    </row>
    <row r="351" spans="1:12" hidden="1">
      <c r="A351" s="209" t="s">
        <v>3858</v>
      </c>
      <c r="B351" s="69" t="s">
        <v>102</v>
      </c>
      <c r="C351" s="69" t="s">
        <v>4095</v>
      </c>
      <c r="D351" s="96" t="s">
        <v>103</v>
      </c>
      <c r="E351" s="69">
        <v>1</v>
      </c>
      <c r="F351" s="123">
        <v>7.06</v>
      </c>
      <c r="G351" s="123">
        <v>8.25</v>
      </c>
      <c r="H351" s="208">
        <v>8.25</v>
      </c>
      <c r="I351" s="215"/>
      <c r="J351" s="215"/>
      <c r="K351" s="215">
        <v>8.25</v>
      </c>
      <c r="L351" s="216">
        <v>7.06</v>
      </c>
    </row>
    <row r="352" spans="1:12" hidden="1">
      <c r="A352" s="209" t="s">
        <v>3858</v>
      </c>
      <c r="B352" s="69" t="s">
        <v>1044</v>
      </c>
      <c r="C352" s="69" t="s">
        <v>4095</v>
      </c>
      <c r="D352" s="96" t="s">
        <v>1045</v>
      </c>
      <c r="E352" s="69">
        <v>1</v>
      </c>
      <c r="F352" s="123">
        <v>18.2</v>
      </c>
      <c r="G352" s="123">
        <v>21</v>
      </c>
      <c r="H352" s="208">
        <v>21</v>
      </c>
      <c r="I352" s="215"/>
      <c r="J352" s="215"/>
      <c r="K352" s="215">
        <v>21</v>
      </c>
      <c r="L352" s="216">
        <v>18.2</v>
      </c>
    </row>
    <row r="353" spans="1:12" hidden="1">
      <c r="A353" s="209" t="s">
        <v>3858</v>
      </c>
      <c r="B353" s="69" t="s">
        <v>1909</v>
      </c>
      <c r="C353" s="69" t="s">
        <v>4096</v>
      </c>
      <c r="D353" s="96" t="s">
        <v>1910</v>
      </c>
      <c r="E353" s="69">
        <v>2</v>
      </c>
      <c r="F353" s="123">
        <v>83.55</v>
      </c>
      <c r="G353" s="123">
        <v>97.25</v>
      </c>
      <c r="H353" s="208">
        <v>194.5</v>
      </c>
      <c r="I353" s="215"/>
      <c r="J353" s="215"/>
      <c r="K353" s="215">
        <v>194.5</v>
      </c>
      <c r="L353" s="216">
        <v>167.1</v>
      </c>
    </row>
    <row r="354" spans="1:12" hidden="1">
      <c r="A354" s="209" t="s">
        <v>3858</v>
      </c>
      <c r="B354" s="69" t="s">
        <v>1782</v>
      </c>
      <c r="C354" s="69" t="s">
        <v>4097</v>
      </c>
      <c r="D354" s="96" t="s">
        <v>1783</v>
      </c>
      <c r="E354" s="69">
        <v>1</v>
      </c>
      <c r="F354" s="123">
        <v>7.75</v>
      </c>
      <c r="G354" s="123">
        <v>9</v>
      </c>
      <c r="H354" s="208">
        <v>9</v>
      </c>
      <c r="I354" s="215"/>
      <c r="J354" s="215"/>
      <c r="K354" s="215">
        <v>9</v>
      </c>
      <c r="L354" s="216">
        <v>7.75</v>
      </c>
    </row>
    <row r="355" spans="1:12" hidden="1">
      <c r="A355" s="209" t="s">
        <v>3858</v>
      </c>
      <c r="B355" s="69" t="s">
        <v>2144</v>
      </c>
      <c r="C355" s="69" t="s">
        <v>4097</v>
      </c>
      <c r="D355" s="96" t="s">
        <v>2145</v>
      </c>
      <c r="E355" s="69">
        <v>1</v>
      </c>
      <c r="F355" s="123">
        <v>6.73</v>
      </c>
      <c r="G355" s="123">
        <v>7.75</v>
      </c>
      <c r="H355" s="208">
        <v>7.75</v>
      </c>
      <c r="I355" s="215"/>
      <c r="J355" s="215"/>
      <c r="K355" s="215">
        <v>7.75</v>
      </c>
      <c r="L355" s="216">
        <v>6.73</v>
      </c>
    </row>
    <row r="356" spans="1:12" hidden="1">
      <c r="A356" s="209" t="s">
        <v>3858</v>
      </c>
      <c r="B356" s="69" t="s">
        <v>3856</v>
      </c>
      <c r="C356" s="69" t="s">
        <v>4098</v>
      </c>
      <c r="D356" s="96" t="s">
        <v>4073</v>
      </c>
      <c r="E356" s="69">
        <v>1</v>
      </c>
      <c r="F356" s="123">
        <v>3.7</v>
      </c>
      <c r="G356" s="123">
        <v>5</v>
      </c>
      <c r="H356" s="208">
        <v>5</v>
      </c>
      <c r="I356" s="215"/>
      <c r="J356" s="215"/>
      <c r="K356" s="215">
        <v>5</v>
      </c>
      <c r="L356" s="216">
        <v>3.7</v>
      </c>
    </row>
    <row r="357" spans="1:12" hidden="1">
      <c r="A357" s="209" t="s">
        <v>3858</v>
      </c>
      <c r="B357" s="69" t="s">
        <v>1162</v>
      </c>
      <c r="C357" s="69" t="s">
        <v>4099</v>
      </c>
      <c r="D357" s="96" t="s">
        <v>1163</v>
      </c>
      <c r="E357" s="69">
        <v>1</v>
      </c>
      <c r="F357" s="123">
        <v>21.88</v>
      </c>
      <c r="G357" s="123">
        <v>25.25</v>
      </c>
      <c r="H357" s="208">
        <v>25.25</v>
      </c>
      <c r="I357" s="215"/>
      <c r="J357" s="215"/>
      <c r="K357" s="215">
        <v>25.25</v>
      </c>
      <c r="L357" s="216">
        <v>21.88</v>
      </c>
    </row>
    <row r="358" spans="1:12" hidden="1">
      <c r="A358" s="209" t="s">
        <v>3858</v>
      </c>
      <c r="B358" s="69" t="s">
        <v>1396</v>
      </c>
      <c r="C358" s="69" t="s">
        <v>4100</v>
      </c>
      <c r="D358" s="96" t="s">
        <v>1397</v>
      </c>
      <c r="E358" s="69">
        <v>1</v>
      </c>
      <c r="F358" s="123">
        <v>25.03</v>
      </c>
      <c r="G358" s="123">
        <v>29</v>
      </c>
      <c r="H358" s="208">
        <v>29</v>
      </c>
      <c r="I358" s="215"/>
      <c r="J358" s="215"/>
      <c r="K358" s="215">
        <v>29</v>
      </c>
      <c r="L358" s="216">
        <v>25.03</v>
      </c>
    </row>
    <row r="359" spans="1:12" hidden="1">
      <c r="A359" s="209" t="s">
        <v>3858</v>
      </c>
      <c r="B359" s="69" t="s">
        <v>1121</v>
      </c>
      <c r="C359" s="69" t="s">
        <v>4101</v>
      </c>
      <c r="D359" s="96" t="s">
        <v>1122</v>
      </c>
      <c r="E359" s="69">
        <v>1</v>
      </c>
      <c r="F359" s="123">
        <v>15.25</v>
      </c>
      <c r="G359" s="123">
        <v>17.75</v>
      </c>
      <c r="H359" s="208">
        <v>17.75</v>
      </c>
      <c r="I359" s="215"/>
      <c r="J359" s="215"/>
      <c r="K359" s="215">
        <v>17.75</v>
      </c>
      <c r="L359" s="216">
        <v>15.25</v>
      </c>
    </row>
    <row r="360" spans="1:12" hidden="1">
      <c r="A360" s="209" t="s">
        <v>3858</v>
      </c>
      <c r="B360" s="69" t="s">
        <v>3759</v>
      </c>
      <c r="C360" s="69" t="s">
        <v>4102</v>
      </c>
      <c r="D360" s="96" t="s">
        <v>3760</v>
      </c>
      <c r="E360" s="69">
        <v>1</v>
      </c>
      <c r="F360" s="123">
        <v>3.22</v>
      </c>
      <c r="G360" s="123">
        <v>5</v>
      </c>
      <c r="H360" s="208">
        <v>5</v>
      </c>
      <c r="I360" s="215"/>
      <c r="J360" s="215"/>
      <c r="K360" s="215">
        <v>5</v>
      </c>
      <c r="L360" s="216">
        <v>3.22</v>
      </c>
    </row>
    <row r="361" spans="1:12" hidden="1">
      <c r="A361" s="209" t="s">
        <v>3858</v>
      </c>
      <c r="B361" s="69" t="s">
        <v>106</v>
      </c>
      <c r="C361" s="69" t="s">
        <v>4103</v>
      </c>
      <c r="D361" s="96" t="s">
        <v>107</v>
      </c>
      <c r="E361" s="69">
        <v>1</v>
      </c>
      <c r="F361" s="123">
        <v>23.07</v>
      </c>
      <c r="G361" s="123">
        <v>26.75</v>
      </c>
      <c r="H361" s="208">
        <v>26.75</v>
      </c>
      <c r="I361" s="215"/>
      <c r="J361" s="215"/>
      <c r="K361" s="215">
        <v>26.75</v>
      </c>
      <c r="L361" s="216">
        <v>23.07</v>
      </c>
    </row>
    <row r="362" spans="1:12" hidden="1">
      <c r="A362" s="209" t="s">
        <v>3858</v>
      </c>
      <c r="B362" s="69" t="s">
        <v>65</v>
      </c>
      <c r="C362" s="69" t="s">
        <v>4104</v>
      </c>
      <c r="D362" s="96" t="s">
        <v>66</v>
      </c>
      <c r="E362" s="69">
        <v>2</v>
      </c>
      <c r="F362" s="123">
        <v>33.75</v>
      </c>
      <c r="G362" s="123">
        <v>39</v>
      </c>
      <c r="H362" s="208">
        <v>78</v>
      </c>
      <c r="I362" s="215"/>
      <c r="J362" s="215"/>
      <c r="K362" s="215">
        <v>78</v>
      </c>
      <c r="L362" s="216">
        <v>67.5</v>
      </c>
    </row>
    <row r="363" spans="1:12" hidden="1">
      <c r="A363" s="209" t="s">
        <v>3858</v>
      </c>
      <c r="B363" s="69" t="s">
        <v>1009</v>
      </c>
      <c r="C363" s="69" t="s">
        <v>4104</v>
      </c>
      <c r="D363" s="96" t="s">
        <v>1010</v>
      </c>
      <c r="E363" s="69">
        <v>1</v>
      </c>
      <c r="F363" s="123">
        <v>10.64</v>
      </c>
      <c r="G363" s="123">
        <v>12.25</v>
      </c>
      <c r="H363" s="208">
        <v>12.25</v>
      </c>
      <c r="I363" s="215"/>
      <c r="J363" s="215"/>
      <c r="K363" s="215">
        <v>12.25</v>
      </c>
      <c r="L363" s="216">
        <v>10.64</v>
      </c>
    </row>
    <row r="364" spans="1:12" hidden="1">
      <c r="A364" s="209" t="s">
        <v>3858</v>
      </c>
      <c r="B364" s="69" t="s">
        <v>196</v>
      </c>
      <c r="C364" s="69" t="s">
        <v>4105</v>
      </c>
      <c r="D364" s="96" t="s">
        <v>197</v>
      </c>
      <c r="E364" s="69">
        <v>1</v>
      </c>
      <c r="F364" s="123">
        <v>7.62</v>
      </c>
      <c r="G364" s="123">
        <v>8.75</v>
      </c>
      <c r="H364" s="208">
        <v>8.75</v>
      </c>
      <c r="I364" s="215"/>
      <c r="J364" s="215"/>
      <c r="K364" s="215">
        <v>8.75</v>
      </c>
      <c r="L364" s="216">
        <v>7.62</v>
      </c>
    </row>
    <row r="365" spans="1:12" hidden="1">
      <c r="A365" s="209" t="s">
        <v>3858</v>
      </c>
      <c r="B365" s="69" t="s">
        <v>2205</v>
      </c>
      <c r="C365" s="69" t="s">
        <v>4106</v>
      </c>
      <c r="D365" s="96" t="s">
        <v>2206</v>
      </c>
      <c r="E365" s="69">
        <v>4</v>
      </c>
      <c r="F365" s="123">
        <v>302.13</v>
      </c>
      <c r="G365" s="123">
        <v>362.75</v>
      </c>
      <c r="H365" s="208">
        <v>1451</v>
      </c>
      <c r="I365" s="215"/>
      <c r="J365" s="215"/>
      <c r="K365" s="215">
        <v>1451</v>
      </c>
      <c r="L365" s="216">
        <v>1208.52</v>
      </c>
    </row>
    <row r="366" spans="1:12" hidden="1">
      <c r="A366" s="209" t="s">
        <v>3858</v>
      </c>
      <c r="B366" s="69" t="s">
        <v>3859</v>
      </c>
      <c r="C366" s="69" t="s">
        <v>4107</v>
      </c>
      <c r="D366" s="96" t="s">
        <v>4108</v>
      </c>
      <c r="E366" s="69">
        <v>2</v>
      </c>
      <c r="F366" s="123">
        <v>195</v>
      </c>
      <c r="G366" s="123">
        <v>250</v>
      </c>
      <c r="H366" s="208">
        <v>500</v>
      </c>
      <c r="I366" s="215"/>
      <c r="J366" s="215"/>
      <c r="K366" s="215">
        <v>500</v>
      </c>
      <c r="L366" s="216">
        <v>390</v>
      </c>
    </row>
    <row r="367" spans="1:12" hidden="1">
      <c r="A367" s="209" t="s">
        <v>3858</v>
      </c>
      <c r="B367" s="69" t="s">
        <v>3860</v>
      </c>
      <c r="C367" s="69" t="s">
        <v>4107</v>
      </c>
      <c r="D367" s="96" t="s">
        <v>4109</v>
      </c>
      <c r="E367" s="69">
        <v>6</v>
      </c>
      <c r="F367" s="123">
        <v>34</v>
      </c>
      <c r="G367" s="123">
        <v>40</v>
      </c>
      <c r="H367" s="208">
        <v>240</v>
      </c>
      <c r="I367" s="215"/>
      <c r="J367" s="215"/>
      <c r="K367" s="215">
        <v>240</v>
      </c>
      <c r="L367" s="216">
        <v>204</v>
      </c>
    </row>
    <row r="368" spans="1:12" hidden="1">
      <c r="A368" s="209" t="s">
        <v>3858</v>
      </c>
      <c r="B368" s="69" t="s">
        <v>3861</v>
      </c>
      <c r="C368" s="69" t="s">
        <v>4107</v>
      </c>
      <c r="D368" s="96" t="s">
        <v>4110</v>
      </c>
      <c r="E368" s="69">
        <v>12</v>
      </c>
      <c r="F368" s="123">
        <v>23</v>
      </c>
      <c r="G368" s="123">
        <v>30</v>
      </c>
      <c r="H368" s="208">
        <v>360</v>
      </c>
      <c r="I368" s="215"/>
      <c r="J368" s="215"/>
      <c r="K368" s="215">
        <v>360</v>
      </c>
      <c r="L368" s="216">
        <v>276</v>
      </c>
    </row>
    <row r="369" spans="1:12" hidden="1">
      <c r="A369" s="209" t="s">
        <v>3858</v>
      </c>
      <c r="B369" s="69" t="s">
        <v>3862</v>
      </c>
      <c r="C369" s="69" t="s">
        <v>4111</v>
      </c>
      <c r="D369" s="96" t="s">
        <v>4112</v>
      </c>
      <c r="E369" s="69">
        <v>2</v>
      </c>
      <c r="F369" s="123">
        <v>40</v>
      </c>
      <c r="G369" s="123">
        <v>65</v>
      </c>
      <c r="H369" s="208">
        <v>130</v>
      </c>
      <c r="I369" s="215"/>
      <c r="J369" s="215"/>
      <c r="K369" s="215">
        <v>130</v>
      </c>
      <c r="L369" s="216">
        <v>80</v>
      </c>
    </row>
    <row r="370" spans="1:12" hidden="1">
      <c r="A370" s="209" t="s">
        <v>3858</v>
      </c>
      <c r="B370" s="69" t="s">
        <v>3863</v>
      </c>
      <c r="C370" s="69" t="s">
        <v>4111</v>
      </c>
      <c r="D370" s="96" t="s">
        <v>4113</v>
      </c>
      <c r="E370" s="69">
        <v>18</v>
      </c>
      <c r="F370" s="123">
        <v>50</v>
      </c>
      <c r="G370" s="123">
        <v>65</v>
      </c>
      <c r="H370" s="208">
        <v>1170</v>
      </c>
      <c r="I370" s="215"/>
      <c r="J370" s="215"/>
      <c r="K370" s="215">
        <v>1170</v>
      </c>
      <c r="L370" s="216">
        <v>900</v>
      </c>
    </row>
    <row r="371" spans="1:12" hidden="1">
      <c r="A371" s="209" t="s">
        <v>3858</v>
      </c>
      <c r="B371" s="69" t="s">
        <v>3864</v>
      </c>
      <c r="C371" s="69" t="s">
        <v>4111</v>
      </c>
      <c r="D371" s="96" t="s">
        <v>4114</v>
      </c>
      <c r="E371" s="69">
        <v>18</v>
      </c>
      <c r="F371" s="123">
        <v>60</v>
      </c>
      <c r="G371" s="123">
        <v>75</v>
      </c>
      <c r="H371" s="208">
        <v>1350</v>
      </c>
      <c r="I371" s="215"/>
      <c r="J371" s="215"/>
      <c r="K371" s="215">
        <v>1350</v>
      </c>
      <c r="L371" s="216">
        <v>1080</v>
      </c>
    </row>
    <row r="372" spans="1:12" hidden="1">
      <c r="A372" s="209" t="s">
        <v>3858</v>
      </c>
      <c r="B372" s="69" t="s">
        <v>3865</v>
      </c>
      <c r="C372" s="69" t="s">
        <v>4111</v>
      </c>
      <c r="D372" s="96" t="s">
        <v>4115</v>
      </c>
      <c r="E372" s="69">
        <v>18</v>
      </c>
      <c r="F372" s="123">
        <v>40</v>
      </c>
      <c r="G372" s="123">
        <v>60</v>
      </c>
      <c r="H372" s="208">
        <v>1080</v>
      </c>
      <c r="I372" s="215"/>
      <c r="J372" s="215"/>
      <c r="K372" s="215">
        <v>1080</v>
      </c>
      <c r="L372" s="216">
        <v>720</v>
      </c>
    </row>
    <row r="373" spans="1:12" hidden="1">
      <c r="A373" s="209" t="s">
        <v>3858</v>
      </c>
      <c r="B373" s="69" t="s">
        <v>3866</v>
      </c>
      <c r="C373" s="69" t="s">
        <v>4111</v>
      </c>
      <c r="D373" s="96" t="s">
        <v>4116</v>
      </c>
      <c r="E373" s="69">
        <v>18</v>
      </c>
      <c r="F373" s="123">
        <v>47</v>
      </c>
      <c r="G373" s="123">
        <v>60</v>
      </c>
      <c r="H373" s="208">
        <v>1080</v>
      </c>
      <c r="I373" s="215"/>
      <c r="J373" s="215"/>
      <c r="K373" s="215">
        <v>1080</v>
      </c>
      <c r="L373" s="216">
        <v>846</v>
      </c>
    </row>
    <row r="374" spans="1:12" hidden="1">
      <c r="A374" s="209" t="s">
        <v>3858</v>
      </c>
      <c r="B374" s="69" t="s">
        <v>3867</v>
      </c>
      <c r="C374" s="69" t="s">
        <v>4111</v>
      </c>
      <c r="D374" s="96" t="s">
        <v>4117</v>
      </c>
      <c r="E374" s="69">
        <v>1</v>
      </c>
      <c r="F374" s="123">
        <v>90</v>
      </c>
      <c r="G374" s="123">
        <v>120</v>
      </c>
      <c r="H374" s="208">
        <v>120</v>
      </c>
      <c r="I374" s="215"/>
      <c r="J374" s="215"/>
      <c r="K374" s="215">
        <v>120</v>
      </c>
      <c r="L374" s="216">
        <v>90</v>
      </c>
    </row>
    <row r="375" spans="1:12" hidden="1">
      <c r="A375" s="209" t="s">
        <v>3858</v>
      </c>
      <c r="B375" s="69" t="s">
        <v>3868</v>
      </c>
      <c r="C375" s="69" t="s">
        <v>4111</v>
      </c>
      <c r="D375" s="96" t="s">
        <v>4118</v>
      </c>
      <c r="E375" s="69">
        <v>3</v>
      </c>
      <c r="F375" s="123">
        <v>190</v>
      </c>
      <c r="G375" s="123">
        <v>250</v>
      </c>
      <c r="H375" s="208">
        <v>750</v>
      </c>
      <c r="I375" s="215"/>
      <c r="J375" s="215"/>
      <c r="K375" s="215">
        <v>750</v>
      </c>
      <c r="L375" s="216">
        <v>570</v>
      </c>
    </row>
    <row r="376" spans="1:12" hidden="1">
      <c r="A376" s="209" t="s">
        <v>3869</v>
      </c>
      <c r="B376" s="69" t="s">
        <v>3658</v>
      </c>
      <c r="C376" s="69" t="s">
        <v>4119</v>
      </c>
      <c r="D376" s="96" t="s">
        <v>3659</v>
      </c>
      <c r="E376" s="69">
        <v>1</v>
      </c>
      <c r="F376" s="123">
        <v>13.12</v>
      </c>
      <c r="G376" s="123">
        <v>15.25</v>
      </c>
      <c r="H376" s="208">
        <v>15.25</v>
      </c>
      <c r="I376" s="215"/>
      <c r="J376" s="215"/>
      <c r="K376" s="215">
        <v>15.25</v>
      </c>
      <c r="L376" s="216">
        <v>13.12</v>
      </c>
    </row>
    <row r="377" spans="1:12" hidden="1">
      <c r="A377" s="209" t="s">
        <v>3869</v>
      </c>
      <c r="B377" s="69" t="s">
        <v>2633</v>
      </c>
      <c r="C377" s="69" t="s">
        <v>4119</v>
      </c>
      <c r="D377" s="96" t="s">
        <v>2634</v>
      </c>
      <c r="E377" s="69">
        <v>1</v>
      </c>
      <c r="F377" s="123">
        <v>14.43</v>
      </c>
      <c r="G377" s="123">
        <v>17</v>
      </c>
      <c r="H377" s="208">
        <v>17</v>
      </c>
      <c r="I377" s="215"/>
      <c r="J377" s="215"/>
      <c r="K377" s="215">
        <v>17</v>
      </c>
      <c r="L377" s="216">
        <v>14.43</v>
      </c>
    </row>
    <row r="378" spans="1:12" hidden="1">
      <c r="A378" s="209" t="s">
        <v>3869</v>
      </c>
      <c r="B378" s="69" t="s">
        <v>296</v>
      </c>
      <c r="C378" s="69" t="s">
        <v>4119</v>
      </c>
      <c r="D378" s="96" t="s">
        <v>297</v>
      </c>
      <c r="E378" s="69">
        <v>1</v>
      </c>
      <c r="F378" s="123">
        <v>7.06</v>
      </c>
      <c r="G378" s="123">
        <v>8.25</v>
      </c>
      <c r="H378" s="208">
        <v>8.25</v>
      </c>
      <c r="I378" s="215"/>
      <c r="J378" s="215"/>
      <c r="K378" s="215">
        <v>8.25</v>
      </c>
      <c r="L378" s="216">
        <v>7.06</v>
      </c>
    </row>
    <row r="379" spans="1:12" hidden="1">
      <c r="A379" s="209" t="s">
        <v>3869</v>
      </c>
      <c r="B379" s="69" t="s">
        <v>1128</v>
      </c>
      <c r="C379" s="69" t="s">
        <v>4119</v>
      </c>
      <c r="D379" s="96" t="s">
        <v>1129</v>
      </c>
      <c r="E379" s="69">
        <v>1</v>
      </c>
      <c r="F379" s="123">
        <v>14.25</v>
      </c>
      <c r="G379" s="123">
        <v>16.5</v>
      </c>
      <c r="H379" s="208">
        <v>16.5</v>
      </c>
      <c r="I379" s="215"/>
      <c r="J379" s="215"/>
      <c r="K379" s="215">
        <v>16.5</v>
      </c>
      <c r="L379" s="216">
        <v>14.25</v>
      </c>
    </row>
    <row r="380" spans="1:12" hidden="1">
      <c r="A380" s="209" t="s">
        <v>3869</v>
      </c>
      <c r="B380" s="69" t="s">
        <v>3366</v>
      </c>
      <c r="C380" s="69" t="s">
        <v>4120</v>
      </c>
      <c r="D380" s="96" t="s">
        <v>3367</v>
      </c>
      <c r="E380" s="69">
        <v>2</v>
      </c>
      <c r="F380" s="123">
        <v>0.81</v>
      </c>
      <c r="G380" s="123">
        <v>1</v>
      </c>
      <c r="H380" s="208">
        <v>2</v>
      </c>
      <c r="I380" s="215"/>
      <c r="J380" s="215"/>
      <c r="K380" s="215">
        <v>2</v>
      </c>
      <c r="L380" s="216">
        <v>1.62</v>
      </c>
    </row>
    <row r="381" spans="1:12" hidden="1">
      <c r="A381" s="209" t="s">
        <v>3869</v>
      </c>
      <c r="B381" s="69" t="s">
        <v>3854</v>
      </c>
      <c r="C381" s="69" t="s">
        <v>4121</v>
      </c>
      <c r="D381" s="96" t="s">
        <v>4053</v>
      </c>
      <c r="E381" s="69">
        <v>1</v>
      </c>
      <c r="F381" s="123">
        <v>5.8</v>
      </c>
      <c r="G381" s="123">
        <v>7</v>
      </c>
      <c r="H381" s="208">
        <v>7</v>
      </c>
      <c r="I381" s="215"/>
      <c r="J381" s="215"/>
      <c r="K381" s="215">
        <v>7</v>
      </c>
      <c r="L381" s="216">
        <v>5.8</v>
      </c>
    </row>
    <row r="382" spans="1:12" hidden="1">
      <c r="A382" s="209" t="s">
        <v>3869</v>
      </c>
      <c r="B382" s="69" t="s">
        <v>446</v>
      </c>
      <c r="C382" s="69" t="s">
        <v>4122</v>
      </c>
      <c r="D382" s="96" t="s">
        <v>447</v>
      </c>
      <c r="E382" s="69">
        <v>1</v>
      </c>
      <c r="F382" s="123">
        <v>65</v>
      </c>
      <c r="G382" s="123">
        <v>71.5</v>
      </c>
      <c r="H382" s="208">
        <v>71.5</v>
      </c>
      <c r="I382" s="215"/>
      <c r="J382" s="215"/>
      <c r="K382" s="215">
        <v>71.5</v>
      </c>
      <c r="L382" s="216">
        <v>65</v>
      </c>
    </row>
    <row r="383" spans="1:12" hidden="1">
      <c r="A383" s="209" t="s">
        <v>3869</v>
      </c>
      <c r="B383" s="69" t="s">
        <v>874</v>
      </c>
      <c r="C383" s="69" t="s">
        <v>4123</v>
      </c>
      <c r="D383" s="96" t="s">
        <v>875</v>
      </c>
      <c r="E383" s="69">
        <v>2</v>
      </c>
      <c r="F383" s="123">
        <v>8.1999999999999993</v>
      </c>
      <c r="G383" s="123">
        <v>9.5</v>
      </c>
      <c r="H383" s="208">
        <v>19</v>
      </c>
      <c r="I383" s="215"/>
      <c r="J383" s="215"/>
      <c r="K383" s="215">
        <v>19</v>
      </c>
      <c r="L383" s="216">
        <v>16.399999999999999</v>
      </c>
    </row>
    <row r="384" spans="1:12" hidden="1">
      <c r="A384" s="209" t="s">
        <v>3869</v>
      </c>
      <c r="B384" s="69" t="s">
        <v>993</v>
      </c>
      <c r="C384" s="69" t="s">
        <v>4124</v>
      </c>
      <c r="D384" s="96" t="s">
        <v>994</v>
      </c>
      <c r="E384" s="69">
        <v>9</v>
      </c>
      <c r="F384" s="123">
        <v>13.32</v>
      </c>
      <c r="G384" s="123">
        <v>15.5</v>
      </c>
      <c r="H384" s="208">
        <v>139.5</v>
      </c>
      <c r="I384" s="215"/>
      <c r="J384" s="215"/>
      <c r="K384" s="215">
        <v>139.5</v>
      </c>
      <c r="L384" s="216">
        <v>119.88</v>
      </c>
    </row>
    <row r="385" spans="1:12" hidden="1">
      <c r="A385" s="209" t="s">
        <v>3869</v>
      </c>
      <c r="B385" s="69" t="s">
        <v>1281</v>
      </c>
      <c r="C385" s="69" t="s">
        <v>4125</v>
      </c>
      <c r="D385" s="96" t="s">
        <v>1282</v>
      </c>
      <c r="E385" s="69">
        <v>1</v>
      </c>
      <c r="F385" s="123">
        <v>41.86</v>
      </c>
      <c r="G385" s="123">
        <v>48.25</v>
      </c>
      <c r="H385" s="208">
        <v>48.25</v>
      </c>
      <c r="I385" s="215"/>
      <c r="J385" s="215"/>
      <c r="K385" s="215">
        <v>48.25</v>
      </c>
      <c r="L385" s="216">
        <v>41.86</v>
      </c>
    </row>
    <row r="386" spans="1:12" hidden="1">
      <c r="A386" s="209" t="s">
        <v>3869</v>
      </c>
      <c r="B386" s="69" t="s">
        <v>3854</v>
      </c>
      <c r="C386" s="69" t="s">
        <v>4126</v>
      </c>
      <c r="D386" s="96" t="s">
        <v>4053</v>
      </c>
      <c r="E386" s="69">
        <v>1</v>
      </c>
      <c r="F386" s="123">
        <v>5.8</v>
      </c>
      <c r="G386" s="123">
        <v>7</v>
      </c>
      <c r="H386" s="208">
        <v>7</v>
      </c>
      <c r="I386" s="215"/>
      <c r="J386" s="215"/>
      <c r="K386" s="215">
        <v>7</v>
      </c>
      <c r="L386" s="216">
        <v>5.8</v>
      </c>
    </row>
    <row r="387" spans="1:12" hidden="1">
      <c r="A387" s="209" t="s">
        <v>3869</v>
      </c>
      <c r="B387" s="69" t="s">
        <v>1370</v>
      </c>
      <c r="C387" s="69" t="s">
        <v>4127</v>
      </c>
      <c r="D387" s="96" t="s">
        <v>1371</v>
      </c>
      <c r="E387" s="69">
        <v>4</v>
      </c>
      <c r="F387" s="123">
        <v>22.45</v>
      </c>
      <c r="G387" s="123">
        <v>26</v>
      </c>
      <c r="H387" s="208">
        <v>104</v>
      </c>
      <c r="I387" s="215"/>
      <c r="J387" s="215"/>
      <c r="K387" s="215">
        <v>104</v>
      </c>
      <c r="L387" s="216">
        <v>89.8</v>
      </c>
    </row>
    <row r="388" spans="1:12" hidden="1">
      <c r="A388" s="209" t="s">
        <v>3869</v>
      </c>
      <c r="B388" s="69" t="s">
        <v>1234</v>
      </c>
      <c r="C388" s="69" t="s">
        <v>4127</v>
      </c>
      <c r="D388" s="96" t="s">
        <v>1235</v>
      </c>
      <c r="E388" s="69">
        <v>2</v>
      </c>
      <c r="F388" s="123">
        <v>21.08</v>
      </c>
      <c r="G388" s="123">
        <v>25.25</v>
      </c>
      <c r="H388" s="208">
        <v>50.5</v>
      </c>
      <c r="I388" s="215"/>
      <c r="J388" s="215"/>
      <c r="K388" s="215">
        <v>50.5</v>
      </c>
      <c r="L388" s="216">
        <v>42.16</v>
      </c>
    </row>
    <row r="389" spans="1:12" hidden="1">
      <c r="A389" s="209" t="s">
        <v>3869</v>
      </c>
      <c r="B389" s="69" t="s">
        <v>275</v>
      </c>
      <c r="C389" s="69" t="s">
        <v>4128</v>
      </c>
      <c r="D389" s="96" t="s">
        <v>276</v>
      </c>
      <c r="E389" s="69">
        <v>1</v>
      </c>
      <c r="F389" s="123">
        <v>31.6</v>
      </c>
      <c r="G389" s="123">
        <v>36.5</v>
      </c>
      <c r="H389" s="208">
        <v>36.5</v>
      </c>
      <c r="I389" s="215"/>
      <c r="J389" s="215"/>
      <c r="K389" s="215">
        <v>36.5</v>
      </c>
      <c r="L389" s="216">
        <v>31.6</v>
      </c>
    </row>
    <row r="390" spans="1:12" hidden="1">
      <c r="A390" s="209" t="s">
        <v>3869</v>
      </c>
      <c r="B390" s="69" t="s">
        <v>3658</v>
      </c>
      <c r="C390" s="69" t="s">
        <v>4129</v>
      </c>
      <c r="D390" s="96" t="s">
        <v>3659</v>
      </c>
      <c r="E390" s="69">
        <v>1</v>
      </c>
      <c r="F390" s="123">
        <v>13.12</v>
      </c>
      <c r="G390" s="123">
        <v>15.25</v>
      </c>
      <c r="H390" s="208">
        <v>15.25</v>
      </c>
      <c r="I390" s="215"/>
      <c r="J390" s="215"/>
      <c r="K390" s="215">
        <v>15.25</v>
      </c>
      <c r="L390" s="216">
        <v>13.12</v>
      </c>
    </row>
    <row r="391" spans="1:12" hidden="1">
      <c r="A391" s="209" t="s">
        <v>3869</v>
      </c>
      <c r="B391" s="69" t="s">
        <v>2372</v>
      </c>
      <c r="C391" s="69" t="s">
        <v>4130</v>
      </c>
      <c r="D391" s="96" t="s">
        <v>2373</v>
      </c>
      <c r="E391" s="69">
        <v>1</v>
      </c>
      <c r="F391" s="123">
        <v>14.42</v>
      </c>
      <c r="G391" s="123">
        <v>16.75</v>
      </c>
      <c r="H391" s="208">
        <v>16.75</v>
      </c>
      <c r="I391" s="215"/>
      <c r="J391" s="215"/>
      <c r="K391" s="215">
        <v>16.75</v>
      </c>
      <c r="L391" s="216">
        <v>14.42</v>
      </c>
    </row>
    <row r="392" spans="1:12" hidden="1">
      <c r="A392" s="209" t="s">
        <v>3869</v>
      </c>
      <c r="B392" s="69" t="s">
        <v>2459</v>
      </c>
      <c r="C392" s="69" t="s">
        <v>4130</v>
      </c>
      <c r="D392" s="96" t="s">
        <v>2460</v>
      </c>
      <c r="E392" s="69">
        <v>1</v>
      </c>
      <c r="F392" s="123">
        <v>13.87</v>
      </c>
      <c r="G392" s="123">
        <v>17.75</v>
      </c>
      <c r="H392" s="208">
        <v>17.75</v>
      </c>
      <c r="I392" s="215"/>
      <c r="J392" s="215"/>
      <c r="K392" s="215">
        <v>17.75</v>
      </c>
      <c r="L392" s="216">
        <v>13.87</v>
      </c>
    </row>
    <row r="393" spans="1:12" hidden="1">
      <c r="A393" s="209" t="s">
        <v>3869</v>
      </c>
      <c r="B393" s="69" t="s">
        <v>3757</v>
      </c>
      <c r="C393" s="69" t="s">
        <v>4131</v>
      </c>
      <c r="D393" s="96" t="s">
        <v>3758</v>
      </c>
      <c r="E393" s="69">
        <v>2</v>
      </c>
      <c r="F393" s="123">
        <v>9.26</v>
      </c>
      <c r="G393" s="123">
        <v>11</v>
      </c>
      <c r="H393" s="208">
        <v>22</v>
      </c>
      <c r="I393" s="215"/>
      <c r="J393" s="215"/>
      <c r="K393" s="215">
        <v>22</v>
      </c>
      <c r="L393" s="216">
        <v>18.52</v>
      </c>
    </row>
    <row r="394" spans="1:12" hidden="1">
      <c r="A394" s="209" t="s">
        <v>3869</v>
      </c>
      <c r="B394" s="69" t="s">
        <v>995</v>
      </c>
      <c r="C394" s="69" t="s">
        <v>4131</v>
      </c>
      <c r="D394" s="96" t="s">
        <v>996</v>
      </c>
      <c r="E394" s="69">
        <v>2</v>
      </c>
      <c r="F394" s="123">
        <v>18.57</v>
      </c>
      <c r="G394" s="123">
        <v>21.5</v>
      </c>
      <c r="H394" s="208">
        <v>43</v>
      </c>
      <c r="I394" s="215"/>
      <c r="J394" s="215"/>
      <c r="K394" s="215">
        <v>43</v>
      </c>
      <c r="L394" s="216">
        <v>37.14</v>
      </c>
    </row>
    <row r="395" spans="1:12" hidden="1">
      <c r="A395" s="209" t="s">
        <v>3869</v>
      </c>
      <c r="B395" s="69" t="s">
        <v>1162</v>
      </c>
      <c r="C395" s="69" t="s">
        <v>4132</v>
      </c>
      <c r="D395" s="96" t="s">
        <v>1163</v>
      </c>
      <c r="E395" s="69">
        <v>1</v>
      </c>
      <c r="F395" s="123">
        <v>21.88</v>
      </c>
      <c r="G395" s="123">
        <v>25.25</v>
      </c>
      <c r="H395" s="208">
        <v>25.25</v>
      </c>
      <c r="I395" s="215"/>
      <c r="J395" s="215"/>
      <c r="K395" s="215">
        <v>25.25</v>
      </c>
      <c r="L395" s="216">
        <v>21.88</v>
      </c>
    </row>
    <row r="396" spans="1:12" hidden="1">
      <c r="A396" s="209" t="s">
        <v>3869</v>
      </c>
      <c r="B396" s="69" t="s">
        <v>394</v>
      </c>
      <c r="C396" s="69" t="s">
        <v>4132</v>
      </c>
      <c r="D396" s="96" t="s">
        <v>395</v>
      </c>
      <c r="E396" s="69">
        <v>1</v>
      </c>
      <c r="F396" s="123">
        <v>7.48</v>
      </c>
      <c r="G396" s="123">
        <v>8.75</v>
      </c>
      <c r="H396" s="208">
        <v>8.75</v>
      </c>
      <c r="I396" s="215"/>
      <c r="J396" s="215"/>
      <c r="K396" s="215">
        <v>8.75</v>
      </c>
      <c r="L396" s="216">
        <v>7.48</v>
      </c>
    </row>
    <row r="397" spans="1:12" hidden="1">
      <c r="A397" s="209" t="s">
        <v>3869</v>
      </c>
      <c r="B397" s="69" t="s">
        <v>355</v>
      </c>
      <c r="C397" s="69" t="s">
        <v>4132</v>
      </c>
      <c r="D397" s="96" t="s">
        <v>356</v>
      </c>
      <c r="E397" s="69">
        <v>1</v>
      </c>
      <c r="F397" s="123">
        <v>7.48</v>
      </c>
      <c r="G397" s="123">
        <v>8.75</v>
      </c>
      <c r="H397" s="208">
        <v>8.75</v>
      </c>
      <c r="I397" s="215"/>
      <c r="J397" s="215"/>
      <c r="K397" s="215">
        <v>8.75</v>
      </c>
      <c r="L397" s="216">
        <v>7.48</v>
      </c>
    </row>
    <row r="398" spans="1:12" hidden="1">
      <c r="A398" s="209" t="s">
        <v>3869</v>
      </c>
      <c r="B398" s="69" t="s">
        <v>65</v>
      </c>
      <c r="C398" s="69" t="s">
        <v>4132</v>
      </c>
      <c r="D398" s="96" t="s">
        <v>66</v>
      </c>
      <c r="E398" s="69">
        <v>1</v>
      </c>
      <c r="F398" s="123">
        <v>33.75</v>
      </c>
      <c r="G398" s="123">
        <v>39</v>
      </c>
      <c r="H398" s="208">
        <v>39</v>
      </c>
      <c r="I398" s="215"/>
      <c r="J398" s="215"/>
      <c r="K398" s="215">
        <v>39</v>
      </c>
      <c r="L398" s="216">
        <v>33.75</v>
      </c>
    </row>
    <row r="399" spans="1:12" hidden="1">
      <c r="A399" s="209" t="s">
        <v>3869</v>
      </c>
      <c r="B399" s="69" t="s">
        <v>552</v>
      </c>
      <c r="C399" s="69" t="s">
        <v>4132</v>
      </c>
      <c r="D399" s="96" t="s">
        <v>553</v>
      </c>
      <c r="E399" s="69">
        <v>1</v>
      </c>
      <c r="F399" s="123">
        <v>7.41</v>
      </c>
      <c r="G399" s="123">
        <v>8.75</v>
      </c>
      <c r="H399" s="208">
        <v>8.75</v>
      </c>
      <c r="I399" s="215"/>
      <c r="J399" s="215"/>
      <c r="K399" s="215">
        <v>8.75</v>
      </c>
      <c r="L399" s="216">
        <v>7.41</v>
      </c>
    </row>
    <row r="400" spans="1:12" hidden="1">
      <c r="A400" s="209" t="s">
        <v>3869</v>
      </c>
      <c r="B400" s="69" t="s">
        <v>3286</v>
      </c>
      <c r="C400" s="69" t="s">
        <v>4132</v>
      </c>
      <c r="D400" s="96" t="s">
        <v>3287</v>
      </c>
      <c r="E400" s="69">
        <v>1</v>
      </c>
      <c r="F400" s="123">
        <v>19.47</v>
      </c>
      <c r="G400" s="123">
        <v>23</v>
      </c>
      <c r="H400" s="208">
        <v>23</v>
      </c>
      <c r="I400" s="215"/>
      <c r="J400" s="215"/>
      <c r="K400" s="215">
        <v>23</v>
      </c>
      <c r="L400" s="216">
        <v>19.47</v>
      </c>
    </row>
    <row r="401" spans="1:12" hidden="1">
      <c r="A401" s="209" t="s">
        <v>3869</v>
      </c>
      <c r="B401" s="69" t="s">
        <v>1687</v>
      </c>
      <c r="C401" s="69" t="s">
        <v>4133</v>
      </c>
      <c r="D401" s="96" t="s">
        <v>1688</v>
      </c>
      <c r="E401" s="69">
        <v>1</v>
      </c>
      <c r="F401" s="123">
        <v>20.88</v>
      </c>
      <c r="G401" s="123">
        <v>24</v>
      </c>
      <c r="H401" s="208">
        <v>24</v>
      </c>
      <c r="I401" s="215"/>
      <c r="J401" s="215"/>
      <c r="K401" s="215">
        <v>24</v>
      </c>
      <c r="L401" s="216">
        <v>20.88</v>
      </c>
    </row>
    <row r="402" spans="1:12" hidden="1">
      <c r="A402" s="209" t="s">
        <v>3869</v>
      </c>
      <c r="B402" s="69" t="s">
        <v>1596</v>
      </c>
      <c r="C402" s="69" t="s">
        <v>4133</v>
      </c>
      <c r="D402" s="96" t="s">
        <v>1597</v>
      </c>
      <c r="E402" s="69">
        <v>3</v>
      </c>
      <c r="F402" s="123">
        <v>13.92</v>
      </c>
      <c r="G402" s="123">
        <v>22</v>
      </c>
      <c r="H402" s="208">
        <v>66</v>
      </c>
      <c r="I402" s="215"/>
      <c r="J402" s="215"/>
      <c r="K402" s="215">
        <v>66</v>
      </c>
      <c r="L402" s="216">
        <v>41.76</v>
      </c>
    </row>
    <row r="403" spans="1:12" hidden="1">
      <c r="A403" s="209" t="s">
        <v>3869</v>
      </c>
      <c r="B403" s="69" t="s">
        <v>2672</v>
      </c>
      <c r="C403" s="69" t="s">
        <v>4134</v>
      </c>
      <c r="D403" s="96" t="s">
        <v>2673</v>
      </c>
      <c r="E403" s="69">
        <v>1</v>
      </c>
      <c r="F403" s="123">
        <v>23.15</v>
      </c>
      <c r="G403" s="123">
        <v>27</v>
      </c>
      <c r="H403" s="208">
        <v>27</v>
      </c>
      <c r="I403" s="215"/>
      <c r="J403" s="215"/>
      <c r="K403" s="215">
        <v>27</v>
      </c>
      <c r="L403" s="216">
        <v>23.15</v>
      </c>
    </row>
    <row r="404" spans="1:12" hidden="1">
      <c r="A404" s="209" t="s">
        <v>3869</v>
      </c>
      <c r="B404" s="69" t="s">
        <v>3856</v>
      </c>
      <c r="C404" s="69" t="s">
        <v>4135</v>
      </c>
      <c r="D404" s="96" t="s">
        <v>4073</v>
      </c>
      <c r="E404" s="69">
        <v>2</v>
      </c>
      <c r="F404" s="123">
        <v>3.7</v>
      </c>
      <c r="G404" s="123">
        <v>5</v>
      </c>
      <c r="H404" s="208">
        <v>10</v>
      </c>
      <c r="I404" s="215"/>
      <c r="J404" s="215"/>
      <c r="K404" s="215">
        <v>10</v>
      </c>
      <c r="L404" s="216">
        <v>7.4</v>
      </c>
    </row>
    <row r="405" spans="1:12" hidden="1">
      <c r="A405" s="209" t="s">
        <v>3869</v>
      </c>
      <c r="B405" s="69" t="s">
        <v>147</v>
      </c>
      <c r="C405" s="69" t="s">
        <v>4136</v>
      </c>
      <c r="D405" s="96" t="s">
        <v>148</v>
      </c>
      <c r="E405" s="69">
        <v>1</v>
      </c>
      <c r="F405" s="123">
        <v>12.69</v>
      </c>
      <c r="G405" s="123">
        <v>14.75</v>
      </c>
      <c r="H405" s="208">
        <v>14.75</v>
      </c>
      <c r="I405" s="215"/>
      <c r="J405" s="215"/>
      <c r="K405" s="215">
        <v>14.75</v>
      </c>
      <c r="L405" s="216">
        <v>12.69</v>
      </c>
    </row>
    <row r="406" spans="1:12" hidden="1">
      <c r="A406" s="209" t="s">
        <v>3869</v>
      </c>
      <c r="B406" s="69" t="s">
        <v>3854</v>
      </c>
      <c r="C406" s="69" t="s">
        <v>4137</v>
      </c>
      <c r="D406" s="96" t="s">
        <v>4053</v>
      </c>
      <c r="E406" s="69">
        <v>1</v>
      </c>
      <c r="F406" s="123">
        <v>5.8</v>
      </c>
      <c r="G406" s="123">
        <v>7</v>
      </c>
      <c r="H406" s="208">
        <v>7</v>
      </c>
      <c r="I406" s="215"/>
      <c r="J406" s="215"/>
      <c r="K406" s="215">
        <v>7</v>
      </c>
      <c r="L406" s="216">
        <v>5.8</v>
      </c>
    </row>
    <row r="407" spans="1:12" hidden="1">
      <c r="A407" s="209" t="s">
        <v>3869</v>
      </c>
      <c r="B407" s="69" t="s">
        <v>3330</v>
      </c>
      <c r="C407" s="69" t="s">
        <v>4137</v>
      </c>
      <c r="D407" s="96" t="s">
        <v>3331</v>
      </c>
      <c r="E407" s="69">
        <v>1</v>
      </c>
      <c r="F407" s="123">
        <v>4.4800000000000004</v>
      </c>
      <c r="G407" s="123">
        <v>5.25</v>
      </c>
      <c r="H407" s="208">
        <v>5.25</v>
      </c>
      <c r="I407" s="215"/>
      <c r="J407" s="215"/>
      <c r="K407" s="215">
        <v>5.25</v>
      </c>
      <c r="L407" s="216">
        <v>4.4800000000000004</v>
      </c>
    </row>
    <row r="408" spans="1:12" hidden="1">
      <c r="A408" s="209" t="s">
        <v>3869</v>
      </c>
      <c r="B408" s="69" t="s">
        <v>3724</v>
      </c>
      <c r="C408" s="69" t="s">
        <v>4138</v>
      </c>
      <c r="D408" s="96" t="s">
        <v>3725</v>
      </c>
      <c r="E408" s="69">
        <v>1</v>
      </c>
      <c r="F408" s="123">
        <v>14.82</v>
      </c>
      <c r="G408" s="123">
        <v>17.25</v>
      </c>
      <c r="H408" s="208">
        <v>17.25</v>
      </c>
      <c r="I408" s="215"/>
      <c r="J408" s="215"/>
      <c r="K408" s="215">
        <v>17.25</v>
      </c>
      <c r="L408" s="216">
        <v>14.82</v>
      </c>
    </row>
    <row r="409" spans="1:12" hidden="1">
      <c r="A409" s="209" t="s">
        <v>3869</v>
      </c>
      <c r="B409" s="69" t="s">
        <v>273</v>
      </c>
      <c r="C409" s="69" t="s">
        <v>4139</v>
      </c>
      <c r="D409" s="96" t="s">
        <v>274</v>
      </c>
      <c r="E409" s="69">
        <v>1</v>
      </c>
      <c r="F409" s="123">
        <v>15.12</v>
      </c>
      <c r="G409" s="123">
        <v>17.5</v>
      </c>
      <c r="H409" s="208">
        <v>17.5</v>
      </c>
      <c r="I409" s="215"/>
      <c r="J409" s="215"/>
      <c r="K409" s="215">
        <v>17.5</v>
      </c>
      <c r="L409" s="216">
        <v>15.12</v>
      </c>
    </row>
    <row r="410" spans="1:12" hidden="1">
      <c r="A410" s="209" t="s">
        <v>3869</v>
      </c>
      <c r="B410" s="69" t="s">
        <v>196</v>
      </c>
      <c r="C410" s="69" t="s">
        <v>4140</v>
      </c>
      <c r="D410" s="96" t="s">
        <v>197</v>
      </c>
      <c r="E410" s="69">
        <v>1</v>
      </c>
      <c r="F410" s="123">
        <v>7.62</v>
      </c>
      <c r="G410" s="123">
        <v>8.75</v>
      </c>
      <c r="H410" s="208">
        <v>8.75</v>
      </c>
      <c r="I410" s="215"/>
      <c r="J410" s="215"/>
      <c r="K410" s="215">
        <v>8.75</v>
      </c>
      <c r="L410" s="216">
        <v>7.62</v>
      </c>
    </row>
    <row r="411" spans="1:12" hidden="1">
      <c r="A411" s="209" t="s">
        <v>3869</v>
      </c>
      <c r="B411" s="69" t="s">
        <v>3658</v>
      </c>
      <c r="C411" s="69" t="s">
        <v>4141</v>
      </c>
      <c r="D411" s="96" t="s">
        <v>3659</v>
      </c>
      <c r="E411" s="69">
        <v>1</v>
      </c>
      <c r="F411" s="123">
        <v>13.12</v>
      </c>
      <c r="G411" s="123">
        <v>15.25</v>
      </c>
      <c r="H411" s="208">
        <v>15.25</v>
      </c>
      <c r="I411" s="215"/>
      <c r="J411" s="215"/>
      <c r="K411" s="215">
        <v>15.25</v>
      </c>
      <c r="L411" s="216">
        <v>13.12</v>
      </c>
    </row>
    <row r="412" spans="1:12" hidden="1">
      <c r="A412" s="209" t="s">
        <v>3869</v>
      </c>
      <c r="B412" s="69" t="s">
        <v>2217</v>
      </c>
      <c r="C412" s="69" t="s">
        <v>4141</v>
      </c>
      <c r="D412" s="96" t="s">
        <v>2218</v>
      </c>
      <c r="E412" s="69">
        <v>1</v>
      </c>
      <c r="F412" s="123">
        <v>23</v>
      </c>
      <c r="G412" s="123">
        <v>26.5</v>
      </c>
      <c r="H412" s="208">
        <v>26.5</v>
      </c>
      <c r="I412" s="215"/>
      <c r="J412" s="215"/>
      <c r="K412" s="215">
        <v>26.5</v>
      </c>
      <c r="L412" s="216">
        <v>23</v>
      </c>
    </row>
    <row r="413" spans="1:12" hidden="1">
      <c r="A413" s="209" t="s">
        <v>3869</v>
      </c>
      <c r="B413" s="69" t="s">
        <v>3857</v>
      </c>
      <c r="C413" s="69" t="s">
        <v>4141</v>
      </c>
      <c r="D413" s="96" t="s">
        <v>4079</v>
      </c>
      <c r="E413" s="69">
        <v>4</v>
      </c>
      <c r="F413" s="123">
        <v>1</v>
      </c>
      <c r="G413" s="123">
        <v>1.25</v>
      </c>
      <c r="H413" s="208">
        <v>5</v>
      </c>
      <c r="I413" s="215"/>
      <c r="J413" s="215"/>
      <c r="K413" s="215">
        <v>5</v>
      </c>
      <c r="L413" s="216">
        <v>4</v>
      </c>
    </row>
    <row r="414" spans="1:12" hidden="1">
      <c r="A414" s="209" t="s">
        <v>3869</v>
      </c>
      <c r="B414" s="69" t="s">
        <v>275</v>
      </c>
      <c r="C414" s="69" t="s">
        <v>4142</v>
      </c>
      <c r="D414" s="96" t="s">
        <v>276</v>
      </c>
      <c r="E414" s="69">
        <v>1</v>
      </c>
      <c r="F414" s="123">
        <v>31.6</v>
      </c>
      <c r="G414" s="123">
        <v>36.5</v>
      </c>
      <c r="H414" s="208">
        <v>36.5</v>
      </c>
      <c r="I414" s="215"/>
      <c r="J414" s="215"/>
      <c r="K414" s="215">
        <v>36.5</v>
      </c>
      <c r="L414" s="216">
        <v>31.6</v>
      </c>
    </row>
    <row r="415" spans="1:12" hidden="1">
      <c r="A415" s="209" t="s">
        <v>3869</v>
      </c>
      <c r="B415" s="69" t="s">
        <v>267</v>
      </c>
      <c r="C415" s="69" t="s">
        <v>4143</v>
      </c>
      <c r="D415" s="96" t="s">
        <v>268</v>
      </c>
      <c r="E415" s="69">
        <v>2</v>
      </c>
      <c r="F415" s="123">
        <v>60</v>
      </c>
      <c r="G415" s="123">
        <v>75</v>
      </c>
      <c r="H415" s="208">
        <v>150</v>
      </c>
      <c r="I415" s="215"/>
      <c r="J415" s="215"/>
      <c r="K415" s="215">
        <v>150</v>
      </c>
      <c r="L415" s="216">
        <v>120</v>
      </c>
    </row>
    <row r="416" spans="1:12" hidden="1">
      <c r="A416" s="209" t="s">
        <v>3869</v>
      </c>
      <c r="B416" s="69" t="s">
        <v>2961</v>
      </c>
      <c r="C416" s="69" t="s">
        <v>4143</v>
      </c>
      <c r="D416" s="96" t="s">
        <v>2962</v>
      </c>
      <c r="E416" s="69">
        <v>1</v>
      </c>
      <c r="F416" s="123">
        <v>90</v>
      </c>
      <c r="G416" s="123">
        <v>120</v>
      </c>
      <c r="H416" s="208">
        <v>120</v>
      </c>
      <c r="I416" s="215"/>
      <c r="J416" s="215"/>
      <c r="K416" s="215">
        <v>120</v>
      </c>
      <c r="L416" s="216">
        <v>90</v>
      </c>
    </row>
    <row r="417" spans="1:12" hidden="1">
      <c r="A417" s="209" t="s">
        <v>3869</v>
      </c>
      <c r="B417" s="69" t="s">
        <v>3658</v>
      </c>
      <c r="C417" s="69" t="s">
        <v>4144</v>
      </c>
      <c r="D417" s="96" t="s">
        <v>3659</v>
      </c>
      <c r="E417" s="69">
        <v>1</v>
      </c>
      <c r="F417" s="123">
        <v>13.12</v>
      </c>
      <c r="G417" s="123">
        <v>15.25</v>
      </c>
      <c r="H417" s="208">
        <v>15.25</v>
      </c>
      <c r="I417" s="215"/>
      <c r="J417" s="215"/>
      <c r="K417" s="215">
        <v>15.25</v>
      </c>
      <c r="L417" s="216">
        <v>13.12</v>
      </c>
    </row>
    <row r="418" spans="1:12" hidden="1">
      <c r="A418" s="209" t="s">
        <v>3869</v>
      </c>
      <c r="B418" s="69" t="s">
        <v>454</v>
      </c>
      <c r="C418" s="69" t="s">
        <v>4145</v>
      </c>
      <c r="D418" s="96" t="s">
        <v>455</v>
      </c>
      <c r="E418" s="69">
        <v>1</v>
      </c>
      <c r="F418" s="123">
        <v>84.8</v>
      </c>
      <c r="G418" s="123">
        <v>94</v>
      </c>
      <c r="H418" s="208">
        <v>94</v>
      </c>
      <c r="I418" s="215"/>
      <c r="J418" s="215"/>
      <c r="K418" s="215">
        <v>94</v>
      </c>
      <c r="L418" s="216">
        <v>84.8</v>
      </c>
    </row>
    <row r="419" spans="1:12" hidden="1">
      <c r="A419" s="209" t="s">
        <v>3869</v>
      </c>
      <c r="B419" s="69" t="s">
        <v>3870</v>
      </c>
      <c r="C419" s="69" t="s">
        <v>4146</v>
      </c>
      <c r="D419" s="96" t="s">
        <v>4147</v>
      </c>
      <c r="E419" s="69">
        <v>1</v>
      </c>
      <c r="F419" s="123">
        <v>20000</v>
      </c>
      <c r="G419" s="123">
        <v>21000</v>
      </c>
      <c r="H419" s="208">
        <v>21000</v>
      </c>
      <c r="I419" s="215"/>
      <c r="J419" s="215"/>
      <c r="K419" s="215">
        <v>21000</v>
      </c>
      <c r="L419" s="216">
        <v>20000</v>
      </c>
    </row>
    <row r="420" spans="1:12" hidden="1">
      <c r="A420" s="209" t="s">
        <v>3869</v>
      </c>
      <c r="B420" s="69" t="s">
        <v>414</v>
      </c>
      <c r="C420" s="69" t="s">
        <v>4148</v>
      </c>
      <c r="D420" s="96" t="s">
        <v>415</v>
      </c>
      <c r="E420" s="69">
        <v>1</v>
      </c>
      <c r="F420" s="123">
        <v>8.1999999999999993</v>
      </c>
      <c r="G420" s="123">
        <v>10</v>
      </c>
      <c r="H420" s="208">
        <v>10</v>
      </c>
      <c r="I420" s="215"/>
      <c r="J420" s="215"/>
      <c r="K420" s="215">
        <v>10</v>
      </c>
      <c r="L420" s="216">
        <v>8.1999999999999993</v>
      </c>
    </row>
    <row r="421" spans="1:12" hidden="1">
      <c r="A421" s="209" t="s">
        <v>3869</v>
      </c>
      <c r="B421" s="69" t="s">
        <v>3082</v>
      </c>
      <c r="C421" s="69" t="s">
        <v>4148</v>
      </c>
      <c r="D421" s="96" t="s">
        <v>3083</v>
      </c>
      <c r="E421" s="69">
        <v>1</v>
      </c>
      <c r="F421" s="123">
        <v>20.399999999999999</v>
      </c>
      <c r="G421" s="123">
        <v>24</v>
      </c>
      <c r="H421" s="208">
        <v>24</v>
      </c>
      <c r="I421" s="215"/>
      <c r="J421" s="215"/>
      <c r="K421" s="215">
        <v>24</v>
      </c>
      <c r="L421" s="216">
        <v>20.399999999999999</v>
      </c>
    </row>
    <row r="422" spans="1:12" hidden="1">
      <c r="A422" s="209" t="s">
        <v>3869</v>
      </c>
      <c r="B422" s="69" t="s">
        <v>3288</v>
      </c>
      <c r="C422" s="69" t="s">
        <v>4148</v>
      </c>
      <c r="D422" s="96" t="s">
        <v>3289</v>
      </c>
      <c r="E422" s="69">
        <v>2</v>
      </c>
      <c r="F422" s="123">
        <v>11.5</v>
      </c>
      <c r="G422" s="123">
        <v>13.5</v>
      </c>
      <c r="H422" s="208">
        <v>27</v>
      </c>
      <c r="I422" s="215"/>
      <c r="J422" s="215"/>
      <c r="K422" s="215">
        <v>27</v>
      </c>
      <c r="L422" s="216">
        <v>23</v>
      </c>
    </row>
    <row r="423" spans="1:12" hidden="1">
      <c r="A423" s="209" t="s">
        <v>3869</v>
      </c>
      <c r="B423" s="69" t="s">
        <v>180</v>
      </c>
      <c r="C423" s="69" t="s">
        <v>4148</v>
      </c>
      <c r="D423" s="96" t="s">
        <v>181</v>
      </c>
      <c r="E423" s="69">
        <v>1</v>
      </c>
      <c r="F423" s="123">
        <v>16.579999999999998</v>
      </c>
      <c r="G423" s="123">
        <v>19</v>
      </c>
      <c r="H423" s="208">
        <v>19</v>
      </c>
      <c r="I423" s="215"/>
      <c r="J423" s="215"/>
      <c r="K423" s="215">
        <v>19</v>
      </c>
      <c r="L423" s="216">
        <v>16.579999999999998</v>
      </c>
    </row>
    <row r="424" spans="1:12" hidden="1">
      <c r="A424" s="209" t="s">
        <v>3869</v>
      </c>
      <c r="B424" s="69" t="s">
        <v>817</v>
      </c>
      <c r="C424" s="69" t="s">
        <v>4148</v>
      </c>
      <c r="D424" s="96" t="s">
        <v>818</v>
      </c>
      <c r="E424" s="69">
        <v>1</v>
      </c>
      <c r="F424" s="123">
        <v>34.270000000000003</v>
      </c>
      <c r="G424" s="123">
        <v>39.5</v>
      </c>
      <c r="H424" s="208">
        <v>39.5</v>
      </c>
      <c r="I424" s="215"/>
      <c r="J424" s="215"/>
      <c r="K424" s="215">
        <v>39.5</v>
      </c>
      <c r="L424" s="216">
        <v>34.270000000000003</v>
      </c>
    </row>
    <row r="425" spans="1:12" hidden="1">
      <c r="A425" s="209" t="s">
        <v>3869</v>
      </c>
      <c r="B425" s="69" t="s">
        <v>3286</v>
      </c>
      <c r="C425" s="69" t="s">
        <v>4148</v>
      </c>
      <c r="D425" s="96" t="s">
        <v>3287</v>
      </c>
      <c r="E425" s="69">
        <v>1</v>
      </c>
      <c r="F425" s="123">
        <v>19.47</v>
      </c>
      <c r="G425" s="123">
        <v>23</v>
      </c>
      <c r="H425" s="208">
        <v>23</v>
      </c>
      <c r="I425" s="215"/>
      <c r="J425" s="215"/>
      <c r="K425" s="215">
        <v>23</v>
      </c>
      <c r="L425" s="216">
        <v>19.47</v>
      </c>
    </row>
    <row r="426" spans="1:12" hidden="1">
      <c r="A426" s="209" t="s">
        <v>3869</v>
      </c>
      <c r="B426" s="69" t="s">
        <v>823</v>
      </c>
      <c r="C426" s="69" t="s">
        <v>4148</v>
      </c>
      <c r="D426" s="96" t="s">
        <v>824</v>
      </c>
      <c r="E426" s="69">
        <v>1</v>
      </c>
      <c r="F426" s="123">
        <v>46.3</v>
      </c>
      <c r="G426" s="123">
        <v>53.25</v>
      </c>
      <c r="H426" s="208">
        <v>53.25</v>
      </c>
      <c r="I426" s="215"/>
      <c r="J426" s="215"/>
      <c r="K426" s="215">
        <v>53.25</v>
      </c>
      <c r="L426" s="216">
        <v>46.3</v>
      </c>
    </row>
    <row r="427" spans="1:12" hidden="1">
      <c r="A427" s="209" t="s">
        <v>3869</v>
      </c>
      <c r="B427" s="69" t="s">
        <v>3056</v>
      </c>
      <c r="C427" s="69" t="s">
        <v>4148</v>
      </c>
      <c r="D427" s="96" t="s">
        <v>3057</v>
      </c>
      <c r="E427" s="69">
        <v>1</v>
      </c>
      <c r="F427" s="123">
        <v>69.510000000000005</v>
      </c>
      <c r="G427" s="123">
        <v>80</v>
      </c>
      <c r="H427" s="208">
        <v>80</v>
      </c>
      <c r="I427" s="215"/>
      <c r="J427" s="215"/>
      <c r="K427" s="215">
        <v>80</v>
      </c>
      <c r="L427" s="216">
        <v>69.510000000000005</v>
      </c>
    </row>
    <row r="428" spans="1:12" hidden="1">
      <c r="A428" s="209" t="s">
        <v>3869</v>
      </c>
      <c r="B428" s="69" t="s">
        <v>3871</v>
      </c>
      <c r="C428" s="69" t="s">
        <v>4148</v>
      </c>
      <c r="D428" s="96" t="s">
        <v>4149</v>
      </c>
      <c r="E428" s="69">
        <v>2</v>
      </c>
      <c r="F428" s="123">
        <v>30</v>
      </c>
      <c r="G428" s="123">
        <v>40</v>
      </c>
      <c r="H428" s="208">
        <v>80</v>
      </c>
      <c r="I428" s="215"/>
      <c r="J428" s="215"/>
      <c r="K428" s="215">
        <v>80</v>
      </c>
      <c r="L428" s="216">
        <v>60</v>
      </c>
    </row>
    <row r="429" spans="1:12" hidden="1">
      <c r="A429" s="209" t="s">
        <v>3869</v>
      </c>
      <c r="B429" s="69" t="s">
        <v>3617</v>
      </c>
      <c r="C429" s="69" t="s">
        <v>4150</v>
      </c>
      <c r="D429" s="96" t="s">
        <v>3618</v>
      </c>
      <c r="E429" s="69">
        <v>1</v>
      </c>
      <c r="F429" s="123">
        <v>1160.3499999999999</v>
      </c>
      <c r="G429" s="123">
        <v>1334.5</v>
      </c>
      <c r="H429" s="208">
        <v>1334.5</v>
      </c>
      <c r="I429" s="215"/>
      <c r="J429" s="215"/>
      <c r="K429" s="215">
        <v>1334.5</v>
      </c>
      <c r="L429" s="216">
        <v>1160.3499999999999</v>
      </c>
    </row>
    <row r="430" spans="1:12" hidden="1">
      <c r="A430" s="209" t="s">
        <v>3869</v>
      </c>
      <c r="B430" s="69" t="s">
        <v>1600</v>
      </c>
      <c r="C430" s="69" t="s">
        <v>4150</v>
      </c>
      <c r="D430" s="96" t="s">
        <v>1601</v>
      </c>
      <c r="E430" s="69">
        <v>32</v>
      </c>
      <c r="F430" s="123">
        <v>4.74</v>
      </c>
      <c r="G430" s="123">
        <v>5.5</v>
      </c>
      <c r="H430" s="208">
        <v>176</v>
      </c>
      <c r="I430" s="215"/>
      <c r="J430" s="215"/>
      <c r="K430" s="215">
        <v>176</v>
      </c>
      <c r="L430" s="216">
        <v>151.68</v>
      </c>
    </row>
    <row r="431" spans="1:12" hidden="1">
      <c r="A431" s="209" t="s">
        <v>3869</v>
      </c>
      <c r="B431" s="69" t="s">
        <v>1475</v>
      </c>
      <c r="C431" s="69" t="s">
        <v>4150</v>
      </c>
      <c r="D431" s="96" t="s">
        <v>1476</v>
      </c>
      <c r="E431" s="69">
        <v>1</v>
      </c>
      <c r="F431" s="123">
        <v>110.5</v>
      </c>
      <c r="G431" s="123">
        <v>127.75</v>
      </c>
      <c r="H431" s="208">
        <v>127.75</v>
      </c>
      <c r="I431" s="215"/>
      <c r="J431" s="215"/>
      <c r="K431" s="215">
        <v>127.75</v>
      </c>
      <c r="L431" s="216">
        <v>110.5</v>
      </c>
    </row>
    <row r="432" spans="1:12" hidden="1">
      <c r="A432" s="209" t="s">
        <v>3869</v>
      </c>
      <c r="B432" s="69" t="s">
        <v>2072</v>
      </c>
      <c r="C432" s="69" t="s">
        <v>4150</v>
      </c>
      <c r="D432" s="96" t="s">
        <v>2073</v>
      </c>
      <c r="E432" s="69">
        <v>1</v>
      </c>
      <c r="F432" s="123">
        <v>64.58</v>
      </c>
      <c r="G432" s="123">
        <v>74.5</v>
      </c>
      <c r="H432" s="208">
        <v>74.5</v>
      </c>
      <c r="I432" s="215"/>
      <c r="J432" s="215"/>
      <c r="K432" s="215">
        <v>74.5</v>
      </c>
      <c r="L432" s="216">
        <v>64.58</v>
      </c>
    </row>
    <row r="433" spans="1:12" hidden="1">
      <c r="A433" s="209" t="s">
        <v>3869</v>
      </c>
      <c r="B433" s="69" t="s">
        <v>1570</v>
      </c>
      <c r="C433" s="69" t="s">
        <v>4150</v>
      </c>
      <c r="D433" s="96" t="s">
        <v>1571</v>
      </c>
      <c r="E433" s="69">
        <v>3</v>
      </c>
      <c r="F433" s="123">
        <v>51.97</v>
      </c>
      <c r="G433" s="123">
        <v>60</v>
      </c>
      <c r="H433" s="208">
        <v>180</v>
      </c>
      <c r="I433" s="215"/>
      <c r="J433" s="215"/>
      <c r="K433" s="215">
        <v>180</v>
      </c>
      <c r="L433" s="216">
        <v>155.91</v>
      </c>
    </row>
    <row r="434" spans="1:12" hidden="1">
      <c r="A434" s="209" t="s">
        <v>3869</v>
      </c>
      <c r="B434" s="69" t="s">
        <v>1317</v>
      </c>
      <c r="C434" s="69" t="s">
        <v>4150</v>
      </c>
      <c r="D434" s="96" t="s">
        <v>1318</v>
      </c>
      <c r="E434" s="69">
        <v>3</v>
      </c>
      <c r="F434" s="123">
        <v>132.80000000000001</v>
      </c>
      <c r="G434" s="123">
        <v>152.75</v>
      </c>
      <c r="H434" s="208">
        <v>458.25</v>
      </c>
      <c r="I434" s="215"/>
      <c r="J434" s="215"/>
      <c r="K434" s="215">
        <v>458.25</v>
      </c>
      <c r="L434" s="216">
        <v>398.40000000000003</v>
      </c>
    </row>
    <row r="435" spans="1:12" hidden="1">
      <c r="A435" s="209" t="s">
        <v>3869</v>
      </c>
      <c r="B435" s="69" t="s">
        <v>1291</v>
      </c>
      <c r="C435" s="69" t="s">
        <v>4150</v>
      </c>
      <c r="D435" s="96" t="s">
        <v>1292</v>
      </c>
      <c r="E435" s="69">
        <v>4</v>
      </c>
      <c r="F435" s="123">
        <v>15.91</v>
      </c>
      <c r="G435" s="123">
        <v>18.5</v>
      </c>
      <c r="H435" s="208">
        <v>74</v>
      </c>
      <c r="I435" s="215"/>
      <c r="J435" s="215"/>
      <c r="K435" s="215">
        <v>74</v>
      </c>
      <c r="L435" s="216">
        <v>63.64</v>
      </c>
    </row>
    <row r="436" spans="1:12" hidden="1">
      <c r="A436" s="209" t="s">
        <v>3869</v>
      </c>
      <c r="B436" s="69" t="s">
        <v>1297</v>
      </c>
      <c r="C436" s="69" t="s">
        <v>4150</v>
      </c>
      <c r="D436" s="96" t="s">
        <v>1298</v>
      </c>
      <c r="E436" s="69">
        <v>2</v>
      </c>
      <c r="F436" s="123">
        <v>53.81</v>
      </c>
      <c r="G436" s="123">
        <v>62</v>
      </c>
      <c r="H436" s="208">
        <v>124</v>
      </c>
      <c r="I436" s="215"/>
      <c r="J436" s="215"/>
      <c r="K436" s="215">
        <v>124</v>
      </c>
      <c r="L436" s="216">
        <v>107.62</v>
      </c>
    </row>
    <row r="437" spans="1:12" hidden="1">
      <c r="A437" s="209" t="s">
        <v>3869</v>
      </c>
      <c r="B437" s="69" t="s">
        <v>3854</v>
      </c>
      <c r="C437" s="69" t="s">
        <v>4151</v>
      </c>
      <c r="D437" s="96" t="s">
        <v>4053</v>
      </c>
      <c r="E437" s="69">
        <v>1</v>
      </c>
      <c r="F437" s="123">
        <v>5.8</v>
      </c>
      <c r="G437" s="123">
        <v>7</v>
      </c>
      <c r="H437" s="208">
        <v>7</v>
      </c>
      <c r="I437" s="215"/>
      <c r="J437" s="215"/>
      <c r="K437" s="215">
        <v>7</v>
      </c>
      <c r="L437" s="216">
        <v>5.8</v>
      </c>
    </row>
    <row r="438" spans="1:12" hidden="1">
      <c r="A438" s="209" t="s">
        <v>3869</v>
      </c>
      <c r="B438" s="69" t="s">
        <v>302</v>
      </c>
      <c r="C438" s="69" t="s">
        <v>4152</v>
      </c>
      <c r="D438" s="96" t="s">
        <v>303</v>
      </c>
      <c r="E438" s="69">
        <v>1</v>
      </c>
      <c r="F438" s="123">
        <v>15.65</v>
      </c>
      <c r="G438" s="123">
        <v>18</v>
      </c>
      <c r="H438" s="208">
        <v>18</v>
      </c>
      <c r="I438" s="215"/>
      <c r="J438" s="215"/>
      <c r="K438" s="215">
        <v>18</v>
      </c>
      <c r="L438" s="216">
        <v>15.65</v>
      </c>
    </row>
    <row r="439" spans="1:12" hidden="1">
      <c r="A439" s="209" t="s">
        <v>3869</v>
      </c>
      <c r="B439" s="69" t="s">
        <v>68</v>
      </c>
      <c r="C439" s="69" t="s">
        <v>4153</v>
      </c>
      <c r="D439" s="96" t="s">
        <v>69</v>
      </c>
      <c r="E439" s="69">
        <v>1</v>
      </c>
      <c r="F439" s="123">
        <v>18.53</v>
      </c>
      <c r="G439" s="123">
        <v>21.5</v>
      </c>
      <c r="H439" s="208">
        <v>21.5</v>
      </c>
      <c r="I439" s="215"/>
      <c r="J439" s="215"/>
      <c r="K439" s="215">
        <v>21.5</v>
      </c>
      <c r="L439" s="216">
        <v>18.53</v>
      </c>
    </row>
    <row r="440" spans="1:12" hidden="1">
      <c r="A440" s="209" t="s">
        <v>3869</v>
      </c>
      <c r="B440" s="69" t="s">
        <v>296</v>
      </c>
      <c r="C440" s="69" t="s">
        <v>4153</v>
      </c>
      <c r="D440" s="96" t="s">
        <v>297</v>
      </c>
      <c r="E440" s="69">
        <v>1</v>
      </c>
      <c r="F440" s="123">
        <v>7.06</v>
      </c>
      <c r="G440" s="123">
        <v>8.25</v>
      </c>
      <c r="H440" s="208">
        <v>8.25</v>
      </c>
      <c r="I440" s="215"/>
      <c r="J440" s="215"/>
      <c r="K440" s="215">
        <v>8.25</v>
      </c>
      <c r="L440" s="216">
        <v>7.06</v>
      </c>
    </row>
    <row r="441" spans="1:12" hidden="1">
      <c r="A441" s="209" t="s">
        <v>3869</v>
      </c>
      <c r="B441" s="69" t="s">
        <v>1047</v>
      </c>
      <c r="C441" s="69" t="s">
        <v>4153</v>
      </c>
      <c r="D441" s="96" t="s">
        <v>1048</v>
      </c>
      <c r="E441" s="69">
        <v>1</v>
      </c>
      <c r="F441" s="123">
        <v>18.2</v>
      </c>
      <c r="G441" s="123">
        <v>21</v>
      </c>
      <c r="H441" s="208">
        <v>21</v>
      </c>
      <c r="I441" s="215"/>
      <c r="J441" s="215"/>
      <c r="K441" s="215">
        <v>21</v>
      </c>
      <c r="L441" s="216">
        <v>18.2</v>
      </c>
    </row>
    <row r="442" spans="1:12" hidden="1">
      <c r="A442" s="209" t="s">
        <v>3869</v>
      </c>
      <c r="B442" s="69" t="s">
        <v>273</v>
      </c>
      <c r="C442" s="69" t="s">
        <v>4154</v>
      </c>
      <c r="D442" s="96" t="s">
        <v>274</v>
      </c>
      <c r="E442" s="69">
        <v>1</v>
      </c>
      <c r="F442" s="123">
        <v>15.12</v>
      </c>
      <c r="G442" s="123">
        <v>17.5</v>
      </c>
      <c r="H442" s="208">
        <v>17.5</v>
      </c>
      <c r="I442" s="215"/>
      <c r="J442" s="215"/>
      <c r="K442" s="215">
        <v>17.5</v>
      </c>
      <c r="L442" s="216">
        <v>15.12</v>
      </c>
    </row>
    <row r="443" spans="1:12" hidden="1">
      <c r="A443" s="209" t="s">
        <v>3869</v>
      </c>
      <c r="B443" s="69" t="s">
        <v>296</v>
      </c>
      <c r="C443" s="69" t="s">
        <v>4154</v>
      </c>
      <c r="D443" s="96" t="s">
        <v>297</v>
      </c>
      <c r="E443" s="69">
        <v>1</v>
      </c>
      <c r="F443" s="123">
        <v>7.06</v>
      </c>
      <c r="G443" s="123">
        <v>8.25</v>
      </c>
      <c r="H443" s="208">
        <v>8.25</v>
      </c>
      <c r="I443" s="215"/>
      <c r="J443" s="215"/>
      <c r="K443" s="215">
        <v>8.25</v>
      </c>
      <c r="L443" s="216">
        <v>7.06</v>
      </c>
    </row>
    <row r="444" spans="1:12" hidden="1">
      <c r="A444" s="209" t="s">
        <v>3869</v>
      </c>
      <c r="B444" s="69" t="s">
        <v>3805</v>
      </c>
      <c r="C444" s="69" t="s">
        <v>4154</v>
      </c>
      <c r="D444" s="96" t="s">
        <v>3791</v>
      </c>
      <c r="E444" s="69">
        <v>1</v>
      </c>
      <c r="F444" s="123">
        <v>10.64</v>
      </c>
      <c r="G444" s="123">
        <v>12.25</v>
      </c>
      <c r="H444" s="208">
        <v>12.25</v>
      </c>
      <c r="I444" s="215"/>
      <c r="J444" s="215"/>
      <c r="K444" s="215">
        <v>12.25</v>
      </c>
      <c r="L444" s="216">
        <v>10.64</v>
      </c>
    </row>
    <row r="445" spans="1:12" hidden="1">
      <c r="A445" s="209" t="s">
        <v>3869</v>
      </c>
      <c r="B445" s="69" t="s">
        <v>1009</v>
      </c>
      <c r="C445" s="69" t="s">
        <v>4154</v>
      </c>
      <c r="D445" s="96" t="s">
        <v>1010</v>
      </c>
      <c r="E445" s="69">
        <v>1</v>
      </c>
      <c r="F445" s="123">
        <v>10.64</v>
      </c>
      <c r="G445" s="123">
        <v>12.25</v>
      </c>
      <c r="H445" s="208">
        <v>12.25</v>
      </c>
      <c r="I445" s="215"/>
      <c r="J445" s="215"/>
      <c r="K445" s="215">
        <v>12.25</v>
      </c>
      <c r="L445" s="216">
        <v>10.64</v>
      </c>
    </row>
    <row r="446" spans="1:12" hidden="1">
      <c r="A446" s="209" t="s">
        <v>3869</v>
      </c>
      <c r="B446" s="69" t="s">
        <v>3397</v>
      </c>
      <c r="C446" s="69" t="s">
        <v>4155</v>
      </c>
      <c r="D446" s="96" t="s">
        <v>3398</v>
      </c>
      <c r="E446" s="69">
        <v>1</v>
      </c>
      <c r="F446" s="123">
        <v>53.64</v>
      </c>
      <c r="G446" s="123">
        <v>61.75</v>
      </c>
      <c r="H446" s="208">
        <v>61.75</v>
      </c>
      <c r="I446" s="215"/>
      <c r="J446" s="215"/>
      <c r="K446" s="215">
        <v>61.75</v>
      </c>
      <c r="L446" s="216">
        <v>53.64</v>
      </c>
    </row>
    <row r="447" spans="1:12" hidden="1">
      <c r="A447" s="209" t="s">
        <v>3869</v>
      </c>
      <c r="B447" s="69" t="s">
        <v>3853</v>
      </c>
      <c r="C447" s="69" t="s">
        <v>4156</v>
      </c>
      <c r="D447" s="96" t="s">
        <v>4039</v>
      </c>
      <c r="E447" s="69">
        <v>1</v>
      </c>
      <c r="F447" s="123">
        <v>32</v>
      </c>
      <c r="G447" s="123">
        <v>37</v>
      </c>
      <c r="H447" s="208">
        <v>37</v>
      </c>
      <c r="I447" s="215"/>
      <c r="J447" s="215"/>
      <c r="K447" s="215">
        <v>37</v>
      </c>
      <c r="L447" s="216">
        <v>32</v>
      </c>
    </row>
    <row r="448" spans="1:12" hidden="1">
      <c r="A448" s="209" t="s">
        <v>3869</v>
      </c>
      <c r="B448" s="69" t="s">
        <v>2237</v>
      </c>
      <c r="C448" s="69" t="s">
        <v>4157</v>
      </c>
      <c r="D448" s="96" t="s">
        <v>2238</v>
      </c>
      <c r="E448" s="69">
        <v>1</v>
      </c>
      <c r="F448" s="123">
        <v>47.5</v>
      </c>
      <c r="G448" s="123">
        <v>54.75</v>
      </c>
      <c r="H448" s="208">
        <v>54.75</v>
      </c>
      <c r="I448" s="215"/>
      <c r="J448" s="215"/>
      <c r="K448" s="215">
        <v>54.75</v>
      </c>
      <c r="L448" s="216">
        <v>47.5</v>
      </c>
    </row>
    <row r="449" spans="1:12" hidden="1">
      <c r="A449" s="209" t="s">
        <v>3869</v>
      </c>
      <c r="B449" s="69" t="s">
        <v>102</v>
      </c>
      <c r="C449" s="69" t="s">
        <v>4158</v>
      </c>
      <c r="D449" s="96" t="s">
        <v>103</v>
      </c>
      <c r="E449" s="69">
        <v>1</v>
      </c>
      <c r="F449" s="123">
        <v>7.06</v>
      </c>
      <c r="G449" s="123">
        <v>8.25</v>
      </c>
      <c r="H449" s="208">
        <v>8.25</v>
      </c>
      <c r="I449" s="215"/>
      <c r="J449" s="215"/>
      <c r="K449" s="215">
        <v>8.25</v>
      </c>
      <c r="L449" s="216">
        <v>7.06</v>
      </c>
    </row>
    <row r="450" spans="1:12" hidden="1">
      <c r="A450" s="209" t="s">
        <v>3872</v>
      </c>
      <c r="B450" s="69" t="s">
        <v>3854</v>
      </c>
      <c r="C450" s="69" t="s">
        <v>4159</v>
      </c>
      <c r="D450" s="96" t="s">
        <v>4053</v>
      </c>
      <c r="E450" s="69">
        <v>1</v>
      </c>
      <c r="F450" s="123">
        <v>5.8</v>
      </c>
      <c r="G450" s="123">
        <v>7</v>
      </c>
      <c r="H450" s="208">
        <v>7</v>
      </c>
      <c r="I450" s="215"/>
      <c r="J450" s="215"/>
      <c r="K450" s="215">
        <v>7</v>
      </c>
      <c r="L450" s="216">
        <v>5.8</v>
      </c>
    </row>
    <row r="451" spans="1:12" hidden="1">
      <c r="A451" s="209" t="s">
        <v>3872</v>
      </c>
      <c r="B451" s="69" t="s">
        <v>375</v>
      </c>
      <c r="C451" s="69" t="s">
        <v>4160</v>
      </c>
      <c r="D451" s="96" t="s">
        <v>376</v>
      </c>
      <c r="E451" s="69">
        <v>1</v>
      </c>
      <c r="F451" s="123">
        <v>44.8</v>
      </c>
      <c r="G451" s="123">
        <v>51.75</v>
      </c>
      <c r="H451" s="208">
        <v>51.75</v>
      </c>
      <c r="I451" s="215"/>
      <c r="J451" s="215"/>
      <c r="K451" s="215">
        <v>51.75</v>
      </c>
      <c r="L451" s="216">
        <v>44.8</v>
      </c>
    </row>
    <row r="452" spans="1:12" hidden="1">
      <c r="A452" s="209" t="s">
        <v>3872</v>
      </c>
      <c r="B452" s="69" t="s">
        <v>3759</v>
      </c>
      <c r="C452" s="69" t="s">
        <v>4161</v>
      </c>
      <c r="D452" s="96" t="s">
        <v>3760</v>
      </c>
      <c r="E452" s="69">
        <v>1</v>
      </c>
      <c r="F452" s="123">
        <v>3.22</v>
      </c>
      <c r="G452" s="123">
        <v>5</v>
      </c>
      <c r="H452" s="208">
        <v>5</v>
      </c>
      <c r="I452" s="215"/>
      <c r="J452" s="215"/>
      <c r="K452" s="215">
        <v>5</v>
      </c>
      <c r="L452" s="216">
        <v>3.22</v>
      </c>
    </row>
    <row r="453" spans="1:12" hidden="1">
      <c r="A453" s="209" t="s">
        <v>3872</v>
      </c>
      <c r="B453" s="69" t="s">
        <v>3220</v>
      </c>
      <c r="C453" s="69" t="s">
        <v>4162</v>
      </c>
      <c r="D453" s="96" t="s">
        <v>3221</v>
      </c>
      <c r="E453" s="69">
        <v>1</v>
      </c>
      <c r="F453" s="123">
        <v>22.73</v>
      </c>
      <c r="G453" s="123">
        <v>26.25</v>
      </c>
      <c r="H453" s="208">
        <v>26.25</v>
      </c>
      <c r="I453" s="215"/>
      <c r="J453" s="215"/>
      <c r="K453" s="215">
        <v>26.25</v>
      </c>
      <c r="L453" s="216">
        <v>22.73</v>
      </c>
    </row>
    <row r="454" spans="1:12" hidden="1">
      <c r="A454" s="209" t="s">
        <v>3872</v>
      </c>
      <c r="B454" s="69" t="s">
        <v>102</v>
      </c>
      <c r="C454" s="69" t="s">
        <v>4163</v>
      </c>
      <c r="D454" s="96" t="s">
        <v>103</v>
      </c>
      <c r="E454" s="69">
        <v>2</v>
      </c>
      <c r="F454" s="123">
        <v>7.06</v>
      </c>
      <c r="G454" s="123">
        <v>8.25</v>
      </c>
      <c r="H454" s="208">
        <v>16.5</v>
      </c>
      <c r="I454" s="215"/>
      <c r="J454" s="215"/>
      <c r="K454" s="215">
        <v>16.5</v>
      </c>
      <c r="L454" s="216">
        <v>14.12</v>
      </c>
    </row>
    <row r="455" spans="1:12" hidden="1">
      <c r="A455" s="209" t="s">
        <v>3872</v>
      </c>
      <c r="B455" s="69" t="s">
        <v>552</v>
      </c>
      <c r="C455" s="69" t="s">
        <v>4163</v>
      </c>
      <c r="D455" s="96" t="s">
        <v>553</v>
      </c>
      <c r="E455" s="69">
        <v>1</v>
      </c>
      <c r="F455" s="123">
        <v>7.41</v>
      </c>
      <c r="G455" s="123">
        <v>8.75</v>
      </c>
      <c r="H455" s="208">
        <v>8.75</v>
      </c>
      <c r="I455" s="215"/>
      <c r="J455" s="215"/>
      <c r="K455" s="215">
        <v>8.75</v>
      </c>
      <c r="L455" s="216">
        <v>7.41</v>
      </c>
    </row>
    <row r="456" spans="1:12" hidden="1">
      <c r="A456" s="209" t="s">
        <v>3872</v>
      </c>
      <c r="B456" s="69" t="s">
        <v>296</v>
      </c>
      <c r="C456" s="69" t="s">
        <v>4163</v>
      </c>
      <c r="D456" s="96" t="s">
        <v>297</v>
      </c>
      <c r="E456" s="69">
        <v>1</v>
      </c>
      <c r="F456" s="123">
        <v>7.06</v>
      </c>
      <c r="G456" s="123">
        <v>8.25</v>
      </c>
      <c r="H456" s="208">
        <v>8.25</v>
      </c>
      <c r="I456" s="215"/>
      <c r="J456" s="215"/>
      <c r="K456" s="215">
        <v>8.25</v>
      </c>
      <c r="L456" s="216">
        <v>7.06</v>
      </c>
    </row>
    <row r="457" spans="1:12" hidden="1">
      <c r="A457" s="209" t="s">
        <v>3872</v>
      </c>
      <c r="B457" s="69" t="s">
        <v>98</v>
      </c>
      <c r="C457" s="69" t="s">
        <v>4164</v>
      </c>
      <c r="D457" s="96" t="s">
        <v>99</v>
      </c>
      <c r="E457" s="69">
        <v>1</v>
      </c>
      <c r="F457" s="123">
        <v>18.649999999999999</v>
      </c>
      <c r="G457" s="123">
        <v>21.5</v>
      </c>
      <c r="H457" s="208">
        <v>21.5</v>
      </c>
      <c r="I457" s="215"/>
      <c r="J457" s="215"/>
      <c r="K457" s="215">
        <v>21.5</v>
      </c>
      <c r="L457" s="216">
        <v>18.649999999999999</v>
      </c>
    </row>
    <row r="458" spans="1:12" hidden="1">
      <c r="A458" s="209" t="s">
        <v>3872</v>
      </c>
      <c r="B458" s="69" t="s">
        <v>3856</v>
      </c>
      <c r="C458" s="69" t="s">
        <v>4164</v>
      </c>
      <c r="D458" s="96" t="s">
        <v>4073</v>
      </c>
      <c r="E458" s="69">
        <v>1</v>
      </c>
      <c r="F458" s="123">
        <v>3.7</v>
      </c>
      <c r="G458" s="123">
        <v>5</v>
      </c>
      <c r="H458" s="208">
        <v>5</v>
      </c>
      <c r="I458" s="215"/>
      <c r="J458" s="215"/>
      <c r="K458" s="215">
        <v>5</v>
      </c>
      <c r="L458" s="216">
        <v>3.7</v>
      </c>
    </row>
    <row r="459" spans="1:12" hidden="1">
      <c r="A459" s="209" t="s">
        <v>3872</v>
      </c>
      <c r="B459" s="69" t="s">
        <v>3080</v>
      </c>
      <c r="C459" s="69" t="s">
        <v>4165</v>
      </c>
      <c r="D459" s="96" t="s">
        <v>3081</v>
      </c>
      <c r="E459" s="69">
        <v>1</v>
      </c>
      <c r="F459" s="123">
        <v>20.399999999999999</v>
      </c>
      <c r="G459" s="123">
        <v>23.5</v>
      </c>
      <c r="H459" s="208">
        <v>23.5</v>
      </c>
      <c r="I459" s="215"/>
      <c r="J459" s="215"/>
      <c r="K459" s="215">
        <v>23.5</v>
      </c>
      <c r="L459" s="216">
        <v>20.399999999999999</v>
      </c>
    </row>
    <row r="460" spans="1:12" hidden="1">
      <c r="A460" s="209" t="s">
        <v>3872</v>
      </c>
      <c r="B460" s="69" t="s">
        <v>196</v>
      </c>
      <c r="C460" s="69" t="s">
        <v>4166</v>
      </c>
      <c r="D460" s="96" t="s">
        <v>197</v>
      </c>
      <c r="E460" s="69">
        <v>1</v>
      </c>
      <c r="F460" s="123">
        <v>7.62</v>
      </c>
      <c r="G460" s="123">
        <v>8.75</v>
      </c>
      <c r="H460" s="208">
        <v>8.75</v>
      </c>
      <c r="I460" s="215"/>
      <c r="J460" s="215"/>
      <c r="K460" s="215">
        <v>8.75</v>
      </c>
      <c r="L460" s="216">
        <v>7.62</v>
      </c>
    </row>
    <row r="461" spans="1:12" hidden="1">
      <c r="A461" s="209" t="s">
        <v>3872</v>
      </c>
      <c r="B461" s="69" t="s">
        <v>1415</v>
      </c>
      <c r="C461" s="69" t="s">
        <v>4167</v>
      </c>
      <c r="D461" s="96" t="s">
        <v>1416</v>
      </c>
      <c r="E461" s="69">
        <v>1</v>
      </c>
      <c r="F461" s="123">
        <v>29</v>
      </c>
      <c r="G461" s="123">
        <v>33.75</v>
      </c>
      <c r="H461" s="208">
        <v>33.75</v>
      </c>
      <c r="I461" s="215"/>
      <c r="J461" s="215"/>
      <c r="K461" s="215">
        <v>33.75</v>
      </c>
      <c r="L461" s="216">
        <v>29</v>
      </c>
    </row>
    <row r="462" spans="1:12" hidden="1">
      <c r="A462" s="209" t="s">
        <v>3872</v>
      </c>
      <c r="B462" s="69" t="s">
        <v>877</v>
      </c>
      <c r="C462" s="69" t="s">
        <v>4167</v>
      </c>
      <c r="D462" s="96" t="s">
        <v>878</v>
      </c>
      <c r="E462" s="69">
        <v>1</v>
      </c>
      <c r="F462" s="123">
        <v>8.1999999999999993</v>
      </c>
      <c r="G462" s="123">
        <v>9.5</v>
      </c>
      <c r="H462" s="208">
        <v>9.5</v>
      </c>
      <c r="I462" s="215"/>
      <c r="J462" s="215"/>
      <c r="K462" s="215">
        <v>9.5</v>
      </c>
      <c r="L462" s="216">
        <v>8.1999999999999993</v>
      </c>
    </row>
    <row r="463" spans="1:12" hidden="1">
      <c r="A463" s="209" t="s">
        <v>3872</v>
      </c>
      <c r="B463" s="69" t="s">
        <v>102</v>
      </c>
      <c r="C463" s="69" t="s">
        <v>4168</v>
      </c>
      <c r="D463" s="96" t="s">
        <v>103</v>
      </c>
      <c r="E463" s="69">
        <v>1</v>
      </c>
      <c r="F463" s="123">
        <v>7.06</v>
      </c>
      <c r="G463" s="123">
        <v>8.25</v>
      </c>
      <c r="H463" s="208">
        <v>8.25</v>
      </c>
      <c r="I463" s="215"/>
      <c r="J463" s="215"/>
      <c r="K463" s="215">
        <v>8.25</v>
      </c>
      <c r="L463" s="216">
        <v>7.06</v>
      </c>
    </row>
    <row r="464" spans="1:12" hidden="1">
      <c r="A464" s="209" t="s">
        <v>3872</v>
      </c>
      <c r="B464" s="69" t="s">
        <v>2961</v>
      </c>
      <c r="C464" s="69" t="s">
        <v>4169</v>
      </c>
      <c r="D464" s="96" t="s">
        <v>2962</v>
      </c>
      <c r="E464" s="69">
        <v>2</v>
      </c>
      <c r="F464" s="123">
        <v>90</v>
      </c>
      <c r="G464" s="123">
        <v>120</v>
      </c>
      <c r="H464" s="208">
        <v>240</v>
      </c>
      <c r="I464" s="215"/>
      <c r="J464" s="215"/>
      <c r="K464" s="215">
        <v>240</v>
      </c>
      <c r="L464" s="216">
        <v>180</v>
      </c>
    </row>
    <row r="465" spans="1:12" hidden="1">
      <c r="A465" s="209" t="s">
        <v>3872</v>
      </c>
      <c r="B465" s="69" t="s">
        <v>3759</v>
      </c>
      <c r="C465" s="69" t="s">
        <v>4170</v>
      </c>
      <c r="D465" s="96" t="s">
        <v>3760</v>
      </c>
      <c r="E465" s="69">
        <v>2</v>
      </c>
      <c r="F465" s="123">
        <v>3.22</v>
      </c>
      <c r="G465" s="123">
        <v>5</v>
      </c>
      <c r="H465" s="208">
        <v>10</v>
      </c>
      <c r="I465" s="215"/>
      <c r="J465" s="215"/>
      <c r="K465" s="215">
        <v>10</v>
      </c>
      <c r="L465" s="216">
        <v>6.44</v>
      </c>
    </row>
    <row r="466" spans="1:12" hidden="1">
      <c r="A466" s="209" t="s">
        <v>3872</v>
      </c>
      <c r="B466" s="69" t="s">
        <v>1614</v>
      </c>
      <c r="C466" s="69" t="s">
        <v>4171</v>
      </c>
      <c r="D466" s="96" t="s">
        <v>1615</v>
      </c>
      <c r="E466" s="69">
        <v>3</v>
      </c>
      <c r="F466" s="123">
        <v>13.39</v>
      </c>
      <c r="G466" s="123">
        <v>15.5</v>
      </c>
      <c r="H466" s="208">
        <v>46.5</v>
      </c>
      <c r="I466" s="215"/>
      <c r="J466" s="215"/>
      <c r="K466" s="215">
        <v>46.5</v>
      </c>
      <c r="L466" s="216">
        <v>40.17</v>
      </c>
    </row>
    <row r="467" spans="1:12" hidden="1">
      <c r="A467" s="209" t="s">
        <v>3872</v>
      </c>
      <c r="B467" s="69" t="s">
        <v>1636</v>
      </c>
      <c r="C467" s="69" t="s">
        <v>4171</v>
      </c>
      <c r="D467" s="96" t="s">
        <v>1637</v>
      </c>
      <c r="E467" s="69">
        <v>1</v>
      </c>
      <c r="F467" s="123">
        <v>67.290000000000006</v>
      </c>
      <c r="G467" s="123">
        <v>77.5</v>
      </c>
      <c r="H467" s="208">
        <v>77.5</v>
      </c>
      <c r="I467" s="215"/>
      <c r="J467" s="215"/>
      <c r="K467" s="215">
        <v>77.5</v>
      </c>
      <c r="L467" s="216">
        <v>67.290000000000006</v>
      </c>
    </row>
    <row r="468" spans="1:12" hidden="1">
      <c r="A468" s="209" t="s">
        <v>3872</v>
      </c>
      <c r="B468" s="69" t="s">
        <v>1604</v>
      </c>
      <c r="C468" s="69" t="s">
        <v>4171</v>
      </c>
      <c r="D468" s="96" t="s">
        <v>1605</v>
      </c>
      <c r="E468" s="69">
        <v>3</v>
      </c>
      <c r="F468" s="123">
        <v>20.8</v>
      </c>
      <c r="G468" s="123">
        <v>24</v>
      </c>
      <c r="H468" s="208">
        <v>72</v>
      </c>
      <c r="I468" s="215"/>
      <c r="J468" s="215"/>
      <c r="K468" s="215">
        <v>72</v>
      </c>
      <c r="L468" s="216">
        <v>62.400000000000006</v>
      </c>
    </row>
    <row r="469" spans="1:12" hidden="1">
      <c r="A469" s="209" t="s">
        <v>3872</v>
      </c>
      <c r="B469" s="69" t="s">
        <v>1211</v>
      </c>
      <c r="C469" s="69" t="s">
        <v>4171</v>
      </c>
      <c r="D469" s="96" t="s">
        <v>1212</v>
      </c>
      <c r="E469" s="69">
        <v>1</v>
      </c>
      <c r="F469" s="123">
        <v>35.15</v>
      </c>
      <c r="G469" s="123">
        <v>41</v>
      </c>
      <c r="H469" s="208">
        <v>41</v>
      </c>
      <c r="I469" s="215"/>
      <c r="J469" s="215"/>
      <c r="K469" s="215">
        <v>41</v>
      </c>
      <c r="L469" s="216">
        <v>35.15</v>
      </c>
    </row>
    <row r="470" spans="1:12" hidden="1">
      <c r="A470" s="209" t="s">
        <v>3872</v>
      </c>
      <c r="B470" s="69" t="s">
        <v>1405</v>
      </c>
      <c r="C470" s="69" t="s">
        <v>4171</v>
      </c>
      <c r="D470" s="96" t="s">
        <v>1406</v>
      </c>
      <c r="E470" s="69">
        <v>3</v>
      </c>
      <c r="F470" s="123">
        <v>29.95</v>
      </c>
      <c r="G470" s="123">
        <v>34.5</v>
      </c>
      <c r="H470" s="208">
        <v>103.5</v>
      </c>
      <c r="I470" s="215"/>
      <c r="J470" s="215"/>
      <c r="K470" s="215">
        <v>103.5</v>
      </c>
      <c r="L470" s="216">
        <v>89.85</v>
      </c>
    </row>
    <row r="471" spans="1:12" hidden="1">
      <c r="A471" s="209" t="s">
        <v>3872</v>
      </c>
      <c r="B471" s="69" t="s">
        <v>3397</v>
      </c>
      <c r="C471" s="69" t="s">
        <v>4172</v>
      </c>
      <c r="D471" s="96" t="s">
        <v>3398</v>
      </c>
      <c r="E471" s="69">
        <v>2</v>
      </c>
      <c r="F471" s="123">
        <v>53.64</v>
      </c>
      <c r="G471" s="123">
        <v>61.75</v>
      </c>
      <c r="H471" s="208">
        <v>123.5</v>
      </c>
      <c r="I471" s="215"/>
      <c r="J471" s="215"/>
      <c r="K471" s="215">
        <v>123.5</v>
      </c>
      <c r="L471" s="216">
        <v>107.28</v>
      </c>
    </row>
    <row r="472" spans="1:12" hidden="1">
      <c r="A472" s="209" t="s">
        <v>3872</v>
      </c>
      <c r="B472" s="69" t="s">
        <v>2431</v>
      </c>
      <c r="C472" s="69" t="s">
        <v>4172</v>
      </c>
      <c r="D472" s="96" t="s">
        <v>2432</v>
      </c>
      <c r="E472" s="69">
        <v>2</v>
      </c>
      <c r="F472" s="123">
        <v>19.66</v>
      </c>
      <c r="G472" s="123">
        <v>23</v>
      </c>
      <c r="H472" s="208">
        <v>46</v>
      </c>
      <c r="I472" s="215"/>
      <c r="J472" s="215"/>
      <c r="K472" s="215">
        <v>46</v>
      </c>
      <c r="L472" s="216">
        <v>39.32</v>
      </c>
    </row>
    <row r="473" spans="1:12" hidden="1">
      <c r="A473" s="209" t="s">
        <v>3872</v>
      </c>
      <c r="B473" s="69" t="s">
        <v>3342</v>
      </c>
      <c r="C473" s="69" t="s">
        <v>4173</v>
      </c>
      <c r="D473" s="96" t="s">
        <v>3343</v>
      </c>
      <c r="E473" s="69">
        <v>5</v>
      </c>
      <c r="F473" s="123">
        <v>0.76</v>
      </c>
      <c r="G473" s="123">
        <v>1</v>
      </c>
      <c r="H473" s="208">
        <v>5</v>
      </c>
      <c r="I473" s="215"/>
      <c r="J473" s="215"/>
      <c r="K473" s="215">
        <v>5</v>
      </c>
      <c r="L473" s="216">
        <v>3.8</v>
      </c>
    </row>
    <row r="474" spans="1:12" hidden="1">
      <c r="A474" s="209" t="s">
        <v>3872</v>
      </c>
      <c r="B474" s="69" t="s">
        <v>269</v>
      </c>
      <c r="C474" s="69" t="s">
        <v>4174</v>
      </c>
      <c r="D474" s="96" t="s">
        <v>270</v>
      </c>
      <c r="E474" s="69">
        <v>1</v>
      </c>
      <c r="F474" s="123">
        <v>15.12</v>
      </c>
      <c r="G474" s="123">
        <v>17.5</v>
      </c>
      <c r="H474" s="208">
        <v>17.5</v>
      </c>
      <c r="I474" s="215"/>
      <c r="J474" s="215"/>
      <c r="K474" s="215">
        <v>17.5</v>
      </c>
      <c r="L474" s="216">
        <v>15.12</v>
      </c>
    </row>
    <row r="475" spans="1:12" hidden="1">
      <c r="A475" s="209" t="s">
        <v>3872</v>
      </c>
      <c r="B475" s="69" t="s">
        <v>296</v>
      </c>
      <c r="C475" s="69" t="s">
        <v>4175</v>
      </c>
      <c r="D475" s="96" t="s">
        <v>297</v>
      </c>
      <c r="E475" s="69">
        <v>1</v>
      </c>
      <c r="F475" s="123">
        <v>7.06</v>
      </c>
      <c r="G475" s="123">
        <v>8.25</v>
      </c>
      <c r="H475" s="208">
        <v>8.25</v>
      </c>
      <c r="I475" s="215"/>
      <c r="J475" s="215"/>
      <c r="K475" s="215">
        <v>8.25</v>
      </c>
      <c r="L475" s="216">
        <v>7.06</v>
      </c>
    </row>
    <row r="476" spans="1:12" hidden="1">
      <c r="A476" s="209" t="s">
        <v>3872</v>
      </c>
      <c r="B476" s="69" t="s">
        <v>1790</v>
      </c>
      <c r="C476" s="69" t="s">
        <v>4176</v>
      </c>
      <c r="D476" s="96" t="s">
        <v>1791</v>
      </c>
      <c r="E476" s="69">
        <v>2</v>
      </c>
      <c r="F476" s="123">
        <v>9.17</v>
      </c>
      <c r="G476" s="123">
        <v>10.75</v>
      </c>
      <c r="H476" s="208">
        <v>21.5</v>
      </c>
      <c r="I476" s="215"/>
      <c r="J476" s="215"/>
      <c r="K476" s="215">
        <v>21.5</v>
      </c>
      <c r="L476" s="216">
        <v>18.34</v>
      </c>
    </row>
    <row r="477" spans="1:12" hidden="1">
      <c r="A477" s="209" t="s">
        <v>3872</v>
      </c>
      <c r="B477" s="69" t="s">
        <v>2109</v>
      </c>
      <c r="C477" s="69" t="s">
        <v>4176</v>
      </c>
      <c r="D477" s="96" t="s">
        <v>2110</v>
      </c>
      <c r="E477" s="69">
        <v>9</v>
      </c>
      <c r="F477" s="123">
        <v>6.97</v>
      </c>
      <c r="G477" s="123">
        <v>8</v>
      </c>
      <c r="H477" s="208">
        <v>72</v>
      </c>
      <c r="I477" s="215"/>
      <c r="J477" s="215"/>
      <c r="K477" s="215">
        <v>72</v>
      </c>
      <c r="L477" s="216">
        <v>62.73</v>
      </c>
    </row>
    <row r="478" spans="1:12" hidden="1">
      <c r="A478" s="209" t="s">
        <v>3873</v>
      </c>
      <c r="B478" s="69" t="s">
        <v>1376</v>
      </c>
      <c r="C478" s="69" t="s">
        <v>4177</v>
      </c>
      <c r="D478" s="96" t="s">
        <v>1377</v>
      </c>
      <c r="E478" s="69">
        <v>1</v>
      </c>
      <c r="F478" s="123">
        <v>24.24</v>
      </c>
      <c r="G478" s="123">
        <v>29.25</v>
      </c>
      <c r="H478" s="208">
        <v>29.25</v>
      </c>
      <c r="I478" s="215"/>
      <c r="J478" s="215"/>
      <c r="K478" s="215">
        <v>29.25</v>
      </c>
      <c r="L478" s="216">
        <v>24.24</v>
      </c>
    </row>
    <row r="479" spans="1:12" hidden="1">
      <c r="A479" s="209" t="s">
        <v>3873</v>
      </c>
      <c r="B479" s="69" t="s">
        <v>98</v>
      </c>
      <c r="C479" s="69" t="s">
        <v>4177</v>
      </c>
      <c r="D479" s="96" t="s">
        <v>99</v>
      </c>
      <c r="E479" s="69">
        <v>1</v>
      </c>
      <c r="F479" s="123">
        <v>18.649999999999999</v>
      </c>
      <c r="G479" s="123">
        <v>21.5</v>
      </c>
      <c r="H479" s="208">
        <v>21.5</v>
      </c>
      <c r="I479" s="215"/>
      <c r="J479" s="215"/>
      <c r="K479" s="215">
        <v>21.5</v>
      </c>
      <c r="L479" s="216">
        <v>18.649999999999999</v>
      </c>
    </row>
    <row r="480" spans="1:12" hidden="1">
      <c r="A480" s="209" t="s">
        <v>3873</v>
      </c>
      <c r="B480" s="69" t="s">
        <v>454</v>
      </c>
      <c r="C480" s="69" t="s">
        <v>4177</v>
      </c>
      <c r="D480" s="96" t="s">
        <v>455</v>
      </c>
      <c r="E480" s="69">
        <v>1</v>
      </c>
      <c r="F480" s="123">
        <v>84.8</v>
      </c>
      <c r="G480" s="123">
        <v>94</v>
      </c>
      <c r="H480" s="208">
        <v>94</v>
      </c>
      <c r="I480" s="215"/>
      <c r="J480" s="215"/>
      <c r="K480" s="215">
        <v>94</v>
      </c>
      <c r="L480" s="216">
        <v>84.8</v>
      </c>
    </row>
    <row r="481" spans="1:12" hidden="1">
      <c r="A481" s="209" t="s">
        <v>3873</v>
      </c>
      <c r="B481" s="69" t="s">
        <v>98</v>
      </c>
      <c r="C481" s="69" t="s">
        <v>4178</v>
      </c>
      <c r="D481" s="96" t="s">
        <v>99</v>
      </c>
      <c r="E481" s="69">
        <v>1</v>
      </c>
      <c r="F481" s="123">
        <v>18.649999999999999</v>
      </c>
      <c r="G481" s="123">
        <v>21.5</v>
      </c>
      <c r="H481" s="208">
        <v>21.5</v>
      </c>
      <c r="I481" s="215"/>
      <c r="J481" s="215"/>
      <c r="K481" s="215">
        <v>21.5</v>
      </c>
      <c r="L481" s="216">
        <v>18.649999999999999</v>
      </c>
    </row>
    <row r="482" spans="1:12" hidden="1">
      <c r="A482" s="209" t="s">
        <v>3873</v>
      </c>
      <c r="B482" s="69" t="s">
        <v>273</v>
      </c>
      <c r="C482" s="69" t="s">
        <v>4179</v>
      </c>
      <c r="D482" s="96" t="s">
        <v>274</v>
      </c>
      <c r="E482" s="69">
        <v>2</v>
      </c>
      <c r="F482" s="123">
        <v>15.12</v>
      </c>
      <c r="G482" s="123">
        <v>17.5</v>
      </c>
      <c r="H482" s="208">
        <v>35</v>
      </c>
      <c r="I482" s="215"/>
      <c r="J482" s="215"/>
      <c r="K482" s="215">
        <v>35</v>
      </c>
      <c r="L482" s="216">
        <v>30.24</v>
      </c>
    </row>
    <row r="483" spans="1:12" hidden="1">
      <c r="A483" s="209" t="s">
        <v>3873</v>
      </c>
      <c r="B483" s="69" t="s">
        <v>3342</v>
      </c>
      <c r="C483" s="69" t="s">
        <v>4180</v>
      </c>
      <c r="D483" s="96" t="s">
        <v>3343</v>
      </c>
      <c r="E483" s="69">
        <v>2</v>
      </c>
      <c r="F483" s="123">
        <v>0.76</v>
      </c>
      <c r="G483" s="123">
        <v>1</v>
      </c>
      <c r="H483" s="208">
        <v>2</v>
      </c>
      <c r="I483" s="215"/>
      <c r="J483" s="215"/>
      <c r="K483" s="215">
        <v>2</v>
      </c>
      <c r="L483" s="216">
        <v>1.52</v>
      </c>
    </row>
    <row r="484" spans="1:12" hidden="1">
      <c r="A484" s="209" t="s">
        <v>3873</v>
      </c>
      <c r="B484" s="69" t="s">
        <v>271</v>
      </c>
      <c r="C484" s="69" t="s">
        <v>4181</v>
      </c>
      <c r="D484" s="96" t="s">
        <v>272</v>
      </c>
      <c r="E484" s="69">
        <v>1</v>
      </c>
      <c r="F484" s="123">
        <v>31.6</v>
      </c>
      <c r="G484" s="123">
        <v>36.33</v>
      </c>
      <c r="H484" s="208">
        <v>36.33</v>
      </c>
      <c r="I484" s="215"/>
      <c r="J484" s="215"/>
      <c r="K484" s="215">
        <v>36.33</v>
      </c>
      <c r="L484" s="216">
        <v>31.6</v>
      </c>
    </row>
    <row r="485" spans="1:12" hidden="1">
      <c r="A485" s="209" t="s">
        <v>3873</v>
      </c>
      <c r="B485" s="69" t="s">
        <v>1033</v>
      </c>
      <c r="C485" s="69" t="s">
        <v>4182</v>
      </c>
      <c r="D485" s="96" t="s">
        <v>1034</v>
      </c>
      <c r="E485" s="69">
        <v>1</v>
      </c>
      <c r="F485" s="123">
        <v>18.2</v>
      </c>
      <c r="G485" s="123">
        <v>21</v>
      </c>
      <c r="H485" s="208">
        <v>21</v>
      </c>
      <c r="I485" s="215"/>
      <c r="J485" s="215"/>
      <c r="K485" s="215">
        <v>21</v>
      </c>
      <c r="L485" s="216">
        <v>18.2</v>
      </c>
    </row>
    <row r="486" spans="1:12" hidden="1">
      <c r="A486" s="209" t="s">
        <v>3873</v>
      </c>
      <c r="B486" s="69" t="s">
        <v>3733</v>
      </c>
      <c r="C486" s="69" t="s">
        <v>4183</v>
      </c>
      <c r="D486" s="96" t="s">
        <v>3734</v>
      </c>
      <c r="E486" s="69">
        <v>1</v>
      </c>
      <c r="F486" s="123">
        <v>20.399999999999999</v>
      </c>
      <c r="G486" s="123">
        <v>23.46</v>
      </c>
      <c r="H486" s="208">
        <v>23.46</v>
      </c>
      <c r="I486" s="215"/>
      <c r="J486" s="215"/>
      <c r="K486" s="215">
        <v>23.46</v>
      </c>
      <c r="L486" s="216">
        <v>20.399999999999999</v>
      </c>
    </row>
    <row r="487" spans="1:12" hidden="1">
      <c r="A487" s="209" t="s">
        <v>3873</v>
      </c>
      <c r="B487" s="69" t="s">
        <v>3713</v>
      </c>
      <c r="C487" s="69" t="s">
        <v>4184</v>
      </c>
      <c r="D487" s="96" t="s">
        <v>3714</v>
      </c>
      <c r="E487" s="69">
        <v>1</v>
      </c>
      <c r="F487" s="123">
        <v>9.27</v>
      </c>
      <c r="G487" s="123">
        <v>10.75</v>
      </c>
      <c r="H487" s="208">
        <v>10.75</v>
      </c>
      <c r="I487" s="215"/>
      <c r="J487" s="215"/>
      <c r="K487" s="215">
        <v>10.75</v>
      </c>
      <c r="L487" s="216">
        <v>9.27</v>
      </c>
    </row>
    <row r="488" spans="1:12" hidden="1">
      <c r="A488" s="209" t="s">
        <v>3873</v>
      </c>
      <c r="B488" s="69" t="s">
        <v>3800</v>
      </c>
      <c r="C488" s="69" t="s">
        <v>4185</v>
      </c>
      <c r="D488" s="96" t="s">
        <v>3786</v>
      </c>
      <c r="E488" s="69">
        <v>1</v>
      </c>
      <c r="F488" s="123">
        <v>65.77</v>
      </c>
      <c r="G488" s="123">
        <v>75.75</v>
      </c>
      <c r="H488" s="208">
        <v>75.75</v>
      </c>
      <c r="I488" s="215"/>
      <c r="J488" s="215"/>
      <c r="K488" s="215">
        <v>75.75</v>
      </c>
      <c r="L488" s="216">
        <v>65.77</v>
      </c>
    </row>
    <row r="489" spans="1:12" hidden="1">
      <c r="A489" s="209" t="s">
        <v>3873</v>
      </c>
      <c r="B489" s="69" t="s">
        <v>3728</v>
      </c>
      <c r="C489" s="69" t="s">
        <v>4185</v>
      </c>
      <c r="D489" s="96" t="s">
        <v>3729</v>
      </c>
      <c r="E489" s="69">
        <v>1</v>
      </c>
      <c r="F489" s="123">
        <v>9.2799999999999994</v>
      </c>
      <c r="G489" s="123">
        <v>10.75</v>
      </c>
      <c r="H489" s="208">
        <v>10.75</v>
      </c>
      <c r="I489" s="215"/>
      <c r="J489" s="215"/>
      <c r="K489" s="215">
        <v>10.75</v>
      </c>
      <c r="L489" s="216">
        <v>9.2799999999999994</v>
      </c>
    </row>
    <row r="490" spans="1:12" hidden="1">
      <c r="A490" s="209" t="s">
        <v>3873</v>
      </c>
      <c r="B490" s="69" t="s">
        <v>3142</v>
      </c>
      <c r="C490" s="69" t="s">
        <v>4185</v>
      </c>
      <c r="D490" s="96" t="s">
        <v>3143</v>
      </c>
      <c r="E490" s="69">
        <v>1</v>
      </c>
      <c r="F490" s="123">
        <v>23.21</v>
      </c>
      <c r="G490" s="123">
        <v>26.75</v>
      </c>
      <c r="H490" s="208">
        <v>26.75</v>
      </c>
      <c r="I490" s="215"/>
      <c r="J490" s="215"/>
      <c r="K490" s="215">
        <v>26.75</v>
      </c>
      <c r="L490" s="216">
        <v>23.21</v>
      </c>
    </row>
    <row r="491" spans="1:12" hidden="1">
      <c r="A491" s="209" t="s">
        <v>3873</v>
      </c>
      <c r="B491" s="69" t="s">
        <v>3713</v>
      </c>
      <c r="C491" s="69" t="s">
        <v>4185</v>
      </c>
      <c r="D491" s="96" t="s">
        <v>3714</v>
      </c>
      <c r="E491" s="69">
        <v>1</v>
      </c>
      <c r="F491" s="123">
        <v>9.27</v>
      </c>
      <c r="G491" s="123">
        <v>10.75</v>
      </c>
      <c r="H491" s="208">
        <v>10.75</v>
      </c>
      <c r="I491" s="215"/>
      <c r="J491" s="215"/>
      <c r="K491" s="215">
        <v>10.75</v>
      </c>
      <c r="L491" s="216">
        <v>9.27</v>
      </c>
    </row>
    <row r="492" spans="1:12" hidden="1">
      <c r="A492" s="209" t="s">
        <v>3873</v>
      </c>
      <c r="B492" s="69" t="s">
        <v>615</v>
      </c>
      <c r="C492" s="69" t="s">
        <v>4186</v>
      </c>
      <c r="D492" s="96" t="s">
        <v>616</v>
      </c>
      <c r="E492" s="69">
        <v>1</v>
      </c>
      <c r="F492" s="123">
        <v>59.51</v>
      </c>
      <c r="G492" s="123">
        <v>68.5</v>
      </c>
      <c r="H492" s="208">
        <v>68.5</v>
      </c>
      <c r="I492" s="215"/>
      <c r="J492" s="215"/>
      <c r="K492" s="215">
        <v>68.5</v>
      </c>
      <c r="L492" s="216">
        <v>59.51</v>
      </c>
    </row>
    <row r="493" spans="1:12" hidden="1">
      <c r="A493" s="209" t="s">
        <v>3873</v>
      </c>
      <c r="B493" s="69" t="s">
        <v>180</v>
      </c>
      <c r="C493" s="69" t="s">
        <v>4186</v>
      </c>
      <c r="D493" s="96" t="s">
        <v>181</v>
      </c>
      <c r="E493" s="69">
        <v>1</v>
      </c>
      <c r="F493" s="123">
        <v>16.579999999999998</v>
      </c>
      <c r="G493" s="123">
        <v>19</v>
      </c>
      <c r="H493" s="208">
        <v>19</v>
      </c>
      <c r="I493" s="215"/>
      <c r="J493" s="215"/>
      <c r="K493" s="215">
        <v>19</v>
      </c>
      <c r="L493" s="216">
        <v>16.579999999999998</v>
      </c>
    </row>
    <row r="494" spans="1:12" hidden="1">
      <c r="A494" s="209" t="s">
        <v>3873</v>
      </c>
      <c r="B494" s="69" t="s">
        <v>287</v>
      </c>
      <c r="C494" s="69" t="s">
        <v>4187</v>
      </c>
      <c r="D494" s="96" t="s">
        <v>288</v>
      </c>
      <c r="E494" s="69">
        <v>1</v>
      </c>
      <c r="F494" s="123">
        <v>34.47</v>
      </c>
      <c r="G494" s="123">
        <v>39.75</v>
      </c>
      <c r="H494" s="208">
        <v>39.75</v>
      </c>
      <c r="I494" s="215"/>
      <c r="J494" s="215"/>
      <c r="K494" s="215">
        <v>39.75</v>
      </c>
      <c r="L494" s="216">
        <v>34.47</v>
      </c>
    </row>
    <row r="495" spans="1:12" hidden="1">
      <c r="A495" s="209" t="s">
        <v>3873</v>
      </c>
      <c r="B495" s="69" t="s">
        <v>285</v>
      </c>
      <c r="C495" s="69" t="s">
        <v>4188</v>
      </c>
      <c r="D495" s="96" t="s">
        <v>286</v>
      </c>
      <c r="E495" s="69">
        <v>1</v>
      </c>
      <c r="F495" s="123">
        <v>15.65</v>
      </c>
      <c r="G495" s="123">
        <v>18</v>
      </c>
      <c r="H495" s="208">
        <v>18</v>
      </c>
      <c r="I495" s="215"/>
      <c r="J495" s="215"/>
      <c r="K495" s="215">
        <v>18</v>
      </c>
      <c r="L495" s="216">
        <v>15.65</v>
      </c>
    </row>
    <row r="496" spans="1:12" hidden="1">
      <c r="A496" s="209" t="s">
        <v>3873</v>
      </c>
      <c r="B496" s="69" t="s">
        <v>281</v>
      </c>
      <c r="C496" s="69" t="s">
        <v>4188</v>
      </c>
      <c r="D496" s="96" t="s">
        <v>282</v>
      </c>
      <c r="E496" s="69">
        <v>1</v>
      </c>
      <c r="F496" s="123">
        <v>15.12</v>
      </c>
      <c r="G496" s="123">
        <v>17.5</v>
      </c>
      <c r="H496" s="208">
        <v>17.5</v>
      </c>
      <c r="I496" s="215"/>
      <c r="J496" s="215"/>
      <c r="K496" s="215">
        <v>17.5</v>
      </c>
      <c r="L496" s="216">
        <v>15.12</v>
      </c>
    </row>
    <row r="497" spans="1:12" hidden="1">
      <c r="A497" s="209" t="s">
        <v>3873</v>
      </c>
      <c r="B497" s="69" t="s">
        <v>180</v>
      </c>
      <c r="C497" s="69" t="s">
        <v>4188</v>
      </c>
      <c r="D497" s="96" t="s">
        <v>181</v>
      </c>
      <c r="E497" s="69">
        <v>1</v>
      </c>
      <c r="F497" s="123">
        <v>16.579999999999998</v>
      </c>
      <c r="G497" s="123">
        <v>19</v>
      </c>
      <c r="H497" s="208">
        <v>19</v>
      </c>
      <c r="I497" s="215"/>
      <c r="J497" s="215"/>
      <c r="K497" s="215">
        <v>19</v>
      </c>
      <c r="L497" s="216">
        <v>16.579999999999998</v>
      </c>
    </row>
    <row r="498" spans="1:12" hidden="1">
      <c r="A498" s="209" t="s">
        <v>3873</v>
      </c>
      <c r="B498" s="69" t="s">
        <v>180</v>
      </c>
      <c r="C498" s="69" t="s">
        <v>4189</v>
      </c>
      <c r="D498" s="96" t="s">
        <v>181</v>
      </c>
      <c r="E498" s="69">
        <v>1</v>
      </c>
      <c r="F498" s="123">
        <v>16.579999999999998</v>
      </c>
      <c r="G498" s="123">
        <v>19</v>
      </c>
      <c r="H498" s="208">
        <v>19</v>
      </c>
      <c r="I498" s="215"/>
      <c r="J498" s="215"/>
      <c r="K498" s="215">
        <v>19</v>
      </c>
      <c r="L498" s="216">
        <v>16.579999999999998</v>
      </c>
    </row>
    <row r="499" spans="1:12" hidden="1">
      <c r="A499" s="209" t="s">
        <v>3873</v>
      </c>
      <c r="B499" s="69" t="s">
        <v>180</v>
      </c>
      <c r="C499" s="69" t="s">
        <v>4190</v>
      </c>
      <c r="D499" s="96" t="s">
        <v>181</v>
      </c>
      <c r="E499" s="69">
        <v>1</v>
      </c>
      <c r="F499" s="123">
        <v>16.579999999999998</v>
      </c>
      <c r="G499" s="123">
        <v>19</v>
      </c>
      <c r="H499" s="208">
        <v>19</v>
      </c>
      <c r="I499" s="215"/>
      <c r="J499" s="215"/>
      <c r="K499" s="215">
        <v>19</v>
      </c>
      <c r="L499" s="216">
        <v>16.579999999999998</v>
      </c>
    </row>
    <row r="500" spans="1:12" hidden="1">
      <c r="A500" s="209" t="s">
        <v>3873</v>
      </c>
      <c r="B500" s="69" t="s">
        <v>2961</v>
      </c>
      <c r="C500" s="69" t="s">
        <v>4191</v>
      </c>
      <c r="D500" s="96" t="s">
        <v>2962</v>
      </c>
      <c r="E500" s="69">
        <v>4</v>
      </c>
      <c r="F500" s="123">
        <v>90</v>
      </c>
      <c r="G500" s="123">
        <v>120</v>
      </c>
      <c r="H500" s="208">
        <v>480</v>
      </c>
      <c r="I500" s="215"/>
      <c r="J500" s="215"/>
      <c r="K500" s="215">
        <v>480</v>
      </c>
      <c r="L500" s="216">
        <v>360</v>
      </c>
    </row>
    <row r="501" spans="1:12" hidden="1">
      <c r="A501" s="209" t="s">
        <v>3874</v>
      </c>
      <c r="B501" s="69" t="s">
        <v>2589</v>
      </c>
      <c r="C501" s="69" t="s">
        <v>4192</v>
      </c>
      <c r="D501" s="96" t="s">
        <v>2590</v>
      </c>
      <c r="E501" s="69">
        <v>6</v>
      </c>
      <c r="F501" s="123">
        <v>5.41</v>
      </c>
      <c r="G501" s="123">
        <v>6.25</v>
      </c>
      <c r="H501" s="208">
        <v>37.5</v>
      </c>
      <c r="I501" s="215"/>
      <c r="J501" s="215"/>
      <c r="K501" s="215">
        <v>37.5</v>
      </c>
      <c r="L501" s="216">
        <v>32.46</v>
      </c>
    </row>
    <row r="502" spans="1:12" hidden="1">
      <c r="A502" s="209" t="s">
        <v>3874</v>
      </c>
      <c r="B502" s="69" t="s">
        <v>2595</v>
      </c>
      <c r="C502" s="69" t="s">
        <v>4192</v>
      </c>
      <c r="D502" s="96" t="s">
        <v>2596</v>
      </c>
      <c r="E502" s="69">
        <v>6</v>
      </c>
      <c r="F502" s="123">
        <v>6.38</v>
      </c>
      <c r="G502" s="123">
        <v>7.5</v>
      </c>
      <c r="H502" s="208">
        <v>45</v>
      </c>
      <c r="I502" s="215"/>
      <c r="J502" s="215"/>
      <c r="K502" s="215">
        <v>45</v>
      </c>
      <c r="L502" s="216">
        <v>38.28</v>
      </c>
    </row>
    <row r="503" spans="1:12" hidden="1">
      <c r="A503" s="209" t="s">
        <v>3874</v>
      </c>
      <c r="B503" s="69" t="s">
        <v>1297</v>
      </c>
      <c r="C503" s="69" t="s">
        <v>4192</v>
      </c>
      <c r="D503" s="96" t="s">
        <v>1298</v>
      </c>
      <c r="E503" s="69">
        <v>2</v>
      </c>
      <c r="F503" s="123">
        <v>53.81</v>
      </c>
      <c r="G503" s="123">
        <v>62</v>
      </c>
      <c r="H503" s="208">
        <v>124</v>
      </c>
      <c r="I503" s="215"/>
      <c r="J503" s="215"/>
      <c r="K503" s="215">
        <v>124</v>
      </c>
      <c r="L503" s="216">
        <v>107.62</v>
      </c>
    </row>
    <row r="504" spans="1:12" hidden="1">
      <c r="A504" s="209" t="s">
        <v>3874</v>
      </c>
      <c r="B504" s="69" t="s">
        <v>3724</v>
      </c>
      <c r="C504" s="69" t="s">
        <v>4193</v>
      </c>
      <c r="D504" s="96" t="s">
        <v>3725</v>
      </c>
      <c r="E504" s="69">
        <v>1</v>
      </c>
      <c r="F504" s="123">
        <v>14.82</v>
      </c>
      <c r="G504" s="123">
        <v>17.25</v>
      </c>
      <c r="H504" s="208">
        <v>17.25</v>
      </c>
      <c r="I504" s="215"/>
      <c r="J504" s="215"/>
      <c r="K504" s="215">
        <v>17.25</v>
      </c>
      <c r="L504" s="216">
        <v>14.82</v>
      </c>
    </row>
    <row r="505" spans="1:12" hidden="1">
      <c r="A505" s="209" t="s">
        <v>3874</v>
      </c>
      <c r="B505" s="69" t="s">
        <v>478</v>
      </c>
      <c r="C505" s="69" t="s">
        <v>4194</v>
      </c>
      <c r="D505" s="96" t="s">
        <v>479</v>
      </c>
      <c r="E505" s="69">
        <v>1</v>
      </c>
      <c r="F505" s="123">
        <v>75</v>
      </c>
      <c r="G505" s="123">
        <v>83</v>
      </c>
      <c r="H505" s="208">
        <v>83</v>
      </c>
      <c r="I505" s="215"/>
      <c r="J505" s="215"/>
      <c r="K505" s="215">
        <v>83</v>
      </c>
      <c r="L505" s="216">
        <v>75</v>
      </c>
    </row>
    <row r="506" spans="1:12" hidden="1">
      <c r="A506" s="209" t="s">
        <v>3874</v>
      </c>
      <c r="B506" s="69" t="s">
        <v>1610</v>
      </c>
      <c r="C506" s="69" t="s">
        <v>4194</v>
      </c>
      <c r="D506" s="96" t="s">
        <v>1611</v>
      </c>
      <c r="E506" s="69">
        <v>1</v>
      </c>
      <c r="F506" s="123">
        <v>35.68</v>
      </c>
      <c r="G506" s="123">
        <v>41.25</v>
      </c>
      <c r="H506" s="208">
        <v>41.25</v>
      </c>
      <c r="I506" s="215"/>
      <c r="J506" s="215"/>
      <c r="K506" s="215">
        <v>41.25</v>
      </c>
      <c r="L506" s="216">
        <v>35.68</v>
      </c>
    </row>
    <row r="507" spans="1:12" hidden="1">
      <c r="A507" s="209" t="s">
        <v>3874</v>
      </c>
      <c r="B507" s="69" t="s">
        <v>355</v>
      </c>
      <c r="C507" s="69" t="s">
        <v>4195</v>
      </c>
      <c r="D507" s="96" t="s">
        <v>356</v>
      </c>
      <c r="E507" s="69">
        <v>3</v>
      </c>
      <c r="F507" s="123">
        <v>7.48</v>
      </c>
      <c r="G507" s="123">
        <v>8.75</v>
      </c>
      <c r="H507" s="208">
        <v>26.25</v>
      </c>
      <c r="I507" s="215"/>
      <c r="J507" s="215"/>
      <c r="K507" s="215">
        <v>26.25</v>
      </c>
      <c r="L507" s="216">
        <v>22.44</v>
      </c>
    </row>
    <row r="508" spans="1:12" hidden="1">
      <c r="A508" s="209" t="s">
        <v>3874</v>
      </c>
      <c r="B508" s="69" t="s">
        <v>550</v>
      </c>
      <c r="C508" s="69" t="s">
        <v>4195</v>
      </c>
      <c r="D508" s="96" t="s">
        <v>551</v>
      </c>
      <c r="E508" s="69">
        <v>1</v>
      </c>
      <c r="F508" s="123">
        <v>7.48</v>
      </c>
      <c r="G508" s="123">
        <v>8.75</v>
      </c>
      <c r="H508" s="208">
        <v>8.75</v>
      </c>
      <c r="I508" s="215"/>
      <c r="J508" s="215"/>
      <c r="K508" s="215">
        <v>8.75</v>
      </c>
      <c r="L508" s="216">
        <v>7.48</v>
      </c>
    </row>
    <row r="509" spans="1:12" hidden="1">
      <c r="A509" s="209" t="s">
        <v>3874</v>
      </c>
      <c r="B509" s="69" t="s">
        <v>394</v>
      </c>
      <c r="C509" s="69" t="s">
        <v>4195</v>
      </c>
      <c r="D509" s="96" t="s">
        <v>395</v>
      </c>
      <c r="E509" s="69">
        <v>1</v>
      </c>
      <c r="F509" s="123">
        <v>7.48</v>
      </c>
      <c r="G509" s="123">
        <v>8.75</v>
      </c>
      <c r="H509" s="208">
        <v>8.75</v>
      </c>
      <c r="I509" s="215"/>
      <c r="J509" s="215"/>
      <c r="K509" s="215">
        <v>8.75</v>
      </c>
      <c r="L509" s="216">
        <v>7.48</v>
      </c>
    </row>
    <row r="510" spans="1:12" hidden="1">
      <c r="A510" s="209" t="s">
        <v>3874</v>
      </c>
      <c r="B510" s="69" t="s">
        <v>1009</v>
      </c>
      <c r="C510" s="69" t="s">
        <v>4196</v>
      </c>
      <c r="D510" s="96" t="s">
        <v>1010</v>
      </c>
      <c r="E510" s="69">
        <v>2</v>
      </c>
      <c r="F510" s="123">
        <v>10.64</v>
      </c>
      <c r="G510" s="123">
        <v>12.25</v>
      </c>
      <c r="H510" s="208">
        <v>24.5</v>
      </c>
      <c r="I510" s="215"/>
      <c r="J510" s="215"/>
      <c r="K510" s="215">
        <v>24.5</v>
      </c>
      <c r="L510" s="216">
        <v>21.28</v>
      </c>
    </row>
    <row r="511" spans="1:12" hidden="1">
      <c r="A511" s="209" t="s">
        <v>3874</v>
      </c>
      <c r="B511" s="69" t="s">
        <v>2668</v>
      </c>
      <c r="C511" s="69" t="s">
        <v>4197</v>
      </c>
      <c r="D511" s="96" t="s">
        <v>2669</v>
      </c>
      <c r="E511" s="69">
        <v>1</v>
      </c>
      <c r="F511" s="123">
        <v>39.880000000000003</v>
      </c>
      <c r="G511" s="123">
        <v>46</v>
      </c>
      <c r="H511" s="208">
        <v>46</v>
      </c>
      <c r="I511" s="215"/>
      <c r="J511" s="215"/>
      <c r="K511" s="215">
        <v>46</v>
      </c>
      <c r="L511" s="216">
        <v>39.880000000000003</v>
      </c>
    </row>
    <row r="512" spans="1:12" hidden="1">
      <c r="A512" s="209" t="s">
        <v>3874</v>
      </c>
      <c r="B512" s="69" t="s">
        <v>2349</v>
      </c>
      <c r="C512" s="69" t="s">
        <v>4197</v>
      </c>
      <c r="D512" s="96" t="s">
        <v>2350</v>
      </c>
      <c r="E512" s="69">
        <v>1</v>
      </c>
      <c r="F512" s="123">
        <v>43.5</v>
      </c>
      <c r="G512" s="123">
        <v>50</v>
      </c>
      <c r="H512" s="208">
        <v>50</v>
      </c>
      <c r="I512" s="215"/>
      <c r="J512" s="215"/>
      <c r="K512" s="215">
        <v>50</v>
      </c>
      <c r="L512" s="216">
        <v>43.5</v>
      </c>
    </row>
    <row r="513" spans="1:12" hidden="1">
      <c r="A513" s="209" t="s">
        <v>3874</v>
      </c>
      <c r="B513" s="69" t="s">
        <v>3342</v>
      </c>
      <c r="C513" s="69" t="s">
        <v>4198</v>
      </c>
      <c r="D513" s="96" t="s">
        <v>3343</v>
      </c>
      <c r="E513" s="69">
        <v>2</v>
      </c>
      <c r="F513" s="123">
        <v>0.76</v>
      </c>
      <c r="G513" s="123">
        <v>1</v>
      </c>
      <c r="H513" s="208">
        <v>2</v>
      </c>
      <c r="I513" s="215"/>
      <c r="J513" s="215"/>
      <c r="K513" s="215">
        <v>2</v>
      </c>
      <c r="L513" s="216">
        <v>1.52</v>
      </c>
    </row>
    <row r="514" spans="1:12" hidden="1">
      <c r="A514" s="209" t="s">
        <v>3874</v>
      </c>
      <c r="B514" s="69" t="s">
        <v>3743</v>
      </c>
      <c r="C514" s="69" t="s">
        <v>4198</v>
      </c>
      <c r="D514" s="96" t="s">
        <v>3744</v>
      </c>
      <c r="E514" s="69">
        <v>4</v>
      </c>
      <c r="F514" s="123">
        <v>0.81</v>
      </c>
      <c r="G514" s="123">
        <v>1</v>
      </c>
      <c r="H514" s="208">
        <v>4</v>
      </c>
      <c r="I514" s="215"/>
      <c r="J514" s="215"/>
      <c r="K514" s="215">
        <v>4</v>
      </c>
      <c r="L514" s="216">
        <v>3.24</v>
      </c>
    </row>
    <row r="515" spans="1:12" hidden="1">
      <c r="A515" s="209" t="s">
        <v>3874</v>
      </c>
      <c r="B515" s="69" t="s">
        <v>1009</v>
      </c>
      <c r="C515" s="69" t="s">
        <v>4199</v>
      </c>
      <c r="D515" s="96" t="s">
        <v>1010</v>
      </c>
      <c r="E515" s="69">
        <v>1</v>
      </c>
      <c r="F515" s="123">
        <v>10.64</v>
      </c>
      <c r="G515" s="123">
        <v>12.25</v>
      </c>
      <c r="H515" s="208">
        <v>12.25</v>
      </c>
      <c r="I515" s="215"/>
      <c r="J515" s="215"/>
      <c r="K515" s="215">
        <v>12.25</v>
      </c>
      <c r="L515" s="216">
        <v>10.64</v>
      </c>
    </row>
    <row r="516" spans="1:12" hidden="1">
      <c r="A516" s="209" t="s">
        <v>3874</v>
      </c>
      <c r="B516" s="69" t="s">
        <v>3082</v>
      </c>
      <c r="C516" s="69" t="s">
        <v>4200</v>
      </c>
      <c r="D516" s="96" t="s">
        <v>3083</v>
      </c>
      <c r="E516" s="69">
        <v>3</v>
      </c>
      <c r="F516" s="123">
        <v>20.399999999999999</v>
      </c>
      <c r="G516" s="123">
        <v>24</v>
      </c>
      <c r="H516" s="208">
        <v>72</v>
      </c>
      <c r="I516" s="215"/>
      <c r="J516" s="215"/>
      <c r="K516" s="215">
        <v>72</v>
      </c>
      <c r="L516" s="216">
        <v>61.199999999999996</v>
      </c>
    </row>
    <row r="517" spans="1:12" hidden="1">
      <c r="A517" s="209" t="s">
        <v>3874</v>
      </c>
      <c r="B517" s="69" t="s">
        <v>3056</v>
      </c>
      <c r="C517" s="69" t="s">
        <v>4200</v>
      </c>
      <c r="D517" s="96" t="s">
        <v>3057</v>
      </c>
      <c r="E517" s="69">
        <v>2</v>
      </c>
      <c r="F517" s="123">
        <v>69.510000000000005</v>
      </c>
      <c r="G517" s="123">
        <v>80</v>
      </c>
      <c r="H517" s="208">
        <v>160</v>
      </c>
      <c r="I517" s="215"/>
      <c r="J517" s="215"/>
      <c r="K517" s="215">
        <v>160</v>
      </c>
      <c r="L517" s="216">
        <v>139.02000000000001</v>
      </c>
    </row>
    <row r="518" spans="1:12" hidden="1">
      <c r="A518" s="209" t="s">
        <v>3874</v>
      </c>
      <c r="B518" s="69" t="s">
        <v>3745</v>
      </c>
      <c r="C518" s="69" t="s">
        <v>4201</v>
      </c>
      <c r="D518" s="96" t="s">
        <v>3746</v>
      </c>
      <c r="E518" s="69">
        <v>1</v>
      </c>
      <c r="F518" s="123">
        <v>14.5</v>
      </c>
      <c r="G518" s="123">
        <v>16.75</v>
      </c>
      <c r="H518" s="208">
        <v>16.75</v>
      </c>
      <c r="I518" s="215"/>
      <c r="J518" s="215"/>
      <c r="K518" s="215">
        <v>16.75</v>
      </c>
      <c r="L518" s="216">
        <v>14.5</v>
      </c>
    </row>
    <row r="519" spans="1:12" hidden="1">
      <c r="A519" s="209" t="s">
        <v>3874</v>
      </c>
      <c r="B519" s="69" t="s">
        <v>3857</v>
      </c>
      <c r="C519" s="69" t="s">
        <v>4201</v>
      </c>
      <c r="D519" s="96" t="s">
        <v>4079</v>
      </c>
      <c r="E519" s="69">
        <v>5</v>
      </c>
      <c r="F519" s="123">
        <v>1</v>
      </c>
      <c r="G519" s="123">
        <v>1.25</v>
      </c>
      <c r="H519" s="208">
        <v>6.25</v>
      </c>
      <c r="I519" s="215"/>
      <c r="J519" s="215"/>
      <c r="K519" s="215">
        <v>6.25</v>
      </c>
      <c r="L519" s="216">
        <v>5</v>
      </c>
    </row>
    <row r="520" spans="1:12" hidden="1">
      <c r="A520" s="209" t="s">
        <v>3874</v>
      </c>
      <c r="B520" s="69" t="s">
        <v>3366</v>
      </c>
      <c r="C520" s="69" t="s">
        <v>4201</v>
      </c>
      <c r="D520" s="96" t="s">
        <v>3367</v>
      </c>
      <c r="E520" s="69">
        <v>2</v>
      </c>
      <c r="F520" s="123">
        <v>0.81</v>
      </c>
      <c r="G520" s="123">
        <v>1</v>
      </c>
      <c r="H520" s="208">
        <v>2</v>
      </c>
      <c r="I520" s="215"/>
      <c r="J520" s="215"/>
      <c r="K520" s="215">
        <v>2</v>
      </c>
      <c r="L520" s="216">
        <v>1.62</v>
      </c>
    </row>
    <row r="521" spans="1:12" hidden="1">
      <c r="A521" s="209" t="s">
        <v>3874</v>
      </c>
      <c r="B521" s="69" t="s">
        <v>985</v>
      </c>
      <c r="C521" s="69" t="s">
        <v>4202</v>
      </c>
      <c r="D521" s="96" t="s">
        <v>986</v>
      </c>
      <c r="E521" s="69">
        <v>1</v>
      </c>
      <c r="F521" s="123">
        <v>13.32</v>
      </c>
      <c r="G521" s="123">
        <v>15.5</v>
      </c>
      <c r="H521" s="208">
        <v>15.5</v>
      </c>
      <c r="I521" s="215"/>
      <c r="J521" s="215"/>
      <c r="K521" s="215">
        <v>15.5</v>
      </c>
      <c r="L521" s="216">
        <v>13.32</v>
      </c>
    </row>
    <row r="522" spans="1:12" hidden="1">
      <c r="A522" s="209" t="s">
        <v>3874</v>
      </c>
      <c r="B522" s="69" t="s">
        <v>3713</v>
      </c>
      <c r="C522" s="69" t="s">
        <v>4202</v>
      </c>
      <c r="D522" s="96" t="s">
        <v>3714</v>
      </c>
      <c r="E522" s="69">
        <v>1</v>
      </c>
      <c r="F522" s="123">
        <v>9.27</v>
      </c>
      <c r="G522" s="123">
        <v>10.75</v>
      </c>
      <c r="H522" s="208">
        <v>10.75</v>
      </c>
      <c r="I522" s="215"/>
      <c r="J522" s="215"/>
      <c r="K522" s="215">
        <v>10.75</v>
      </c>
      <c r="L522" s="216">
        <v>9.27</v>
      </c>
    </row>
    <row r="523" spans="1:12" hidden="1">
      <c r="A523" s="209" t="s">
        <v>3874</v>
      </c>
      <c r="B523" s="69" t="s">
        <v>273</v>
      </c>
      <c r="C523" s="69" t="s">
        <v>4203</v>
      </c>
      <c r="D523" s="96" t="s">
        <v>274</v>
      </c>
      <c r="E523" s="69">
        <v>1</v>
      </c>
      <c r="F523" s="123">
        <v>15.12</v>
      </c>
      <c r="G523" s="123">
        <v>17.5</v>
      </c>
      <c r="H523" s="208">
        <v>17.5</v>
      </c>
      <c r="I523" s="215"/>
      <c r="J523" s="215"/>
      <c r="K523" s="215">
        <v>17.5</v>
      </c>
      <c r="L523" s="216">
        <v>15.12</v>
      </c>
    </row>
    <row r="524" spans="1:12" hidden="1">
      <c r="A524" s="209" t="s">
        <v>3874</v>
      </c>
      <c r="B524" s="69" t="s">
        <v>1164</v>
      </c>
      <c r="C524" s="69" t="s">
        <v>4204</v>
      </c>
      <c r="D524" s="96" t="s">
        <v>1165</v>
      </c>
      <c r="E524" s="69">
        <v>1</v>
      </c>
      <c r="F524" s="123">
        <v>21.88</v>
      </c>
      <c r="G524" s="123">
        <v>24.5</v>
      </c>
      <c r="H524" s="208">
        <v>24.5</v>
      </c>
      <c r="I524" s="215"/>
      <c r="J524" s="215"/>
      <c r="K524" s="215">
        <v>24.5</v>
      </c>
      <c r="L524" s="216">
        <v>21.88</v>
      </c>
    </row>
    <row r="525" spans="1:12" hidden="1">
      <c r="A525" s="209" t="s">
        <v>3874</v>
      </c>
      <c r="B525" s="69" t="s">
        <v>3875</v>
      </c>
      <c r="C525" s="69" t="s">
        <v>4204</v>
      </c>
      <c r="D525" s="96" t="s">
        <v>4205</v>
      </c>
      <c r="E525" s="69">
        <v>1</v>
      </c>
      <c r="F525" s="123">
        <v>5.85</v>
      </c>
      <c r="G525" s="123">
        <v>7</v>
      </c>
      <c r="H525" s="208">
        <v>7</v>
      </c>
      <c r="I525" s="215"/>
      <c r="J525" s="215"/>
      <c r="K525" s="215">
        <v>7</v>
      </c>
      <c r="L525" s="216">
        <v>5.85</v>
      </c>
    </row>
    <row r="526" spans="1:12" hidden="1">
      <c r="A526" s="209" t="s">
        <v>3874</v>
      </c>
      <c r="B526" s="69" t="s">
        <v>377</v>
      </c>
      <c r="C526" s="69" t="s">
        <v>4206</v>
      </c>
      <c r="D526" s="96" t="s">
        <v>378</v>
      </c>
      <c r="E526" s="69">
        <v>1</v>
      </c>
      <c r="F526" s="123">
        <v>44.8</v>
      </c>
      <c r="G526" s="123">
        <v>51.75</v>
      </c>
      <c r="H526" s="208">
        <v>51.75</v>
      </c>
      <c r="I526" s="215"/>
      <c r="J526" s="215"/>
      <c r="K526" s="215">
        <v>51.75</v>
      </c>
      <c r="L526" s="216">
        <v>44.8</v>
      </c>
    </row>
    <row r="527" spans="1:12" hidden="1">
      <c r="A527" s="209" t="s">
        <v>3874</v>
      </c>
      <c r="B527" s="69" t="s">
        <v>3876</v>
      </c>
      <c r="C527" s="69" t="s">
        <v>4207</v>
      </c>
      <c r="D527" s="96" t="s">
        <v>4208</v>
      </c>
      <c r="E527" s="69">
        <v>1</v>
      </c>
      <c r="F527" s="123">
        <v>6.18</v>
      </c>
      <c r="G527" s="123">
        <v>7.25</v>
      </c>
      <c r="H527" s="208">
        <v>7.25</v>
      </c>
      <c r="I527" s="215"/>
      <c r="J527" s="215"/>
      <c r="K527" s="215">
        <v>7.25</v>
      </c>
      <c r="L527" s="216">
        <v>6.18</v>
      </c>
    </row>
    <row r="528" spans="1:12" hidden="1">
      <c r="A528" s="209" t="s">
        <v>3877</v>
      </c>
      <c r="B528" s="69" t="s">
        <v>3876</v>
      </c>
      <c r="C528" s="69" t="s">
        <v>4209</v>
      </c>
      <c r="D528" s="96" t="s">
        <v>4208</v>
      </c>
      <c r="E528" s="69">
        <v>1</v>
      </c>
      <c r="F528" s="123">
        <v>6.18</v>
      </c>
      <c r="G528" s="123">
        <v>7.25</v>
      </c>
      <c r="H528" s="208">
        <v>7.25</v>
      </c>
      <c r="I528" s="215"/>
      <c r="J528" s="215"/>
      <c r="K528" s="215">
        <v>7.25</v>
      </c>
      <c r="L528" s="216">
        <v>6.18</v>
      </c>
    </row>
    <row r="529" spans="1:12" hidden="1">
      <c r="A529" s="209" t="s">
        <v>3877</v>
      </c>
      <c r="B529" s="69" t="s">
        <v>3366</v>
      </c>
      <c r="C529" s="69" t="s">
        <v>4210</v>
      </c>
      <c r="D529" s="96" t="s">
        <v>3367</v>
      </c>
      <c r="E529" s="69">
        <v>3</v>
      </c>
      <c r="F529" s="123">
        <v>0.81</v>
      </c>
      <c r="G529" s="123">
        <v>1</v>
      </c>
      <c r="H529" s="208">
        <v>3</v>
      </c>
      <c r="I529" s="215"/>
      <c r="J529" s="215"/>
      <c r="K529" s="215">
        <v>3</v>
      </c>
      <c r="L529" s="216">
        <v>2.4300000000000002</v>
      </c>
    </row>
    <row r="530" spans="1:12" hidden="1">
      <c r="A530" s="209" t="s">
        <v>3877</v>
      </c>
      <c r="B530" s="69" t="s">
        <v>302</v>
      </c>
      <c r="C530" s="69" t="s">
        <v>4211</v>
      </c>
      <c r="D530" s="96" t="s">
        <v>303</v>
      </c>
      <c r="E530" s="69">
        <v>1</v>
      </c>
      <c r="F530" s="123">
        <v>15.65</v>
      </c>
      <c r="G530" s="123">
        <v>18</v>
      </c>
      <c r="H530" s="208">
        <v>18</v>
      </c>
      <c r="I530" s="215"/>
      <c r="J530" s="215"/>
      <c r="K530" s="215">
        <v>18</v>
      </c>
      <c r="L530" s="216">
        <v>15.65</v>
      </c>
    </row>
    <row r="531" spans="1:12" hidden="1">
      <c r="A531" s="209" t="s">
        <v>3877</v>
      </c>
      <c r="B531" s="69" t="s">
        <v>1437</v>
      </c>
      <c r="C531" s="69" t="s">
        <v>4212</v>
      </c>
      <c r="D531" s="96" t="s">
        <v>1438</v>
      </c>
      <c r="E531" s="69">
        <v>2</v>
      </c>
      <c r="F531" s="123">
        <v>51.5</v>
      </c>
      <c r="G531" s="123">
        <v>59.25</v>
      </c>
      <c r="H531" s="208">
        <v>118.5</v>
      </c>
      <c r="I531" s="215"/>
      <c r="J531" s="215"/>
      <c r="K531" s="215">
        <v>118.5</v>
      </c>
      <c r="L531" s="216">
        <v>103</v>
      </c>
    </row>
    <row r="532" spans="1:12" hidden="1">
      <c r="A532" s="209" t="s">
        <v>3877</v>
      </c>
      <c r="B532" s="69" t="s">
        <v>1570</v>
      </c>
      <c r="C532" s="69" t="s">
        <v>4212</v>
      </c>
      <c r="D532" s="96" t="s">
        <v>1571</v>
      </c>
      <c r="E532" s="69">
        <v>2</v>
      </c>
      <c r="F532" s="123">
        <v>51.97</v>
      </c>
      <c r="G532" s="123">
        <v>60</v>
      </c>
      <c r="H532" s="208">
        <v>120</v>
      </c>
      <c r="I532" s="215"/>
      <c r="J532" s="215"/>
      <c r="K532" s="215">
        <v>120</v>
      </c>
      <c r="L532" s="216">
        <v>103.94</v>
      </c>
    </row>
    <row r="533" spans="1:12" hidden="1">
      <c r="A533" s="209" t="s">
        <v>3877</v>
      </c>
      <c r="B533" s="69" t="s">
        <v>180</v>
      </c>
      <c r="C533" s="69" t="s">
        <v>4213</v>
      </c>
      <c r="D533" s="96" t="s">
        <v>181</v>
      </c>
      <c r="E533" s="69">
        <v>1</v>
      </c>
      <c r="F533" s="123">
        <v>16.579999999999998</v>
      </c>
      <c r="G533" s="123">
        <v>19</v>
      </c>
      <c r="H533" s="208">
        <v>19</v>
      </c>
      <c r="I533" s="215"/>
      <c r="J533" s="215"/>
      <c r="K533" s="215">
        <v>19</v>
      </c>
      <c r="L533" s="216">
        <v>16.579999999999998</v>
      </c>
    </row>
    <row r="534" spans="1:12" hidden="1">
      <c r="A534" s="209" t="s">
        <v>3877</v>
      </c>
      <c r="B534" s="69" t="s">
        <v>3080</v>
      </c>
      <c r="C534" s="69" t="s">
        <v>4214</v>
      </c>
      <c r="D534" s="96" t="s">
        <v>3081</v>
      </c>
      <c r="E534" s="69">
        <v>1</v>
      </c>
      <c r="F534" s="123">
        <v>20.399999999999999</v>
      </c>
      <c r="G534" s="123">
        <v>23.5</v>
      </c>
      <c r="H534" s="208">
        <v>23.5</v>
      </c>
      <c r="I534" s="215"/>
      <c r="J534" s="215"/>
      <c r="K534" s="215">
        <v>23.5</v>
      </c>
      <c r="L534" s="216">
        <v>20.399999999999999</v>
      </c>
    </row>
    <row r="535" spans="1:12" hidden="1">
      <c r="A535" s="209" t="s">
        <v>3877</v>
      </c>
      <c r="B535" s="69" t="s">
        <v>695</v>
      </c>
      <c r="C535" s="69" t="s">
        <v>4215</v>
      </c>
      <c r="D535" s="96" t="s">
        <v>696</v>
      </c>
      <c r="E535" s="69">
        <v>1</v>
      </c>
      <c r="F535" s="123">
        <v>8.3800000000000008</v>
      </c>
      <c r="G535" s="123">
        <v>9.75</v>
      </c>
      <c r="H535" s="208">
        <v>9.75</v>
      </c>
      <c r="I535" s="215"/>
      <c r="J535" s="215"/>
      <c r="K535" s="215">
        <v>9.75</v>
      </c>
      <c r="L535" s="216">
        <v>8.3800000000000008</v>
      </c>
    </row>
    <row r="536" spans="1:12" hidden="1">
      <c r="A536" s="209" t="s">
        <v>3877</v>
      </c>
      <c r="B536" s="69" t="s">
        <v>468</v>
      </c>
      <c r="C536" s="69" t="s">
        <v>4216</v>
      </c>
      <c r="D536" s="96" t="s">
        <v>469</v>
      </c>
      <c r="E536" s="69">
        <v>1</v>
      </c>
      <c r="F536" s="123">
        <v>81.849999999999994</v>
      </c>
      <c r="G536" s="123">
        <v>90</v>
      </c>
      <c r="H536" s="208">
        <v>90</v>
      </c>
      <c r="I536" s="215"/>
      <c r="J536" s="215"/>
      <c r="K536" s="215">
        <v>90</v>
      </c>
      <c r="L536" s="216">
        <v>81.849999999999994</v>
      </c>
    </row>
    <row r="537" spans="1:12" hidden="1">
      <c r="A537" s="209" t="s">
        <v>3877</v>
      </c>
      <c r="B537" s="69" t="s">
        <v>390</v>
      </c>
      <c r="C537" s="69" t="s">
        <v>4217</v>
      </c>
      <c r="D537" s="96" t="s">
        <v>391</v>
      </c>
      <c r="E537" s="69">
        <v>2</v>
      </c>
      <c r="F537" s="123">
        <v>30.04</v>
      </c>
      <c r="G537" s="123">
        <v>34.75</v>
      </c>
      <c r="H537" s="208">
        <v>69.5</v>
      </c>
      <c r="I537" s="215"/>
      <c r="J537" s="215"/>
      <c r="K537" s="215">
        <v>69.5</v>
      </c>
      <c r="L537" s="216">
        <v>60.08</v>
      </c>
    </row>
    <row r="538" spans="1:12" hidden="1">
      <c r="A538" s="209" t="s">
        <v>3877</v>
      </c>
      <c r="B538" s="69" t="s">
        <v>65</v>
      </c>
      <c r="C538" s="69" t="s">
        <v>4217</v>
      </c>
      <c r="D538" s="96" t="s">
        <v>66</v>
      </c>
      <c r="E538" s="69">
        <v>2</v>
      </c>
      <c r="F538" s="123">
        <v>33.75</v>
      </c>
      <c r="G538" s="123">
        <v>39</v>
      </c>
      <c r="H538" s="208">
        <v>78</v>
      </c>
      <c r="I538" s="215"/>
      <c r="J538" s="215"/>
      <c r="K538" s="215">
        <v>78</v>
      </c>
      <c r="L538" s="216">
        <v>67.5</v>
      </c>
    </row>
    <row r="539" spans="1:12" hidden="1">
      <c r="A539" s="209" t="s">
        <v>3877</v>
      </c>
      <c r="B539" s="69" t="s">
        <v>615</v>
      </c>
      <c r="C539" s="69" t="s">
        <v>4217</v>
      </c>
      <c r="D539" s="96" t="s">
        <v>616</v>
      </c>
      <c r="E539" s="69">
        <v>1</v>
      </c>
      <c r="F539" s="123">
        <v>59.51</v>
      </c>
      <c r="G539" s="123">
        <v>68.5</v>
      </c>
      <c r="H539" s="208">
        <v>68.5</v>
      </c>
      <c r="I539" s="215"/>
      <c r="J539" s="215"/>
      <c r="K539" s="215">
        <v>68.5</v>
      </c>
      <c r="L539" s="216">
        <v>59.51</v>
      </c>
    </row>
    <row r="540" spans="1:12" hidden="1">
      <c r="A540" s="209" t="s">
        <v>3877</v>
      </c>
      <c r="B540" s="69" t="s">
        <v>3708</v>
      </c>
      <c r="C540" s="69" t="s">
        <v>4218</v>
      </c>
      <c r="D540" s="96" t="s">
        <v>3709</v>
      </c>
      <c r="E540" s="69">
        <v>1</v>
      </c>
      <c r="F540" s="123">
        <v>74</v>
      </c>
      <c r="G540" s="123">
        <v>85.25</v>
      </c>
      <c r="H540" s="208">
        <v>85.25</v>
      </c>
      <c r="I540" s="215"/>
      <c r="J540" s="215"/>
      <c r="K540" s="215">
        <v>85.25</v>
      </c>
      <c r="L540" s="216">
        <v>74</v>
      </c>
    </row>
    <row r="541" spans="1:12" hidden="1">
      <c r="A541" s="209" t="s">
        <v>3877</v>
      </c>
      <c r="B541" s="69" t="s">
        <v>1497</v>
      </c>
      <c r="C541" s="69" t="s">
        <v>4219</v>
      </c>
      <c r="D541" s="96" t="s">
        <v>1498</v>
      </c>
      <c r="E541" s="69">
        <v>1</v>
      </c>
      <c r="F541" s="123">
        <v>68.569999999999993</v>
      </c>
      <c r="G541" s="123">
        <v>79</v>
      </c>
      <c r="H541" s="208">
        <v>79</v>
      </c>
      <c r="I541" s="215"/>
      <c r="J541" s="215"/>
      <c r="K541" s="215">
        <v>79</v>
      </c>
      <c r="L541" s="216">
        <v>68.569999999999993</v>
      </c>
    </row>
    <row r="542" spans="1:12" hidden="1">
      <c r="A542" s="209" t="s">
        <v>3877</v>
      </c>
      <c r="B542" s="69" t="s">
        <v>1435</v>
      </c>
      <c r="C542" s="69" t="s">
        <v>4219</v>
      </c>
      <c r="D542" s="96" t="s">
        <v>1436</v>
      </c>
      <c r="E542" s="69">
        <v>1</v>
      </c>
      <c r="F542" s="123">
        <v>35.75</v>
      </c>
      <c r="G542" s="123">
        <v>41.25</v>
      </c>
      <c r="H542" s="208">
        <v>41.25</v>
      </c>
      <c r="I542" s="215"/>
      <c r="J542" s="215"/>
      <c r="K542" s="215">
        <v>41.25</v>
      </c>
      <c r="L542" s="216">
        <v>35.75</v>
      </c>
    </row>
    <row r="543" spans="1:12" hidden="1">
      <c r="A543" s="209" t="s">
        <v>3877</v>
      </c>
      <c r="B543" s="69" t="s">
        <v>444</v>
      </c>
      <c r="C543" s="69" t="s">
        <v>4220</v>
      </c>
      <c r="D543" s="96" t="s">
        <v>445</v>
      </c>
      <c r="E543" s="69">
        <v>1</v>
      </c>
      <c r="F543" s="123">
        <v>40.950000000000003</v>
      </c>
      <c r="G543" s="123">
        <v>45</v>
      </c>
      <c r="H543" s="208">
        <v>45</v>
      </c>
      <c r="I543" s="215"/>
      <c r="J543" s="215"/>
      <c r="K543" s="215">
        <v>45</v>
      </c>
      <c r="L543" s="216">
        <v>40.950000000000003</v>
      </c>
    </row>
    <row r="544" spans="1:12" hidden="1">
      <c r="A544" s="209" t="s">
        <v>3877</v>
      </c>
      <c r="B544" s="69" t="s">
        <v>3875</v>
      </c>
      <c r="C544" s="69" t="s">
        <v>4221</v>
      </c>
      <c r="D544" s="96" t="s">
        <v>4205</v>
      </c>
      <c r="E544" s="69">
        <v>2</v>
      </c>
      <c r="F544" s="123">
        <v>5.85</v>
      </c>
      <c r="G544" s="123">
        <v>7</v>
      </c>
      <c r="H544" s="208">
        <v>14</v>
      </c>
      <c r="I544" s="215"/>
      <c r="J544" s="215"/>
      <c r="K544" s="215">
        <v>14</v>
      </c>
      <c r="L544" s="216">
        <v>11.7</v>
      </c>
    </row>
    <row r="545" spans="1:12" hidden="1">
      <c r="A545" s="209" t="s">
        <v>3877</v>
      </c>
      <c r="B545" s="69" t="s">
        <v>3741</v>
      </c>
      <c r="C545" s="69" t="s">
        <v>4221</v>
      </c>
      <c r="D545" s="96" t="s">
        <v>3742</v>
      </c>
      <c r="E545" s="69">
        <v>2</v>
      </c>
      <c r="F545" s="123">
        <v>6.15</v>
      </c>
      <c r="G545" s="123">
        <v>7.25</v>
      </c>
      <c r="H545" s="208">
        <v>14.5</v>
      </c>
      <c r="I545" s="215"/>
      <c r="J545" s="215"/>
      <c r="K545" s="215">
        <v>14.5</v>
      </c>
      <c r="L545" s="216">
        <v>12.3</v>
      </c>
    </row>
    <row r="546" spans="1:12" hidden="1">
      <c r="A546" s="209" t="s">
        <v>3877</v>
      </c>
      <c r="B546" s="69" t="s">
        <v>3876</v>
      </c>
      <c r="C546" s="69" t="s">
        <v>4222</v>
      </c>
      <c r="D546" s="96" t="s">
        <v>4208</v>
      </c>
      <c r="E546" s="69">
        <v>1</v>
      </c>
      <c r="F546" s="123">
        <v>6.18</v>
      </c>
      <c r="G546" s="123">
        <v>7.25</v>
      </c>
      <c r="H546" s="208">
        <v>7.25</v>
      </c>
      <c r="I546" s="215"/>
      <c r="J546" s="215"/>
      <c r="K546" s="215">
        <v>7.25</v>
      </c>
      <c r="L546" s="216">
        <v>6.18</v>
      </c>
    </row>
    <row r="547" spans="1:12" hidden="1">
      <c r="A547" s="209" t="s">
        <v>3877</v>
      </c>
      <c r="B547" s="69" t="s">
        <v>1057</v>
      </c>
      <c r="C547" s="69" t="s">
        <v>4223</v>
      </c>
      <c r="D547" s="96" t="s">
        <v>1058</v>
      </c>
      <c r="E547" s="69">
        <v>4</v>
      </c>
      <c r="F547" s="123">
        <v>140</v>
      </c>
      <c r="G547" s="123">
        <v>161</v>
      </c>
      <c r="H547" s="208">
        <v>644</v>
      </c>
      <c r="I547" s="215"/>
      <c r="J547" s="215"/>
      <c r="K547" s="215">
        <v>644</v>
      </c>
      <c r="L547" s="216">
        <v>560</v>
      </c>
    </row>
    <row r="548" spans="1:12" hidden="1">
      <c r="A548" s="209" t="s">
        <v>3877</v>
      </c>
      <c r="B548" s="69" t="s">
        <v>1211</v>
      </c>
      <c r="C548" s="69" t="s">
        <v>4223</v>
      </c>
      <c r="D548" s="96" t="s">
        <v>1212</v>
      </c>
      <c r="E548" s="69">
        <v>2</v>
      </c>
      <c r="F548" s="123">
        <v>35.15</v>
      </c>
      <c r="G548" s="123">
        <v>41</v>
      </c>
      <c r="H548" s="208">
        <v>82</v>
      </c>
      <c r="I548" s="215"/>
      <c r="J548" s="215"/>
      <c r="K548" s="215">
        <v>82</v>
      </c>
      <c r="L548" s="216">
        <v>70.3</v>
      </c>
    </row>
    <row r="549" spans="1:12" hidden="1">
      <c r="A549" s="209" t="s">
        <v>3877</v>
      </c>
      <c r="B549" s="69" t="s">
        <v>1636</v>
      </c>
      <c r="C549" s="69" t="s">
        <v>4223</v>
      </c>
      <c r="D549" s="96" t="s">
        <v>1637</v>
      </c>
      <c r="E549" s="69">
        <v>2</v>
      </c>
      <c r="F549" s="123">
        <v>67.290000000000006</v>
      </c>
      <c r="G549" s="123">
        <v>77.5</v>
      </c>
      <c r="H549" s="208">
        <v>155</v>
      </c>
      <c r="I549" s="215"/>
      <c r="J549" s="215"/>
      <c r="K549" s="215">
        <v>155</v>
      </c>
      <c r="L549" s="216">
        <v>134.58000000000001</v>
      </c>
    </row>
    <row r="550" spans="1:12" hidden="1">
      <c r="A550" s="209" t="s">
        <v>3877</v>
      </c>
      <c r="B550" s="69" t="s">
        <v>1214</v>
      </c>
      <c r="C550" s="69" t="s">
        <v>4223</v>
      </c>
      <c r="D550" s="96" t="s">
        <v>1215</v>
      </c>
      <c r="E550" s="69">
        <v>1</v>
      </c>
      <c r="F550" s="123">
        <v>134.53</v>
      </c>
      <c r="G550" s="123">
        <v>154.75</v>
      </c>
      <c r="H550" s="208">
        <v>154.75</v>
      </c>
      <c r="I550" s="215"/>
      <c r="J550" s="215"/>
      <c r="K550" s="215">
        <v>154.75</v>
      </c>
      <c r="L550" s="216">
        <v>134.53</v>
      </c>
    </row>
    <row r="551" spans="1:12" hidden="1">
      <c r="A551" s="209" t="s">
        <v>3877</v>
      </c>
      <c r="B551" s="69" t="s">
        <v>1297</v>
      </c>
      <c r="C551" s="69" t="s">
        <v>4223</v>
      </c>
      <c r="D551" s="96" t="s">
        <v>1298</v>
      </c>
      <c r="E551" s="69">
        <v>3</v>
      </c>
      <c r="F551" s="123">
        <v>53.81</v>
      </c>
      <c r="G551" s="123">
        <v>62</v>
      </c>
      <c r="H551" s="208">
        <v>186</v>
      </c>
      <c r="I551" s="215"/>
      <c r="J551" s="215"/>
      <c r="K551" s="215">
        <v>186</v>
      </c>
      <c r="L551" s="216">
        <v>161.43</v>
      </c>
    </row>
    <row r="552" spans="1:12" hidden="1">
      <c r="A552" s="209" t="s">
        <v>3877</v>
      </c>
      <c r="B552" s="69" t="s">
        <v>1556</v>
      </c>
      <c r="C552" s="69" t="s">
        <v>4223</v>
      </c>
      <c r="D552" s="96" t="s">
        <v>1557</v>
      </c>
      <c r="E552" s="69">
        <v>10</v>
      </c>
      <c r="F552" s="123">
        <v>6.02</v>
      </c>
      <c r="G552" s="123">
        <v>7.25</v>
      </c>
      <c r="H552" s="208">
        <v>72.5</v>
      </c>
      <c r="I552" s="215"/>
      <c r="J552" s="215"/>
      <c r="K552" s="215">
        <v>72.5</v>
      </c>
      <c r="L552" s="216">
        <v>60.199999999999996</v>
      </c>
    </row>
    <row r="553" spans="1:12" hidden="1">
      <c r="A553" s="209" t="s">
        <v>3877</v>
      </c>
      <c r="B553" s="69" t="s">
        <v>2505</v>
      </c>
      <c r="C553" s="69" t="s">
        <v>4223</v>
      </c>
      <c r="D553" s="96" t="s">
        <v>2506</v>
      </c>
      <c r="E553" s="69">
        <v>1</v>
      </c>
      <c r="F553" s="123">
        <v>55.8</v>
      </c>
      <c r="G553" s="123">
        <v>64.25</v>
      </c>
      <c r="H553" s="208">
        <v>64.25</v>
      </c>
      <c r="I553" s="215"/>
      <c r="J553" s="215"/>
      <c r="K553" s="215">
        <v>64.25</v>
      </c>
      <c r="L553" s="216">
        <v>55.8</v>
      </c>
    </row>
    <row r="554" spans="1:12" hidden="1">
      <c r="A554" s="209" t="s">
        <v>3877</v>
      </c>
      <c r="B554" s="69" t="s">
        <v>408</v>
      </c>
      <c r="C554" s="69" t="s">
        <v>4224</v>
      </c>
      <c r="D554" s="96" t="s">
        <v>409</v>
      </c>
      <c r="E554" s="69">
        <v>1</v>
      </c>
      <c r="F554" s="123">
        <v>20.68</v>
      </c>
      <c r="G554" s="123">
        <v>24</v>
      </c>
      <c r="H554" s="208">
        <v>24</v>
      </c>
      <c r="I554" s="215"/>
      <c r="J554" s="215"/>
      <c r="K554" s="215">
        <v>24</v>
      </c>
      <c r="L554" s="216">
        <v>20.68</v>
      </c>
    </row>
    <row r="555" spans="1:12" hidden="1">
      <c r="A555" s="209" t="s">
        <v>3877</v>
      </c>
      <c r="B555" s="69" t="s">
        <v>3749</v>
      </c>
      <c r="C555" s="69" t="s">
        <v>4224</v>
      </c>
      <c r="D555" s="96" t="s">
        <v>3750</v>
      </c>
      <c r="E555" s="69">
        <v>1</v>
      </c>
      <c r="F555" s="123">
        <v>50.88</v>
      </c>
      <c r="G555" s="123">
        <v>58.75</v>
      </c>
      <c r="H555" s="208">
        <v>58.75</v>
      </c>
      <c r="I555" s="215"/>
      <c r="J555" s="215"/>
      <c r="K555" s="215">
        <v>58.75</v>
      </c>
      <c r="L555" s="216">
        <v>50.88</v>
      </c>
    </row>
    <row r="556" spans="1:12" hidden="1">
      <c r="A556" s="209" t="s">
        <v>3877</v>
      </c>
      <c r="B556" s="69" t="s">
        <v>695</v>
      </c>
      <c r="C556" s="69" t="s">
        <v>4225</v>
      </c>
      <c r="D556" s="96" t="s">
        <v>696</v>
      </c>
      <c r="E556" s="69">
        <v>1</v>
      </c>
      <c r="F556" s="123">
        <v>8.3800000000000008</v>
      </c>
      <c r="G556" s="123">
        <v>9.75</v>
      </c>
      <c r="H556" s="208">
        <v>9.75</v>
      </c>
      <c r="I556" s="215"/>
      <c r="J556" s="215"/>
      <c r="K556" s="215">
        <v>9.75</v>
      </c>
      <c r="L556" s="216">
        <v>8.3800000000000008</v>
      </c>
    </row>
    <row r="557" spans="1:12" hidden="1">
      <c r="A557" s="209" t="s">
        <v>3877</v>
      </c>
      <c r="B557" s="69" t="s">
        <v>410</v>
      </c>
      <c r="C557" s="69" t="s">
        <v>4225</v>
      </c>
      <c r="D557" s="96" t="s">
        <v>411</v>
      </c>
      <c r="E557" s="69">
        <v>1</v>
      </c>
      <c r="F557" s="123">
        <v>8.5299999999999994</v>
      </c>
      <c r="G557" s="123">
        <v>10</v>
      </c>
      <c r="H557" s="208">
        <v>10</v>
      </c>
      <c r="I557" s="215"/>
      <c r="J557" s="215"/>
      <c r="K557" s="215">
        <v>10</v>
      </c>
      <c r="L557" s="216">
        <v>8.5299999999999994</v>
      </c>
    </row>
    <row r="558" spans="1:12" hidden="1">
      <c r="A558" s="209" t="s">
        <v>3877</v>
      </c>
      <c r="B558" s="69" t="s">
        <v>874</v>
      </c>
      <c r="C558" s="69" t="s">
        <v>4225</v>
      </c>
      <c r="D558" s="96" t="s">
        <v>875</v>
      </c>
      <c r="E558" s="69">
        <v>1</v>
      </c>
      <c r="F558" s="123">
        <v>8.1999999999999993</v>
      </c>
      <c r="G558" s="123">
        <v>9.5</v>
      </c>
      <c r="H558" s="208">
        <v>9.5</v>
      </c>
      <c r="I558" s="215"/>
      <c r="J558" s="215"/>
      <c r="K558" s="215">
        <v>9.5</v>
      </c>
      <c r="L558" s="216">
        <v>8.1999999999999993</v>
      </c>
    </row>
    <row r="559" spans="1:12" hidden="1">
      <c r="A559" s="209" t="s">
        <v>3877</v>
      </c>
      <c r="B559" s="69" t="s">
        <v>1211</v>
      </c>
      <c r="C559" s="69" t="s">
        <v>4226</v>
      </c>
      <c r="D559" s="96" t="s">
        <v>1212</v>
      </c>
      <c r="E559" s="69">
        <v>2</v>
      </c>
      <c r="F559" s="123">
        <v>35.15</v>
      </c>
      <c r="G559" s="123">
        <v>41</v>
      </c>
      <c r="H559" s="208">
        <v>82</v>
      </c>
      <c r="I559" s="215"/>
      <c r="J559" s="215"/>
      <c r="K559" s="215">
        <v>82</v>
      </c>
      <c r="L559" s="216">
        <v>70.3</v>
      </c>
    </row>
    <row r="560" spans="1:12" hidden="1">
      <c r="A560" s="209" t="s">
        <v>3877</v>
      </c>
      <c r="B560" s="69" t="s">
        <v>1297</v>
      </c>
      <c r="C560" s="69" t="s">
        <v>4226</v>
      </c>
      <c r="D560" s="96" t="s">
        <v>1298</v>
      </c>
      <c r="E560" s="69">
        <v>1</v>
      </c>
      <c r="F560" s="123">
        <v>53.81</v>
      </c>
      <c r="G560" s="123">
        <v>62</v>
      </c>
      <c r="H560" s="208">
        <v>62</v>
      </c>
      <c r="I560" s="215"/>
      <c r="J560" s="215"/>
      <c r="K560" s="215">
        <v>62</v>
      </c>
      <c r="L560" s="216">
        <v>53.81</v>
      </c>
    </row>
    <row r="561" spans="1:12" hidden="1">
      <c r="A561" s="209" t="s">
        <v>3877</v>
      </c>
      <c r="B561" s="69" t="s">
        <v>1636</v>
      </c>
      <c r="C561" s="69" t="s">
        <v>4226</v>
      </c>
      <c r="D561" s="96" t="s">
        <v>1637</v>
      </c>
      <c r="E561" s="69">
        <v>2</v>
      </c>
      <c r="F561" s="123">
        <v>67.290000000000006</v>
      </c>
      <c r="G561" s="123">
        <v>77.5</v>
      </c>
      <c r="H561" s="208">
        <v>155</v>
      </c>
      <c r="I561" s="215"/>
      <c r="J561" s="215"/>
      <c r="K561" s="215">
        <v>155</v>
      </c>
      <c r="L561" s="216">
        <v>134.58000000000001</v>
      </c>
    </row>
    <row r="562" spans="1:12" hidden="1">
      <c r="A562" s="209" t="s">
        <v>3877</v>
      </c>
      <c r="B562" s="69" t="s">
        <v>1604</v>
      </c>
      <c r="C562" s="69" t="s">
        <v>4226</v>
      </c>
      <c r="D562" s="96" t="s">
        <v>1605</v>
      </c>
      <c r="E562" s="69">
        <v>3</v>
      </c>
      <c r="F562" s="123">
        <v>20.8</v>
      </c>
      <c r="G562" s="123">
        <v>24</v>
      </c>
      <c r="H562" s="208">
        <v>72</v>
      </c>
      <c r="I562" s="215"/>
      <c r="J562" s="215"/>
      <c r="K562" s="215">
        <v>72</v>
      </c>
      <c r="L562" s="216">
        <v>62.400000000000006</v>
      </c>
    </row>
    <row r="563" spans="1:12" hidden="1">
      <c r="A563" s="209" t="s">
        <v>3877</v>
      </c>
      <c r="B563" s="69" t="s">
        <v>1527</v>
      </c>
      <c r="C563" s="69" t="s">
        <v>4226</v>
      </c>
      <c r="D563" s="96" t="s">
        <v>1528</v>
      </c>
      <c r="E563" s="69">
        <v>2</v>
      </c>
      <c r="F563" s="123">
        <v>94.76</v>
      </c>
      <c r="G563" s="123">
        <v>109</v>
      </c>
      <c r="H563" s="208">
        <v>218</v>
      </c>
      <c r="I563" s="215"/>
      <c r="J563" s="215"/>
      <c r="K563" s="215">
        <v>218</v>
      </c>
      <c r="L563" s="216">
        <v>189.52</v>
      </c>
    </row>
    <row r="564" spans="1:12" hidden="1">
      <c r="A564" s="209" t="s">
        <v>3877</v>
      </c>
      <c r="B564" s="69" t="s">
        <v>3080</v>
      </c>
      <c r="C564" s="69" t="s">
        <v>4227</v>
      </c>
      <c r="D564" s="96" t="s">
        <v>3081</v>
      </c>
      <c r="E564" s="69">
        <v>1</v>
      </c>
      <c r="F564" s="123">
        <v>20.399999999999999</v>
      </c>
      <c r="G564" s="123">
        <v>23.5</v>
      </c>
      <c r="H564" s="208">
        <v>23.5</v>
      </c>
      <c r="I564" s="215"/>
      <c r="J564" s="215"/>
      <c r="K564" s="215">
        <v>23.5</v>
      </c>
      <c r="L564" s="216">
        <v>20.399999999999999</v>
      </c>
    </row>
    <row r="565" spans="1:12" hidden="1">
      <c r="A565" s="209" t="s">
        <v>3877</v>
      </c>
      <c r="B565" s="69" t="s">
        <v>3658</v>
      </c>
      <c r="C565" s="69" t="s">
        <v>4228</v>
      </c>
      <c r="D565" s="96" t="s">
        <v>3659</v>
      </c>
      <c r="E565" s="69">
        <v>1</v>
      </c>
      <c r="F565" s="123">
        <v>13.12</v>
      </c>
      <c r="G565" s="123">
        <v>15.25</v>
      </c>
      <c r="H565" s="208">
        <v>15.25</v>
      </c>
      <c r="I565" s="215"/>
      <c r="J565" s="215"/>
      <c r="K565" s="215">
        <v>15.25</v>
      </c>
      <c r="L565" s="216">
        <v>13.12</v>
      </c>
    </row>
    <row r="566" spans="1:12" hidden="1">
      <c r="A566" s="209" t="s">
        <v>3877</v>
      </c>
      <c r="B566" s="69" t="s">
        <v>877</v>
      </c>
      <c r="C566" s="69" t="s">
        <v>4229</v>
      </c>
      <c r="D566" s="96" t="s">
        <v>878</v>
      </c>
      <c r="E566" s="69">
        <v>1</v>
      </c>
      <c r="F566" s="123">
        <v>8.1999999999999993</v>
      </c>
      <c r="G566" s="123">
        <v>9.5</v>
      </c>
      <c r="H566" s="208">
        <v>9.5</v>
      </c>
      <c r="I566" s="215"/>
      <c r="J566" s="215"/>
      <c r="K566" s="215">
        <v>9.5</v>
      </c>
      <c r="L566" s="216">
        <v>8.1999999999999993</v>
      </c>
    </row>
    <row r="567" spans="1:12" hidden="1">
      <c r="A567" s="209" t="s">
        <v>3877</v>
      </c>
      <c r="B567" s="69" t="s">
        <v>102</v>
      </c>
      <c r="C567" s="69" t="s">
        <v>4230</v>
      </c>
      <c r="D567" s="96" t="s">
        <v>103</v>
      </c>
      <c r="E567" s="69">
        <v>3</v>
      </c>
      <c r="F567" s="123">
        <v>7.06</v>
      </c>
      <c r="G567" s="123">
        <v>8.25</v>
      </c>
      <c r="H567" s="208">
        <v>24.75</v>
      </c>
      <c r="I567" s="215"/>
      <c r="J567" s="215"/>
      <c r="K567" s="215">
        <v>24.75</v>
      </c>
      <c r="L567" s="216">
        <v>21.18</v>
      </c>
    </row>
    <row r="568" spans="1:12" hidden="1">
      <c r="A568" s="209" t="s">
        <v>3877</v>
      </c>
      <c r="B568" s="69" t="s">
        <v>1497</v>
      </c>
      <c r="C568" s="69" t="s">
        <v>4231</v>
      </c>
      <c r="D568" s="96" t="s">
        <v>1498</v>
      </c>
      <c r="E568" s="69">
        <v>7</v>
      </c>
      <c r="F568" s="123">
        <v>68.569999999999993</v>
      </c>
      <c r="G568" s="123">
        <v>79</v>
      </c>
      <c r="H568" s="208">
        <v>553</v>
      </c>
      <c r="I568" s="215"/>
      <c r="J568" s="215"/>
      <c r="K568" s="215">
        <v>553</v>
      </c>
      <c r="L568" s="216">
        <v>479.98999999999995</v>
      </c>
    </row>
    <row r="569" spans="1:12" hidden="1">
      <c r="A569" s="209" t="s">
        <v>3877</v>
      </c>
      <c r="B569" s="69" t="s">
        <v>3871</v>
      </c>
      <c r="C569" s="69" t="s">
        <v>4232</v>
      </c>
      <c r="D569" s="96" t="s">
        <v>4149</v>
      </c>
      <c r="E569" s="69">
        <v>1</v>
      </c>
      <c r="F569" s="123">
        <v>30</v>
      </c>
      <c r="G569" s="123">
        <v>40</v>
      </c>
      <c r="H569" s="208">
        <v>40</v>
      </c>
      <c r="I569" s="215"/>
      <c r="J569" s="215"/>
      <c r="K569" s="215">
        <v>40</v>
      </c>
      <c r="L569" s="216">
        <v>30</v>
      </c>
    </row>
    <row r="570" spans="1:12" hidden="1">
      <c r="A570" s="209" t="s">
        <v>3877</v>
      </c>
      <c r="B570" s="69" t="s">
        <v>2237</v>
      </c>
      <c r="C570" s="69" t="s">
        <v>4233</v>
      </c>
      <c r="D570" s="96" t="s">
        <v>2238</v>
      </c>
      <c r="E570" s="69">
        <v>1</v>
      </c>
      <c r="F570" s="123">
        <v>47.5</v>
      </c>
      <c r="G570" s="123">
        <v>54.75</v>
      </c>
      <c r="H570" s="208">
        <v>54.75</v>
      </c>
      <c r="I570" s="215"/>
      <c r="J570" s="215"/>
      <c r="K570" s="215">
        <v>54.75</v>
      </c>
      <c r="L570" s="216">
        <v>47.5</v>
      </c>
    </row>
    <row r="571" spans="1:12" hidden="1">
      <c r="A571" s="209" t="s">
        <v>3877</v>
      </c>
      <c r="B571" s="69" t="s">
        <v>3876</v>
      </c>
      <c r="C571" s="69" t="s">
        <v>4234</v>
      </c>
      <c r="D571" s="96" t="s">
        <v>4208</v>
      </c>
      <c r="E571" s="69">
        <v>1</v>
      </c>
      <c r="F571" s="123">
        <v>6.18</v>
      </c>
      <c r="G571" s="123">
        <v>7.25</v>
      </c>
      <c r="H571" s="208">
        <v>7.25</v>
      </c>
      <c r="I571" s="215"/>
      <c r="J571" s="215"/>
      <c r="K571" s="215">
        <v>7.25</v>
      </c>
      <c r="L571" s="216">
        <v>6.18</v>
      </c>
    </row>
    <row r="572" spans="1:12" hidden="1">
      <c r="A572" s="209" t="s">
        <v>3878</v>
      </c>
      <c r="B572" s="69" t="s">
        <v>969</v>
      </c>
      <c r="C572" s="69" t="s">
        <v>4235</v>
      </c>
      <c r="D572" s="96" t="s">
        <v>970</v>
      </c>
      <c r="E572" s="69">
        <v>1</v>
      </c>
      <c r="F572" s="123">
        <v>25.69</v>
      </c>
      <c r="G572" s="123">
        <v>29.75</v>
      </c>
      <c r="H572" s="208">
        <v>29.75</v>
      </c>
      <c r="I572" s="215"/>
      <c r="J572" s="215"/>
      <c r="K572" s="215">
        <v>29.75</v>
      </c>
      <c r="L572" s="216">
        <v>25.69</v>
      </c>
    </row>
    <row r="573" spans="1:12" hidden="1">
      <c r="A573" s="209" t="s">
        <v>3878</v>
      </c>
      <c r="B573" s="69" t="s">
        <v>2961</v>
      </c>
      <c r="C573" s="69" t="s">
        <v>4236</v>
      </c>
      <c r="D573" s="96" t="s">
        <v>2962</v>
      </c>
      <c r="E573" s="69">
        <v>2</v>
      </c>
      <c r="F573" s="123">
        <v>90</v>
      </c>
      <c r="G573" s="123">
        <v>120</v>
      </c>
      <c r="H573" s="208">
        <v>240</v>
      </c>
      <c r="I573" s="215"/>
      <c r="J573" s="215"/>
      <c r="K573" s="215">
        <v>240</v>
      </c>
      <c r="L573" s="216">
        <v>180</v>
      </c>
    </row>
    <row r="574" spans="1:12" hidden="1">
      <c r="A574" s="209" t="s">
        <v>3878</v>
      </c>
      <c r="B574" s="69" t="s">
        <v>3222</v>
      </c>
      <c r="C574" s="69" t="s">
        <v>4237</v>
      </c>
      <c r="D574" s="96" t="s">
        <v>3223</v>
      </c>
      <c r="E574" s="69">
        <v>1</v>
      </c>
      <c r="F574" s="123">
        <v>22.73</v>
      </c>
      <c r="G574" s="123">
        <v>26.25</v>
      </c>
      <c r="H574" s="208">
        <v>26.25</v>
      </c>
      <c r="I574" s="215"/>
      <c r="J574" s="215"/>
      <c r="K574" s="215">
        <v>26.25</v>
      </c>
      <c r="L574" s="216">
        <v>22.73</v>
      </c>
    </row>
    <row r="575" spans="1:12" hidden="1">
      <c r="A575" s="209" t="s">
        <v>3878</v>
      </c>
      <c r="B575" s="69" t="s">
        <v>3284</v>
      </c>
      <c r="C575" s="69" t="s">
        <v>4238</v>
      </c>
      <c r="D575" s="96" t="s">
        <v>3285</v>
      </c>
      <c r="E575" s="69">
        <v>1</v>
      </c>
      <c r="F575" s="123">
        <v>23.13</v>
      </c>
      <c r="G575" s="123">
        <v>30.25</v>
      </c>
      <c r="H575" s="208">
        <v>30.25</v>
      </c>
      <c r="I575" s="215"/>
      <c r="J575" s="215"/>
      <c r="K575" s="215">
        <v>30.25</v>
      </c>
      <c r="L575" s="216">
        <v>23.13</v>
      </c>
    </row>
    <row r="576" spans="1:12" hidden="1">
      <c r="A576" s="209" t="s">
        <v>3878</v>
      </c>
      <c r="B576" s="69" t="s">
        <v>3286</v>
      </c>
      <c r="C576" s="69" t="s">
        <v>4238</v>
      </c>
      <c r="D576" s="96" t="s">
        <v>3287</v>
      </c>
      <c r="E576" s="69">
        <v>1</v>
      </c>
      <c r="F576" s="123">
        <v>19.47</v>
      </c>
      <c r="G576" s="123">
        <v>23</v>
      </c>
      <c r="H576" s="208">
        <v>23</v>
      </c>
      <c r="I576" s="215"/>
      <c r="J576" s="215"/>
      <c r="K576" s="215">
        <v>23</v>
      </c>
      <c r="L576" s="216">
        <v>19.47</v>
      </c>
    </row>
    <row r="577" spans="1:12" hidden="1">
      <c r="A577" s="209" t="s">
        <v>3878</v>
      </c>
      <c r="B577" s="69" t="s">
        <v>695</v>
      </c>
      <c r="C577" s="69" t="s">
        <v>4238</v>
      </c>
      <c r="D577" s="96" t="s">
        <v>696</v>
      </c>
      <c r="E577" s="69">
        <v>1</v>
      </c>
      <c r="F577" s="123">
        <v>8.3800000000000008</v>
      </c>
      <c r="G577" s="123">
        <v>9.75</v>
      </c>
      <c r="H577" s="208">
        <v>9.75</v>
      </c>
      <c r="I577" s="215"/>
      <c r="J577" s="215"/>
      <c r="K577" s="215">
        <v>9.75</v>
      </c>
      <c r="L577" s="216">
        <v>8.3800000000000008</v>
      </c>
    </row>
    <row r="578" spans="1:12" hidden="1">
      <c r="A578" s="209" t="s">
        <v>3878</v>
      </c>
      <c r="B578" s="69" t="s">
        <v>404</v>
      </c>
      <c r="C578" s="69" t="s">
        <v>4238</v>
      </c>
      <c r="D578" s="96" t="s">
        <v>405</v>
      </c>
      <c r="E578" s="69">
        <v>1</v>
      </c>
      <c r="F578" s="123">
        <v>68.540000000000006</v>
      </c>
      <c r="G578" s="123">
        <v>79</v>
      </c>
      <c r="H578" s="208">
        <v>79</v>
      </c>
      <c r="I578" s="215"/>
      <c r="J578" s="215"/>
      <c r="K578" s="215">
        <v>79</v>
      </c>
      <c r="L578" s="216">
        <v>68.540000000000006</v>
      </c>
    </row>
    <row r="579" spans="1:12" hidden="1">
      <c r="A579" s="209" t="s">
        <v>3878</v>
      </c>
      <c r="B579" s="69" t="s">
        <v>2961</v>
      </c>
      <c r="C579" s="69" t="s">
        <v>4239</v>
      </c>
      <c r="D579" s="96" t="s">
        <v>2962</v>
      </c>
      <c r="E579" s="69">
        <v>1</v>
      </c>
      <c r="F579" s="123">
        <v>90</v>
      </c>
      <c r="G579" s="123">
        <v>120</v>
      </c>
      <c r="H579" s="208">
        <v>120</v>
      </c>
      <c r="I579" s="215"/>
      <c r="J579" s="215"/>
      <c r="K579" s="215">
        <v>120</v>
      </c>
      <c r="L579" s="216">
        <v>90</v>
      </c>
    </row>
    <row r="580" spans="1:12" hidden="1">
      <c r="A580" s="209" t="s">
        <v>3878</v>
      </c>
      <c r="B580" s="69" t="s">
        <v>267</v>
      </c>
      <c r="C580" s="69" t="s">
        <v>4239</v>
      </c>
      <c r="D580" s="96" t="s">
        <v>268</v>
      </c>
      <c r="E580" s="69">
        <v>1</v>
      </c>
      <c r="F580" s="123">
        <v>60</v>
      </c>
      <c r="G580" s="123">
        <v>75</v>
      </c>
      <c r="H580" s="208">
        <v>75</v>
      </c>
      <c r="I580" s="215"/>
      <c r="J580" s="215"/>
      <c r="K580" s="215">
        <v>75</v>
      </c>
      <c r="L580" s="216">
        <v>60</v>
      </c>
    </row>
    <row r="581" spans="1:12" hidden="1">
      <c r="A581" s="209" t="s">
        <v>3878</v>
      </c>
      <c r="B581" s="69" t="s">
        <v>960</v>
      </c>
      <c r="C581" s="69" t="s">
        <v>4239</v>
      </c>
      <c r="D581" s="96" t="s">
        <v>961</v>
      </c>
      <c r="E581" s="69">
        <v>1</v>
      </c>
      <c r="F581" s="123">
        <v>300</v>
      </c>
      <c r="G581" s="123">
        <v>450</v>
      </c>
      <c r="H581" s="208">
        <v>450</v>
      </c>
      <c r="I581" s="215"/>
      <c r="J581" s="215"/>
      <c r="K581" s="215">
        <v>450</v>
      </c>
      <c r="L581" s="216">
        <v>300</v>
      </c>
    </row>
    <row r="582" spans="1:12" hidden="1">
      <c r="A582" s="209" t="s">
        <v>3878</v>
      </c>
      <c r="B582" s="69" t="s">
        <v>588</v>
      </c>
      <c r="C582" s="69" t="s">
        <v>4240</v>
      </c>
      <c r="D582" s="96" t="s">
        <v>589</v>
      </c>
      <c r="E582" s="69">
        <v>1</v>
      </c>
      <c r="F582" s="123">
        <v>50.5</v>
      </c>
      <c r="G582" s="123">
        <v>58.25</v>
      </c>
      <c r="H582" s="208">
        <v>58.25</v>
      </c>
      <c r="I582" s="215"/>
      <c r="J582" s="215"/>
      <c r="K582" s="215">
        <v>58.25</v>
      </c>
      <c r="L582" s="216">
        <v>50.5</v>
      </c>
    </row>
    <row r="583" spans="1:12" hidden="1">
      <c r="A583" s="209" t="s">
        <v>3878</v>
      </c>
      <c r="B583" s="69" t="s">
        <v>864</v>
      </c>
      <c r="C583" s="69" t="s">
        <v>4241</v>
      </c>
      <c r="D583" s="96" t="s">
        <v>865</v>
      </c>
      <c r="E583" s="69">
        <v>1</v>
      </c>
      <c r="F583" s="123">
        <v>23.82</v>
      </c>
      <c r="G583" s="123">
        <v>27.5</v>
      </c>
      <c r="H583" s="208">
        <v>27.5</v>
      </c>
      <c r="I583" s="215"/>
      <c r="J583" s="215"/>
      <c r="K583" s="215">
        <v>27.5</v>
      </c>
      <c r="L583" s="216">
        <v>23.82</v>
      </c>
    </row>
    <row r="584" spans="1:12" hidden="1">
      <c r="A584" s="209" t="s">
        <v>3878</v>
      </c>
      <c r="B584" s="69" t="s">
        <v>3875</v>
      </c>
      <c r="C584" s="69" t="s">
        <v>4242</v>
      </c>
      <c r="D584" s="96" t="s">
        <v>4205</v>
      </c>
      <c r="E584" s="69">
        <v>1</v>
      </c>
      <c r="F584" s="123">
        <v>5.85</v>
      </c>
      <c r="G584" s="123">
        <v>7</v>
      </c>
      <c r="H584" s="208">
        <v>7</v>
      </c>
      <c r="I584" s="215"/>
      <c r="J584" s="215"/>
      <c r="K584" s="215">
        <v>7</v>
      </c>
      <c r="L584" s="216">
        <v>5.85</v>
      </c>
    </row>
    <row r="585" spans="1:12" hidden="1">
      <c r="A585" s="209" t="s">
        <v>3878</v>
      </c>
      <c r="B585" s="69" t="s">
        <v>3854</v>
      </c>
      <c r="C585" s="69" t="s">
        <v>4242</v>
      </c>
      <c r="D585" s="96" t="s">
        <v>4053</v>
      </c>
      <c r="E585" s="69">
        <v>1</v>
      </c>
      <c r="F585" s="123">
        <v>5.8</v>
      </c>
      <c r="G585" s="123">
        <v>7</v>
      </c>
      <c r="H585" s="208">
        <v>7</v>
      </c>
      <c r="I585" s="215"/>
      <c r="J585" s="215"/>
      <c r="K585" s="215">
        <v>7</v>
      </c>
      <c r="L585" s="216">
        <v>5.8</v>
      </c>
    </row>
    <row r="586" spans="1:12" hidden="1">
      <c r="A586" s="209" t="s">
        <v>3878</v>
      </c>
      <c r="B586" s="69" t="s">
        <v>3366</v>
      </c>
      <c r="C586" s="69" t="s">
        <v>4243</v>
      </c>
      <c r="D586" s="96" t="s">
        <v>3367</v>
      </c>
      <c r="E586" s="69">
        <v>2</v>
      </c>
      <c r="F586" s="123">
        <v>0.81</v>
      </c>
      <c r="G586" s="123">
        <v>1</v>
      </c>
      <c r="H586" s="208">
        <v>2</v>
      </c>
      <c r="I586" s="215"/>
      <c r="J586" s="215"/>
      <c r="K586" s="215">
        <v>2</v>
      </c>
      <c r="L586" s="216">
        <v>1.62</v>
      </c>
    </row>
    <row r="587" spans="1:12" hidden="1">
      <c r="A587" s="209" t="s">
        <v>3878</v>
      </c>
      <c r="B587" s="69" t="s">
        <v>823</v>
      </c>
      <c r="C587" s="69" t="s">
        <v>4244</v>
      </c>
      <c r="D587" s="96" t="s">
        <v>824</v>
      </c>
      <c r="E587" s="69">
        <v>2</v>
      </c>
      <c r="F587" s="123">
        <v>46.3</v>
      </c>
      <c r="G587" s="123">
        <v>53.25</v>
      </c>
      <c r="H587" s="208">
        <v>106.5</v>
      </c>
      <c r="I587" s="215"/>
      <c r="J587" s="215"/>
      <c r="K587" s="215">
        <v>106.5</v>
      </c>
      <c r="L587" s="216">
        <v>92.6</v>
      </c>
    </row>
    <row r="588" spans="1:12" hidden="1">
      <c r="A588" s="209" t="s">
        <v>3878</v>
      </c>
      <c r="B588" s="69" t="s">
        <v>1333</v>
      </c>
      <c r="C588" s="69" t="s">
        <v>4245</v>
      </c>
      <c r="D588" s="96" t="s">
        <v>1334</v>
      </c>
      <c r="E588" s="69">
        <v>3</v>
      </c>
      <c r="F588" s="123">
        <v>12.39</v>
      </c>
      <c r="G588" s="123">
        <v>14.5</v>
      </c>
      <c r="H588" s="208">
        <v>43.5</v>
      </c>
      <c r="I588" s="215"/>
      <c r="J588" s="215"/>
      <c r="K588" s="215">
        <v>43.5</v>
      </c>
      <c r="L588" s="216">
        <v>37.17</v>
      </c>
    </row>
    <row r="589" spans="1:12" hidden="1">
      <c r="A589" s="209" t="s">
        <v>3878</v>
      </c>
      <c r="B589" s="69" t="s">
        <v>1162</v>
      </c>
      <c r="C589" s="69" t="s">
        <v>4246</v>
      </c>
      <c r="D589" s="96" t="s">
        <v>1163</v>
      </c>
      <c r="E589" s="69">
        <v>1</v>
      </c>
      <c r="F589" s="123">
        <v>21.88</v>
      </c>
      <c r="G589" s="123">
        <v>25.25</v>
      </c>
      <c r="H589" s="208">
        <v>25.25</v>
      </c>
      <c r="I589" s="215"/>
      <c r="J589" s="215"/>
      <c r="K589" s="215">
        <v>25.25</v>
      </c>
      <c r="L589" s="216">
        <v>21.88</v>
      </c>
    </row>
    <row r="590" spans="1:12" hidden="1">
      <c r="A590" s="209" t="s">
        <v>3878</v>
      </c>
      <c r="B590" s="69" t="s">
        <v>3636</v>
      </c>
      <c r="C590" s="69" t="s">
        <v>4247</v>
      </c>
      <c r="D590" s="96" t="s">
        <v>3637</v>
      </c>
      <c r="E590" s="69">
        <v>4</v>
      </c>
      <c r="F590" s="123">
        <v>0.76</v>
      </c>
      <c r="G590" s="123">
        <v>1</v>
      </c>
      <c r="H590" s="208">
        <v>4</v>
      </c>
      <c r="I590" s="215"/>
      <c r="J590" s="215"/>
      <c r="K590" s="215">
        <v>4</v>
      </c>
      <c r="L590" s="216">
        <v>3.04</v>
      </c>
    </row>
    <row r="591" spans="1:12" hidden="1">
      <c r="A591" s="209" t="s">
        <v>3878</v>
      </c>
      <c r="B591" s="69" t="s">
        <v>3555</v>
      </c>
      <c r="C591" s="69" t="s">
        <v>4248</v>
      </c>
      <c r="D591" s="96" t="s">
        <v>3707</v>
      </c>
      <c r="E591" s="69">
        <v>1</v>
      </c>
      <c r="F591" s="123">
        <v>60.75</v>
      </c>
      <c r="G591" s="123">
        <v>67.25</v>
      </c>
      <c r="H591" s="208">
        <v>67.25</v>
      </c>
      <c r="I591" s="215"/>
      <c r="J591" s="215"/>
      <c r="K591" s="215">
        <v>67.25</v>
      </c>
      <c r="L591" s="216">
        <v>60.75</v>
      </c>
    </row>
    <row r="592" spans="1:12" hidden="1">
      <c r="A592" s="209" t="s">
        <v>3878</v>
      </c>
      <c r="B592" s="69" t="s">
        <v>102</v>
      </c>
      <c r="C592" s="69" t="s">
        <v>4249</v>
      </c>
      <c r="D592" s="96" t="s">
        <v>103</v>
      </c>
      <c r="E592" s="69">
        <v>1</v>
      </c>
      <c r="F592" s="123">
        <v>7.06</v>
      </c>
      <c r="G592" s="123">
        <v>8.25</v>
      </c>
      <c r="H592" s="208">
        <v>8.25</v>
      </c>
      <c r="I592" s="215"/>
      <c r="J592" s="215"/>
      <c r="K592" s="215">
        <v>8.25</v>
      </c>
      <c r="L592" s="216">
        <v>7.06</v>
      </c>
    </row>
    <row r="593" spans="1:12" hidden="1">
      <c r="A593" s="209" t="s">
        <v>3878</v>
      </c>
      <c r="B593" s="69" t="s">
        <v>2431</v>
      </c>
      <c r="C593" s="69" t="s">
        <v>4250</v>
      </c>
      <c r="D593" s="96" t="s">
        <v>2432</v>
      </c>
      <c r="E593" s="69">
        <v>4</v>
      </c>
      <c r="F593" s="123">
        <v>19.66</v>
      </c>
      <c r="G593" s="123">
        <v>23</v>
      </c>
      <c r="H593" s="208">
        <v>92</v>
      </c>
      <c r="I593" s="215"/>
      <c r="J593" s="215"/>
      <c r="K593" s="215">
        <v>92</v>
      </c>
      <c r="L593" s="216">
        <v>78.64</v>
      </c>
    </row>
    <row r="594" spans="1:12" hidden="1">
      <c r="A594" s="209" t="s">
        <v>3878</v>
      </c>
      <c r="B594" s="69" t="s">
        <v>2429</v>
      </c>
      <c r="C594" s="69" t="s">
        <v>4250</v>
      </c>
      <c r="D594" s="96" t="s">
        <v>2430</v>
      </c>
      <c r="E594" s="69">
        <v>4</v>
      </c>
      <c r="F594" s="123">
        <v>36.51</v>
      </c>
      <c r="G594" s="123">
        <v>42</v>
      </c>
      <c r="H594" s="208">
        <v>168</v>
      </c>
      <c r="I594" s="215"/>
      <c r="J594" s="215"/>
      <c r="K594" s="215">
        <v>168</v>
      </c>
      <c r="L594" s="216">
        <v>146.04</v>
      </c>
    </row>
    <row r="595" spans="1:12" hidden="1">
      <c r="A595" s="209" t="s">
        <v>3878</v>
      </c>
      <c r="B595" s="69" t="s">
        <v>2595</v>
      </c>
      <c r="C595" s="69" t="s">
        <v>4251</v>
      </c>
      <c r="D595" s="96" t="s">
        <v>2596</v>
      </c>
      <c r="E595" s="69">
        <v>6</v>
      </c>
      <c r="F595" s="123">
        <v>6.38</v>
      </c>
      <c r="G595" s="123">
        <v>7.5</v>
      </c>
      <c r="H595" s="208">
        <v>45</v>
      </c>
      <c r="I595" s="215"/>
      <c r="J595" s="215"/>
      <c r="K595" s="215">
        <v>45</v>
      </c>
      <c r="L595" s="216">
        <v>38.28</v>
      </c>
    </row>
    <row r="596" spans="1:12" hidden="1">
      <c r="A596" s="209" t="s">
        <v>3878</v>
      </c>
      <c r="B596" s="69" t="s">
        <v>2589</v>
      </c>
      <c r="C596" s="69" t="s">
        <v>4251</v>
      </c>
      <c r="D596" s="96" t="s">
        <v>2590</v>
      </c>
      <c r="E596" s="69">
        <v>5</v>
      </c>
      <c r="F596" s="123">
        <v>5.41</v>
      </c>
      <c r="G596" s="123">
        <v>6.25</v>
      </c>
      <c r="H596" s="208">
        <v>31.25</v>
      </c>
      <c r="I596" s="215"/>
      <c r="J596" s="215"/>
      <c r="K596" s="215">
        <v>31.25</v>
      </c>
      <c r="L596" s="216">
        <v>27.05</v>
      </c>
    </row>
    <row r="597" spans="1:12" hidden="1">
      <c r="A597" s="209" t="s">
        <v>3878</v>
      </c>
      <c r="B597" s="69" t="s">
        <v>3875</v>
      </c>
      <c r="C597" s="69" t="s">
        <v>4252</v>
      </c>
      <c r="D597" s="96" t="s">
        <v>4205</v>
      </c>
      <c r="E597" s="69">
        <v>1</v>
      </c>
      <c r="F597" s="123">
        <v>5.85</v>
      </c>
      <c r="G597" s="123">
        <v>7</v>
      </c>
      <c r="H597" s="208">
        <v>7</v>
      </c>
      <c r="I597" s="215"/>
      <c r="J597" s="215"/>
      <c r="K597" s="215">
        <v>7</v>
      </c>
      <c r="L597" s="216">
        <v>5.85</v>
      </c>
    </row>
    <row r="598" spans="1:12" hidden="1">
      <c r="A598" s="209" t="s">
        <v>3878</v>
      </c>
      <c r="B598" s="69" t="s">
        <v>3864</v>
      </c>
      <c r="C598" s="69" t="s">
        <v>4253</v>
      </c>
      <c r="D598" s="96" t="s">
        <v>4114</v>
      </c>
      <c r="E598" s="69">
        <v>5</v>
      </c>
      <c r="F598" s="123">
        <v>60</v>
      </c>
      <c r="G598" s="123">
        <v>75</v>
      </c>
      <c r="H598" s="208">
        <v>375</v>
      </c>
      <c r="I598" s="215"/>
      <c r="J598" s="215"/>
      <c r="K598" s="215">
        <v>375</v>
      </c>
      <c r="L598" s="216">
        <v>300</v>
      </c>
    </row>
    <row r="599" spans="1:12" hidden="1">
      <c r="A599" s="209" t="s">
        <v>3878</v>
      </c>
      <c r="B599" s="69" t="s">
        <v>3865</v>
      </c>
      <c r="C599" s="69" t="s">
        <v>4253</v>
      </c>
      <c r="D599" s="96" t="s">
        <v>4115</v>
      </c>
      <c r="E599" s="69">
        <v>5</v>
      </c>
      <c r="F599" s="123">
        <v>40</v>
      </c>
      <c r="G599" s="123">
        <v>60</v>
      </c>
      <c r="H599" s="208">
        <v>300</v>
      </c>
      <c r="I599" s="215"/>
      <c r="J599" s="215"/>
      <c r="K599" s="215">
        <v>300</v>
      </c>
      <c r="L599" s="216">
        <v>200</v>
      </c>
    </row>
    <row r="600" spans="1:12" hidden="1">
      <c r="A600" s="209" t="s">
        <v>3878</v>
      </c>
      <c r="B600" s="69" t="s">
        <v>3866</v>
      </c>
      <c r="C600" s="69" t="s">
        <v>4253</v>
      </c>
      <c r="D600" s="96" t="s">
        <v>4116</v>
      </c>
      <c r="E600" s="69">
        <v>3</v>
      </c>
      <c r="F600" s="123">
        <v>47</v>
      </c>
      <c r="G600" s="123">
        <v>60</v>
      </c>
      <c r="H600" s="208">
        <v>180</v>
      </c>
      <c r="I600" s="215"/>
      <c r="J600" s="215"/>
      <c r="K600" s="215">
        <v>180</v>
      </c>
      <c r="L600" s="216">
        <v>141</v>
      </c>
    </row>
    <row r="601" spans="1:12" hidden="1">
      <c r="A601" s="209" t="s">
        <v>3878</v>
      </c>
      <c r="B601" s="69" t="s">
        <v>3859</v>
      </c>
      <c r="C601" s="69" t="s">
        <v>4253</v>
      </c>
      <c r="D601" s="96" t="s">
        <v>4108</v>
      </c>
      <c r="E601" s="69">
        <v>1</v>
      </c>
      <c r="F601" s="123">
        <v>195</v>
      </c>
      <c r="G601" s="123">
        <v>250</v>
      </c>
      <c r="H601" s="208">
        <v>250</v>
      </c>
      <c r="I601" s="215"/>
      <c r="J601" s="215"/>
      <c r="K601" s="215">
        <v>250</v>
      </c>
      <c r="L601" s="216">
        <v>195</v>
      </c>
    </row>
    <row r="602" spans="1:12" hidden="1">
      <c r="A602" s="209" t="s">
        <v>3878</v>
      </c>
      <c r="B602" s="69" t="s">
        <v>3879</v>
      </c>
      <c r="C602" s="69" t="s">
        <v>4253</v>
      </c>
      <c r="D602" s="96" t="s">
        <v>4254</v>
      </c>
      <c r="E602" s="69">
        <v>1</v>
      </c>
      <c r="F602" s="123">
        <v>280</v>
      </c>
      <c r="G602" s="123">
        <v>350</v>
      </c>
      <c r="H602" s="208">
        <v>350</v>
      </c>
      <c r="I602" s="215"/>
      <c r="J602" s="215"/>
      <c r="K602" s="215">
        <v>350</v>
      </c>
      <c r="L602" s="216">
        <v>280</v>
      </c>
    </row>
    <row r="603" spans="1:12" hidden="1">
      <c r="A603" s="209" t="s">
        <v>3878</v>
      </c>
      <c r="B603" s="69" t="s">
        <v>2961</v>
      </c>
      <c r="C603" s="69" t="s">
        <v>4253</v>
      </c>
      <c r="D603" s="96" t="s">
        <v>2962</v>
      </c>
      <c r="E603" s="69">
        <v>10</v>
      </c>
      <c r="F603" s="123">
        <v>90</v>
      </c>
      <c r="G603" s="123">
        <v>120</v>
      </c>
      <c r="H603" s="208">
        <v>1200</v>
      </c>
      <c r="I603" s="215"/>
      <c r="J603" s="215">
        <v>162.5</v>
      </c>
      <c r="K603" s="215">
        <v>1037.5</v>
      </c>
      <c r="L603" s="216">
        <v>900</v>
      </c>
    </row>
    <row r="604" spans="1:12" hidden="1">
      <c r="A604" s="209" t="s">
        <v>3878</v>
      </c>
      <c r="B604" s="69" t="s">
        <v>267</v>
      </c>
      <c r="C604" s="69" t="s">
        <v>4253</v>
      </c>
      <c r="D604" s="96" t="s">
        <v>268</v>
      </c>
      <c r="E604" s="69">
        <v>4</v>
      </c>
      <c r="F604" s="123">
        <v>60</v>
      </c>
      <c r="G604" s="123">
        <v>75</v>
      </c>
      <c r="H604" s="208">
        <v>300</v>
      </c>
      <c r="I604" s="215"/>
      <c r="J604" s="215"/>
      <c r="K604" s="215">
        <v>300</v>
      </c>
      <c r="L604" s="216">
        <v>240</v>
      </c>
    </row>
    <row r="605" spans="1:12" hidden="1">
      <c r="A605" s="209" t="s">
        <v>3878</v>
      </c>
      <c r="B605" s="69" t="s">
        <v>3871</v>
      </c>
      <c r="C605" s="69" t="s">
        <v>4253</v>
      </c>
      <c r="D605" s="96" t="s">
        <v>4149</v>
      </c>
      <c r="E605" s="69">
        <v>4</v>
      </c>
      <c r="F605" s="123">
        <v>30</v>
      </c>
      <c r="G605" s="123">
        <v>40</v>
      </c>
      <c r="H605" s="208">
        <v>160</v>
      </c>
      <c r="I605" s="215"/>
      <c r="J605" s="215"/>
      <c r="K605" s="215">
        <v>160</v>
      </c>
      <c r="L605" s="216">
        <v>120</v>
      </c>
    </row>
    <row r="606" spans="1:12" hidden="1">
      <c r="A606" s="209" t="s">
        <v>3878</v>
      </c>
      <c r="B606" s="69" t="s">
        <v>98</v>
      </c>
      <c r="C606" s="69" t="s">
        <v>4255</v>
      </c>
      <c r="D606" s="96" t="s">
        <v>99</v>
      </c>
      <c r="E606" s="69">
        <v>1</v>
      </c>
      <c r="F606" s="123">
        <v>18.649999999999999</v>
      </c>
      <c r="G606" s="123">
        <v>21.5</v>
      </c>
      <c r="H606" s="208">
        <v>21.5</v>
      </c>
      <c r="I606" s="215"/>
      <c r="J606" s="215"/>
      <c r="K606" s="215">
        <v>21.5</v>
      </c>
      <c r="L606" s="216">
        <v>18.649999999999999</v>
      </c>
    </row>
    <row r="607" spans="1:12" hidden="1">
      <c r="A607" s="209" t="s">
        <v>3880</v>
      </c>
      <c r="B607" s="69" t="s">
        <v>390</v>
      </c>
      <c r="C607" s="69" t="s">
        <v>4256</v>
      </c>
      <c r="D607" s="96" t="s">
        <v>391</v>
      </c>
      <c r="E607" s="69">
        <v>1</v>
      </c>
      <c r="F607" s="123">
        <v>30.04</v>
      </c>
      <c r="G607" s="123">
        <v>34.75</v>
      </c>
      <c r="H607" s="208">
        <v>34.75</v>
      </c>
      <c r="I607" s="215"/>
      <c r="J607" s="215">
        <v>0</v>
      </c>
      <c r="K607" s="215">
        <v>34.75</v>
      </c>
      <c r="L607" s="216">
        <v>30.04</v>
      </c>
    </row>
    <row r="608" spans="1:12" hidden="1">
      <c r="A608" s="209" t="s">
        <v>3880</v>
      </c>
      <c r="B608" s="69" t="s">
        <v>3876</v>
      </c>
      <c r="C608" s="69" t="s">
        <v>4257</v>
      </c>
      <c r="D608" s="96" t="s">
        <v>4208</v>
      </c>
      <c r="E608" s="69">
        <v>1</v>
      </c>
      <c r="F608" s="123">
        <v>6.18</v>
      </c>
      <c r="G608" s="123">
        <v>7.25</v>
      </c>
      <c r="H608" s="208">
        <v>7.25</v>
      </c>
      <c r="I608" s="215"/>
      <c r="J608" s="215">
        <v>0</v>
      </c>
      <c r="K608" s="215">
        <v>7.25</v>
      </c>
      <c r="L608" s="216">
        <v>6.18</v>
      </c>
    </row>
    <row r="609" spans="1:12" hidden="1">
      <c r="A609" s="209" t="s">
        <v>3880</v>
      </c>
      <c r="B609" s="69" t="s">
        <v>3741</v>
      </c>
      <c r="C609" s="69" t="s">
        <v>4257</v>
      </c>
      <c r="D609" s="96" t="s">
        <v>3742</v>
      </c>
      <c r="E609" s="69">
        <v>1</v>
      </c>
      <c r="F609" s="123">
        <v>6.15</v>
      </c>
      <c r="G609" s="123">
        <v>7.25</v>
      </c>
      <c r="H609" s="208">
        <v>7.25</v>
      </c>
      <c r="I609" s="215"/>
      <c r="J609" s="215">
        <v>0</v>
      </c>
      <c r="K609" s="215">
        <v>7.25</v>
      </c>
      <c r="L609" s="216">
        <v>6.15</v>
      </c>
    </row>
    <row r="610" spans="1:12" hidden="1">
      <c r="A610" s="209" t="s">
        <v>3880</v>
      </c>
      <c r="B610" s="69" t="s">
        <v>1586</v>
      </c>
      <c r="C610" s="69" t="s">
        <v>4258</v>
      </c>
      <c r="D610" s="96" t="s">
        <v>1587</v>
      </c>
      <c r="E610" s="69">
        <v>2</v>
      </c>
      <c r="F610" s="123">
        <v>7.14</v>
      </c>
      <c r="G610" s="123">
        <v>8.25</v>
      </c>
      <c r="H610" s="208">
        <v>16.5</v>
      </c>
      <c r="I610" s="215"/>
      <c r="J610" s="215">
        <v>0</v>
      </c>
      <c r="K610" s="215">
        <v>16.5</v>
      </c>
      <c r="L610" s="216">
        <v>14.28</v>
      </c>
    </row>
    <row r="611" spans="1:12" hidden="1">
      <c r="A611" s="209" t="s">
        <v>3880</v>
      </c>
      <c r="B611" s="69" t="s">
        <v>205</v>
      </c>
      <c r="C611" s="69" t="s">
        <v>4259</v>
      </c>
      <c r="D611" s="96" t="s">
        <v>206</v>
      </c>
      <c r="E611" s="69">
        <v>1</v>
      </c>
      <c r="F611" s="123">
        <v>33.1</v>
      </c>
      <c r="G611" s="123">
        <v>38.25</v>
      </c>
      <c r="H611" s="208">
        <v>38.25</v>
      </c>
      <c r="I611" s="215"/>
      <c r="J611" s="215">
        <v>0</v>
      </c>
      <c r="K611" s="215">
        <v>38.25</v>
      </c>
      <c r="L611" s="216">
        <v>33.1</v>
      </c>
    </row>
    <row r="612" spans="1:12" hidden="1">
      <c r="A612" s="209" t="s">
        <v>3880</v>
      </c>
      <c r="B612" s="69" t="s">
        <v>287</v>
      </c>
      <c r="C612" s="69" t="s">
        <v>4259</v>
      </c>
      <c r="D612" s="96" t="s">
        <v>288</v>
      </c>
      <c r="E612" s="69">
        <v>1</v>
      </c>
      <c r="F612" s="123">
        <v>34.47</v>
      </c>
      <c r="G612" s="123">
        <v>39.75</v>
      </c>
      <c r="H612" s="208">
        <v>39.75</v>
      </c>
      <c r="I612" s="215"/>
      <c r="J612" s="215">
        <v>0</v>
      </c>
      <c r="K612" s="215">
        <v>39.75</v>
      </c>
      <c r="L612" s="216">
        <v>34.47</v>
      </c>
    </row>
    <row r="613" spans="1:12" hidden="1">
      <c r="A613" s="209" t="s">
        <v>3880</v>
      </c>
      <c r="B613" s="69" t="s">
        <v>821</v>
      </c>
      <c r="C613" s="69" t="s">
        <v>4260</v>
      </c>
      <c r="D613" s="96" t="s">
        <v>822</v>
      </c>
      <c r="E613" s="69">
        <v>1</v>
      </c>
      <c r="F613" s="123">
        <v>29.9</v>
      </c>
      <c r="G613" s="123">
        <v>34.5</v>
      </c>
      <c r="H613" s="208">
        <v>34.5</v>
      </c>
      <c r="I613" s="215"/>
      <c r="J613" s="215">
        <v>0</v>
      </c>
      <c r="K613" s="215">
        <v>34.5</v>
      </c>
      <c r="L613" s="216">
        <v>29.9</v>
      </c>
    </row>
    <row r="614" spans="1:12" hidden="1">
      <c r="A614" s="209" t="s">
        <v>3880</v>
      </c>
      <c r="B614" s="69" t="s">
        <v>3854</v>
      </c>
      <c r="C614" s="69" t="s">
        <v>4261</v>
      </c>
      <c r="D614" s="96" t="s">
        <v>4053</v>
      </c>
      <c r="E614" s="69">
        <v>1</v>
      </c>
      <c r="F614" s="123">
        <v>5.8</v>
      </c>
      <c r="G614" s="123">
        <v>7</v>
      </c>
      <c r="H614" s="208">
        <v>7</v>
      </c>
      <c r="I614" s="215"/>
      <c r="J614" s="215">
        <v>0</v>
      </c>
      <c r="K614" s="215">
        <v>7</v>
      </c>
      <c r="L614" s="216">
        <v>5.8</v>
      </c>
    </row>
    <row r="615" spans="1:12" hidden="1">
      <c r="A615" s="209" t="s">
        <v>3880</v>
      </c>
      <c r="B615" s="69" t="s">
        <v>3080</v>
      </c>
      <c r="C615" s="69" t="s">
        <v>4262</v>
      </c>
      <c r="D615" s="96" t="s">
        <v>3081</v>
      </c>
      <c r="E615" s="69">
        <v>2</v>
      </c>
      <c r="F615" s="123">
        <v>20.399999999999999</v>
      </c>
      <c r="G615" s="123">
        <v>23.5</v>
      </c>
      <c r="H615" s="208">
        <v>47</v>
      </c>
      <c r="I615" s="215"/>
      <c r="J615" s="215">
        <v>0</v>
      </c>
      <c r="K615" s="215">
        <v>47</v>
      </c>
      <c r="L615" s="216">
        <v>40.799999999999997</v>
      </c>
    </row>
    <row r="616" spans="1:12" hidden="1">
      <c r="A616" s="209" t="s">
        <v>3880</v>
      </c>
      <c r="B616" s="69" t="s">
        <v>1529</v>
      </c>
      <c r="C616" s="69" t="s">
        <v>4263</v>
      </c>
      <c r="D616" s="96" t="s">
        <v>1530</v>
      </c>
      <c r="E616" s="69">
        <v>2</v>
      </c>
      <c r="F616" s="123">
        <v>31.19</v>
      </c>
      <c r="G616" s="123">
        <v>36</v>
      </c>
      <c r="H616" s="208">
        <v>72</v>
      </c>
      <c r="I616" s="215"/>
      <c r="J616" s="215">
        <v>0</v>
      </c>
      <c r="K616" s="215">
        <v>72</v>
      </c>
      <c r="L616" s="216">
        <v>62.38</v>
      </c>
    </row>
    <row r="617" spans="1:12" hidden="1">
      <c r="A617" s="209" t="s">
        <v>3880</v>
      </c>
      <c r="B617" s="69" t="s">
        <v>1405</v>
      </c>
      <c r="C617" s="69" t="s">
        <v>4263</v>
      </c>
      <c r="D617" s="96" t="s">
        <v>1406</v>
      </c>
      <c r="E617" s="69">
        <v>2</v>
      </c>
      <c r="F617" s="123">
        <v>29.95</v>
      </c>
      <c r="G617" s="123">
        <v>34.5</v>
      </c>
      <c r="H617" s="208">
        <v>69</v>
      </c>
      <c r="I617" s="215"/>
      <c r="J617" s="215">
        <v>0</v>
      </c>
      <c r="K617" s="215">
        <v>69</v>
      </c>
      <c r="L617" s="216">
        <v>59.9</v>
      </c>
    </row>
    <row r="618" spans="1:12" hidden="1">
      <c r="A618" s="209" t="s">
        <v>3880</v>
      </c>
      <c r="B618" s="69" t="s">
        <v>1291</v>
      </c>
      <c r="C618" s="69" t="s">
        <v>4263</v>
      </c>
      <c r="D618" s="96" t="s">
        <v>1292</v>
      </c>
      <c r="E618" s="69">
        <v>2</v>
      </c>
      <c r="F618" s="123">
        <v>15.91</v>
      </c>
      <c r="G618" s="123">
        <v>18.5</v>
      </c>
      <c r="H618" s="208">
        <v>37</v>
      </c>
      <c r="I618" s="215"/>
      <c r="J618" s="215">
        <v>0</v>
      </c>
      <c r="K618" s="215">
        <v>37</v>
      </c>
      <c r="L618" s="216">
        <v>31.82</v>
      </c>
    </row>
    <row r="619" spans="1:12" hidden="1">
      <c r="A619" s="209" t="s">
        <v>3880</v>
      </c>
      <c r="B619" s="69" t="s">
        <v>1580</v>
      </c>
      <c r="C619" s="69" t="s">
        <v>4263</v>
      </c>
      <c r="D619" s="96" t="s">
        <v>1581</v>
      </c>
      <c r="E619" s="69">
        <v>12</v>
      </c>
      <c r="F619" s="123">
        <v>6.02</v>
      </c>
      <c r="G619" s="123">
        <v>7.25</v>
      </c>
      <c r="H619" s="208">
        <v>87</v>
      </c>
      <c r="I619" s="215"/>
      <c r="J619" s="215">
        <v>0</v>
      </c>
      <c r="K619" s="215">
        <v>87</v>
      </c>
      <c r="L619" s="216">
        <v>72.239999999999995</v>
      </c>
    </row>
    <row r="620" spans="1:12">
      <c r="A620" s="209" t="s">
        <v>3880</v>
      </c>
      <c r="B620" s="69" t="s">
        <v>1594</v>
      </c>
      <c r="C620" s="69" t="s">
        <v>4263</v>
      </c>
      <c r="D620" s="96" t="s">
        <v>1595</v>
      </c>
      <c r="E620" s="69">
        <v>2</v>
      </c>
      <c r="F620" s="123">
        <v>27.84</v>
      </c>
      <c r="G620" s="123">
        <v>45</v>
      </c>
      <c r="H620" s="208">
        <v>90</v>
      </c>
      <c r="I620" s="215"/>
      <c r="J620" s="215">
        <v>0</v>
      </c>
      <c r="K620" s="215">
        <v>90</v>
      </c>
      <c r="L620" s="216">
        <v>55.68</v>
      </c>
    </row>
    <row r="621" spans="1:12" hidden="1">
      <c r="A621" s="209" t="s">
        <v>3880</v>
      </c>
      <c r="B621" s="69" t="s">
        <v>1523</v>
      </c>
      <c r="C621" s="69" t="s">
        <v>4263</v>
      </c>
      <c r="D621" s="96" t="s">
        <v>1524</v>
      </c>
      <c r="E621" s="69">
        <v>1</v>
      </c>
      <c r="F621" s="123">
        <v>90.24</v>
      </c>
      <c r="G621" s="123">
        <v>103.75</v>
      </c>
      <c r="H621" s="208">
        <v>103.75</v>
      </c>
      <c r="I621" s="215"/>
      <c r="J621" s="215">
        <v>0</v>
      </c>
      <c r="K621" s="215">
        <v>103.75</v>
      </c>
      <c r="L621" s="216">
        <v>90.24</v>
      </c>
    </row>
    <row r="622" spans="1:12" hidden="1">
      <c r="A622" s="209" t="s">
        <v>3880</v>
      </c>
      <c r="B622" s="69" t="s">
        <v>454</v>
      </c>
      <c r="C622" s="69" t="s">
        <v>4263</v>
      </c>
      <c r="D622" s="96" t="s">
        <v>455</v>
      </c>
      <c r="E622" s="69">
        <v>1</v>
      </c>
      <c r="F622" s="123">
        <v>84.8</v>
      </c>
      <c r="G622" s="123">
        <v>94</v>
      </c>
      <c r="H622" s="208">
        <v>94</v>
      </c>
      <c r="I622" s="215"/>
      <c r="J622" s="215">
        <v>0</v>
      </c>
      <c r="K622" s="215">
        <v>94</v>
      </c>
      <c r="L622" s="216">
        <v>84.8</v>
      </c>
    </row>
    <row r="623" spans="1:12" hidden="1">
      <c r="A623" s="209" t="s">
        <v>3880</v>
      </c>
      <c r="B623" s="69" t="s">
        <v>3853</v>
      </c>
      <c r="C623" s="69" t="s">
        <v>4264</v>
      </c>
      <c r="D623" s="96" t="s">
        <v>4039</v>
      </c>
      <c r="E623" s="69">
        <v>2</v>
      </c>
      <c r="F623" s="123">
        <v>32</v>
      </c>
      <c r="G623" s="123">
        <v>37</v>
      </c>
      <c r="H623" s="208">
        <v>74</v>
      </c>
      <c r="I623" s="215"/>
      <c r="J623" s="215">
        <v>0</v>
      </c>
      <c r="K623" s="215">
        <v>74</v>
      </c>
      <c r="L623" s="216">
        <v>64</v>
      </c>
    </row>
    <row r="624" spans="1:12" hidden="1">
      <c r="A624" s="209" t="s">
        <v>3880</v>
      </c>
      <c r="B624" s="69" t="s">
        <v>1675</v>
      </c>
      <c r="C624" s="69" t="s">
        <v>4264</v>
      </c>
      <c r="D624" s="96" t="s">
        <v>1676</v>
      </c>
      <c r="E624" s="69">
        <v>1</v>
      </c>
      <c r="F624" s="123">
        <v>149</v>
      </c>
      <c r="G624" s="123">
        <v>171.5</v>
      </c>
      <c r="H624" s="208">
        <v>171.5</v>
      </c>
      <c r="I624" s="215"/>
      <c r="J624" s="215">
        <v>0</v>
      </c>
      <c r="K624" s="215">
        <v>171.5</v>
      </c>
      <c r="L624" s="216">
        <v>149</v>
      </c>
    </row>
    <row r="625" spans="1:12" hidden="1">
      <c r="A625" s="209" t="s">
        <v>3880</v>
      </c>
      <c r="B625" s="69" t="s">
        <v>3658</v>
      </c>
      <c r="C625" s="69" t="s">
        <v>4265</v>
      </c>
      <c r="D625" s="96" t="s">
        <v>3659</v>
      </c>
      <c r="E625" s="69">
        <v>1</v>
      </c>
      <c r="F625" s="123">
        <v>13.12</v>
      </c>
      <c r="G625" s="123">
        <v>15.25</v>
      </c>
      <c r="H625" s="208">
        <v>15.25</v>
      </c>
      <c r="I625" s="215"/>
      <c r="J625" s="215">
        <v>0</v>
      </c>
      <c r="K625" s="215">
        <v>15.25</v>
      </c>
      <c r="L625" s="216">
        <v>13.12</v>
      </c>
    </row>
    <row r="626" spans="1:12" hidden="1">
      <c r="A626" s="209" t="s">
        <v>3880</v>
      </c>
      <c r="B626" s="69" t="s">
        <v>285</v>
      </c>
      <c r="C626" s="69" t="s">
        <v>4266</v>
      </c>
      <c r="D626" s="96" t="s">
        <v>286</v>
      </c>
      <c r="E626" s="69">
        <v>1</v>
      </c>
      <c r="F626" s="123">
        <v>15.65</v>
      </c>
      <c r="G626" s="123">
        <v>18</v>
      </c>
      <c r="H626" s="208">
        <v>18</v>
      </c>
      <c r="I626" s="215"/>
      <c r="J626" s="215">
        <v>0</v>
      </c>
      <c r="K626" s="215">
        <v>18</v>
      </c>
      <c r="L626" s="216">
        <v>15.65</v>
      </c>
    </row>
    <row r="627" spans="1:12" hidden="1">
      <c r="A627" s="209" t="s">
        <v>3880</v>
      </c>
      <c r="B627" s="69" t="s">
        <v>102</v>
      </c>
      <c r="C627" s="69" t="s">
        <v>4266</v>
      </c>
      <c r="D627" s="96" t="s">
        <v>103</v>
      </c>
      <c r="E627" s="69">
        <v>1</v>
      </c>
      <c r="F627" s="123">
        <v>7.06</v>
      </c>
      <c r="G627" s="123">
        <v>8.25</v>
      </c>
      <c r="H627" s="208">
        <v>8.25</v>
      </c>
      <c r="I627" s="215"/>
      <c r="J627" s="215">
        <v>0</v>
      </c>
      <c r="K627" s="215">
        <v>8.25</v>
      </c>
      <c r="L627" s="216">
        <v>7.06</v>
      </c>
    </row>
    <row r="628" spans="1:12" hidden="1">
      <c r="A628" s="209" t="s">
        <v>3880</v>
      </c>
      <c r="B628" s="69" t="s">
        <v>969</v>
      </c>
      <c r="C628" s="69" t="s">
        <v>4267</v>
      </c>
      <c r="D628" s="96" t="s">
        <v>970</v>
      </c>
      <c r="E628" s="69">
        <v>1</v>
      </c>
      <c r="F628" s="123">
        <v>25.69</v>
      </c>
      <c r="G628" s="123">
        <v>29.75</v>
      </c>
      <c r="H628" s="208">
        <v>29.75</v>
      </c>
      <c r="I628" s="215"/>
      <c r="J628" s="215">
        <v>0</v>
      </c>
      <c r="K628" s="215">
        <v>29.75</v>
      </c>
      <c r="L628" s="216">
        <v>25.69</v>
      </c>
    </row>
    <row r="629" spans="1:12" hidden="1">
      <c r="A629" s="209" t="s">
        <v>3880</v>
      </c>
      <c r="B629" s="69" t="s">
        <v>3658</v>
      </c>
      <c r="C629" s="69" t="s">
        <v>4268</v>
      </c>
      <c r="D629" s="96" t="s">
        <v>3659</v>
      </c>
      <c r="E629" s="69">
        <v>1</v>
      </c>
      <c r="F629" s="123">
        <v>13.12</v>
      </c>
      <c r="G629" s="123">
        <v>15.25</v>
      </c>
      <c r="H629" s="208">
        <v>15.25</v>
      </c>
      <c r="I629" s="215"/>
      <c r="J629" s="215">
        <v>0</v>
      </c>
      <c r="K629" s="215">
        <v>15.25</v>
      </c>
      <c r="L629" s="216">
        <v>13.12</v>
      </c>
    </row>
    <row r="630" spans="1:12" hidden="1">
      <c r="A630" s="209" t="s">
        <v>3880</v>
      </c>
      <c r="B630" s="69" t="s">
        <v>3875</v>
      </c>
      <c r="C630" s="69" t="s">
        <v>4268</v>
      </c>
      <c r="D630" s="96" t="s">
        <v>4205</v>
      </c>
      <c r="E630" s="69">
        <v>1</v>
      </c>
      <c r="F630" s="123">
        <v>5.85</v>
      </c>
      <c r="G630" s="123">
        <v>7</v>
      </c>
      <c r="H630" s="208">
        <v>7</v>
      </c>
      <c r="I630" s="215"/>
      <c r="J630" s="215">
        <v>0</v>
      </c>
      <c r="K630" s="215">
        <v>7</v>
      </c>
      <c r="L630" s="216">
        <v>5.85</v>
      </c>
    </row>
    <row r="631" spans="1:12" hidden="1">
      <c r="A631" s="209" t="s">
        <v>3880</v>
      </c>
      <c r="B631" s="69" t="s">
        <v>3875</v>
      </c>
      <c r="C631" s="69" t="s">
        <v>4269</v>
      </c>
      <c r="D631" s="96" t="s">
        <v>4205</v>
      </c>
      <c r="E631" s="69">
        <v>2</v>
      </c>
      <c r="F631" s="123">
        <v>5.85</v>
      </c>
      <c r="G631" s="123">
        <v>7</v>
      </c>
      <c r="H631" s="208">
        <v>14</v>
      </c>
      <c r="I631" s="215"/>
      <c r="J631" s="215">
        <v>0</v>
      </c>
      <c r="K631" s="215">
        <v>14</v>
      </c>
      <c r="L631" s="216">
        <v>11.7</v>
      </c>
    </row>
    <row r="632" spans="1:12" hidden="1">
      <c r="A632" s="209" t="s">
        <v>3880</v>
      </c>
      <c r="B632" s="69" t="s">
        <v>3741</v>
      </c>
      <c r="C632" s="69" t="s">
        <v>4269</v>
      </c>
      <c r="D632" s="96" t="s">
        <v>3742</v>
      </c>
      <c r="E632" s="69">
        <v>1</v>
      </c>
      <c r="F632" s="123">
        <v>6.15</v>
      </c>
      <c r="G632" s="123">
        <v>7.25</v>
      </c>
      <c r="H632" s="208">
        <v>7.25</v>
      </c>
      <c r="I632" s="215"/>
      <c r="J632" s="215">
        <v>0</v>
      </c>
      <c r="K632" s="215">
        <v>7.25</v>
      </c>
      <c r="L632" s="216">
        <v>6.15</v>
      </c>
    </row>
    <row r="633" spans="1:12" hidden="1">
      <c r="A633" s="209" t="s">
        <v>3880</v>
      </c>
      <c r="B633" s="69" t="s">
        <v>552</v>
      </c>
      <c r="C633" s="69" t="s">
        <v>4269</v>
      </c>
      <c r="D633" s="96" t="s">
        <v>553</v>
      </c>
      <c r="E633" s="69">
        <v>1</v>
      </c>
      <c r="F633" s="123">
        <v>7.41</v>
      </c>
      <c r="G633" s="123">
        <v>8.75</v>
      </c>
      <c r="H633" s="208">
        <v>8.75</v>
      </c>
      <c r="I633" s="215"/>
      <c r="J633" s="215">
        <v>0</v>
      </c>
      <c r="K633" s="215">
        <v>8.75</v>
      </c>
      <c r="L633" s="216">
        <v>7.41</v>
      </c>
    </row>
    <row r="634" spans="1:12" hidden="1">
      <c r="A634" s="209" t="s">
        <v>3880</v>
      </c>
      <c r="B634" s="69" t="s">
        <v>3804</v>
      </c>
      <c r="C634" s="69" t="s">
        <v>4270</v>
      </c>
      <c r="D634" s="96" t="s">
        <v>3790</v>
      </c>
      <c r="E634" s="69">
        <v>1</v>
      </c>
      <c r="F634" s="123">
        <v>8.75</v>
      </c>
      <c r="G634" s="123">
        <v>10.25</v>
      </c>
      <c r="H634" s="208">
        <v>10.25</v>
      </c>
      <c r="I634" s="215"/>
      <c r="J634" s="215">
        <v>0</v>
      </c>
      <c r="K634" s="215">
        <v>10.25</v>
      </c>
      <c r="L634" s="216">
        <v>8.75</v>
      </c>
    </row>
    <row r="635" spans="1:12" hidden="1">
      <c r="A635" s="209" t="s">
        <v>3880</v>
      </c>
      <c r="B635" s="69" t="s">
        <v>3658</v>
      </c>
      <c r="C635" s="69" t="s">
        <v>4271</v>
      </c>
      <c r="D635" s="96" t="s">
        <v>3659</v>
      </c>
      <c r="E635" s="69">
        <v>1</v>
      </c>
      <c r="F635" s="123">
        <v>13.12</v>
      </c>
      <c r="G635" s="123">
        <v>15.25</v>
      </c>
      <c r="H635" s="208">
        <v>15.25</v>
      </c>
      <c r="I635" s="215"/>
      <c r="J635" s="215">
        <v>0</v>
      </c>
      <c r="K635" s="215">
        <v>15.25</v>
      </c>
      <c r="L635" s="216">
        <v>13.12</v>
      </c>
    </row>
    <row r="636" spans="1:12" hidden="1">
      <c r="A636" s="209" t="s">
        <v>3880</v>
      </c>
      <c r="B636" s="69" t="s">
        <v>3875</v>
      </c>
      <c r="C636" s="69" t="s">
        <v>4271</v>
      </c>
      <c r="D636" s="96" t="s">
        <v>4205</v>
      </c>
      <c r="E636" s="69">
        <v>1</v>
      </c>
      <c r="F636" s="123">
        <v>5.85</v>
      </c>
      <c r="G636" s="123">
        <v>7</v>
      </c>
      <c r="H636" s="208">
        <v>7</v>
      </c>
      <c r="I636" s="215"/>
      <c r="J636" s="215">
        <v>0</v>
      </c>
      <c r="K636" s="215">
        <v>7</v>
      </c>
      <c r="L636" s="216">
        <v>5.85</v>
      </c>
    </row>
    <row r="637" spans="1:12" hidden="1">
      <c r="A637" s="209" t="s">
        <v>3880</v>
      </c>
      <c r="B637" s="69" t="s">
        <v>3741</v>
      </c>
      <c r="C637" s="69" t="s">
        <v>4271</v>
      </c>
      <c r="D637" s="96" t="s">
        <v>3742</v>
      </c>
      <c r="E637" s="69">
        <v>1</v>
      </c>
      <c r="F637" s="123">
        <v>6.15</v>
      </c>
      <c r="G637" s="123">
        <v>7.25</v>
      </c>
      <c r="H637" s="208">
        <v>7.25</v>
      </c>
      <c r="I637" s="215"/>
      <c r="J637" s="215">
        <v>0</v>
      </c>
      <c r="K637" s="215">
        <v>7.25</v>
      </c>
      <c r="L637" s="216">
        <v>6.15</v>
      </c>
    </row>
    <row r="638" spans="1:12" hidden="1">
      <c r="A638" s="209" t="s">
        <v>3880</v>
      </c>
      <c r="B638" s="69" t="s">
        <v>3876</v>
      </c>
      <c r="C638" s="69" t="s">
        <v>4271</v>
      </c>
      <c r="D638" s="96" t="s">
        <v>4208</v>
      </c>
      <c r="E638" s="69">
        <v>1</v>
      </c>
      <c r="F638" s="123">
        <v>6.18</v>
      </c>
      <c r="G638" s="123">
        <v>7.25</v>
      </c>
      <c r="H638" s="208">
        <v>7.25</v>
      </c>
      <c r="I638" s="215"/>
      <c r="J638" s="215">
        <v>0</v>
      </c>
      <c r="K638" s="215">
        <v>7.25</v>
      </c>
      <c r="L638" s="216">
        <v>6.18</v>
      </c>
    </row>
    <row r="639" spans="1:12" hidden="1">
      <c r="A639" s="209" t="s">
        <v>3880</v>
      </c>
      <c r="B639" s="69" t="s">
        <v>3149</v>
      </c>
      <c r="C639" s="69" t="s">
        <v>4272</v>
      </c>
      <c r="D639" s="96" t="s">
        <v>3150</v>
      </c>
      <c r="E639" s="69">
        <v>24</v>
      </c>
      <c r="F639" s="123">
        <v>13.2</v>
      </c>
      <c r="G639" s="123">
        <v>16</v>
      </c>
      <c r="H639" s="208">
        <v>384</v>
      </c>
      <c r="I639" s="215"/>
      <c r="J639" s="215">
        <v>54</v>
      </c>
      <c r="K639" s="215">
        <v>330</v>
      </c>
      <c r="L639" s="216">
        <v>316.79999999999995</v>
      </c>
    </row>
    <row r="640" spans="1:12" hidden="1">
      <c r="A640" s="209" t="s">
        <v>3880</v>
      </c>
      <c r="B640" s="69" t="s">
        <v>3342</v>
      </c>
      <c r="C640" s="69" t="s">
        <v>4273</v>
      </c>
      <c r="D640" s="96" t="s">
        <v>3343</v>
      </c>
      <c r="E640" s="69">
        <v>1</v>
      </c>
      <c r="F640" s="123">
        <v>0.76</v>
      </c>
      <c r="G640" s="123">
        <v>1</v>
      </c>
      <c r="H640" s="208">
        <v>1</v>
      </c>
      <c r="I640" s="215"/>
      <c r="J640" s="215">
        <v>0</v>
      </c>
      <c r="K640" s="215">
        <v>1</v>
      </c>
      <c r="L640" s="216">
        <v>0.76</v>
      </c>
    </row>
    <row r="641" spans="1:12" hidden="1">
      <c r="A641" s="209" t="s">
        <v>3880</v>
      </c>
      <c r="B641" s="69" t="s">
        <v>102</v>
      </c>
      <c r="C641" s="69" t="s">
        <v>4274</v>
      </c>
      <c r="D641" s="96" t="s">
        <v>103</v>
      </c>
      <c r="E641" s="69">
        <v>1</v>
      </c>
      <c r="F641" s="123">
        <v>7.06</v>
      </c>
      <c r="G641" s="123">
        <v>8.25</v>
      </c>
      <c r="H641" s="208">
        <v>8.25</v>
      </c>
      <c r="I641" s="215"/>
      <c r="J641" s="215">
        <v>0</v>
      </c>
      <c r="K641" s="215">
        <v>8.25</v>
      </c>
      <c r="L641" s="216">
        <v>7.06</v>
      </c>
    </row>
    <row r="642" spans="1:12" hidden="1">
      <c r="A642" s="209" t="s">
        <v>3880</v>
      </c>
      <c r="B642" s="69" t="s">
        <v>1260</v>
      </c>
      <c r="C642" s="69" t="s">
        <v>4275</v>
      </c>
      <c r="D642" s="96" t="s">
        <v>1261</v>
      </c>
      <c r="E642" s="69">
        <v>1</v>
      </c>
      <c r="F642" s="123">
        <v>38.39</v>
      </c>
      <c r="G642" s="123">
        <v>44.25</v>
      </c>
      <c r="H642" s="208">
        <v>44.25</v>
      </c>
      <c r="I642" s="215"/>
      <c r="J642" s="215">
        <v>0</v>
      </c>
      <c r="K642" s="215">
        <v>44.25</v>
      </c>
      <c r="L642" s="216">
        <v>38.39</v>
      </c>
    </row>
    <row r="643" spans="1:12" hidden="1">
      <c r="A643" s="209" t="s">
        <v>3880</v>
      </c>
      <c r="B643" s="69" t="s">
        <v>3222</v>
      </c>
      <c r="C643" s="69" t="s">
        <v>4276</v>
      </c>
      <c r="D643" s="96" t="s">
        <v>3223</v>
      </c>
      <c r="E643" s="69">
        <v>1</v>
      </c>
      <c r="F643" s="123">
        <v>22.73</v>
      </c>
      <c r="G643" s="123">
        <v>26.25</v>
      </c>
      <c r="H643" s="208">
        <v>26.25</v>
      </c>
      <c r="I643" s="215"/>
      <c r="J643" s="215">
        <v>0</v>
      </c>
      <c r="K643" s="215">
        <v>26.25</v>
      </c>
      <c r="L643" s="216">
        <v>22.73</v>
      </c>
    </row>
    <row r="644" spans="1:12" hidden="1">
      <c r="A644" s="209" t="s">
        <v>3880</v>
      </c>
      <c r="B644" s="69" t="s">
        <v>180</v>
      </c>
      <c r="C644" s="69" t="s">
        <v>4276</v>
      </c>
      <c r="D644" s="96" t="s">
        <v>181</v>
      </c>
      <c r="E644" s="69">
        <v>1</v>
      </c>
      <c r="F644" s="123">
        <v>16.579999999999998</v>
      </c>
      <c r="G644" s="123">
        <v>19</v>
      </c>
      <c r="H644" s="208">
        <v>19</v>
      </c>
      <c r="I644" s="215"/>
      <c r="J644" s="215">
        <v>0</v>
      </c>
      <c r="K644" s="215">
        <v>19</v>
      </c>
      <c r="L644" s="216">
        <v>16.579999999999998</v>
      </c>
    </row>
    <row r="645" spans="1:12" hidden="1">
      <c r="A645" s="209" t="s">
        <v>3880</v>
      </c>
      <c r="B645" s="69" t="s">
        <v>269</v>
      </c>
      <c r="C645" s="69" t="s">
        <v>4277</v>
      </c>
      <c r="D645" s="96" t="s">
        <v>270</v>
      </c>
      <c r="E645" s="69">
        <v>1</v>
      </c>
      <c r="F645" s="123">
        <v>15.12</v>
      </c>
      <c r="G645" s="123">
        <v>17.5</v>
      </c>
      <c r="H645" s="208">
        <v>17.5</v>
      </c>
      <c r="I645" s="215"/>
      <c r="J645" s="215">
        <v>0</v>
      </c>
      <c r="K645" s="215">
        <v>17.5</v>
      </c>
      <c r="L645" s="216">
        <v>15.12</v>
      </c>
    </row>
    <row r="646" spans="1:12" hidden="1">
      <c r="A646" s="209" t="s">
        <v>3880</v>
      </c>
      <c r="B646" s="69" t="s">
        <v>3142</v>
      </c>
      <c r="C646" s="69" t="s">
        <v>4278</v>
      </c>
      <c r="D646" s="96" t="s">
        <v>3143</v>
      </c>
      <c r="E646" s="69">
        <v>1</v>
      </c>
      <c r="F646" s="123">
        <v>23.21</v>
      </c>
      <c r="G646" s="123">
        <v>26.75</v>
      </c>
      <c r="H646" s="208">
        <v>26.75</v>
      </c>
      <c r="I646" s="215"/>
      <c r="J646" s="215">
        <v>0</v>
      </c>
      <c r="K646" s="215">
        <v>26.75</v>
      </c>
      <c r="L646" s="216">
        <v>23.21</v>
      </c>
    </row>
    <row r="647" spans="1:12" hidden="1">
      <c r="A647" s="209" t="s">
        <v>3880</v>
      </c>
      <c r="B647" s="69" t="s">
        <v>1297</v>
      </c>
      <c r="C647" s="69" t="s">
        <v>4279</v>
      </c>
      <c r="D647" s="96" t="s">
        <v>1298</v>
      </c>
      <c r="E647" s="69">
        <v>1</v>
      </c>
      <c r="F647" s="123">
        <v>53.81</v>
      </c>
      <c r="G647" s="123">
        <v>62</v>
      </c>
      <c r="H647" s="208">
        <v>62</v>
      </c>
      <c r="I647" s="215"/>
      <c r="J647" s="215">
        <v>0</v>
      </c>
      <c r="K647" s="215">
        <v>62</v>
      </c>
      <c r="L647" s="216">
        <v>53.81</v>
      </c>
    </row>
    <row r="648" spans="1:12" hidden="1">
      <c r="A648" s="209" t="s">
        <v>3880</v>
      </c>
      <c r="B648" s="69" t="s">
        <v>3342</v>
      </c>
      <c r="C648" s="69" t="s">
        <v>4280</v>
      </c>
      <c r="D648" s="96" t="s">
        <v>3343</v>
      </c>
      <c r="E648" s="69">
        <v>4</v>
      </c>
      <c r="F648" s="123">
        <v>0.76</v>
      </c>
      <c r="G648" s="123">
        <v>1</v>
      </c>
      <c r="H648" s="208">
        <v>4</v>
      </c>
      <c r="I648" s="215"/>
      <c r="J648" s="215">
        <v>0</v>
      </c>
      <c r="K648" s="215">
        <v>4</v>
      </c>
      <c r="L648" s="216">
        <v>3.04</v>
      </c>
    </row>
    <row r="649" spans="1:12" hidden="1">
      <c r="A649" s="209" t="s">
        <v>3880</v>
      </c>
      <c r="B649" s="69" t="s">
        <v>2613</v>
      </c>
      <c r="C649" s="69" t="s">
        <v>4281</v>
      </c>
      <c r="D649" s="96" t="s">
        <v>2614</v>
      </c>
      <c r="E649" s="69">
        <v>12</v>
      </c>
      <c r="F649" s="123">
        <v>6.38</v>
      </c>
      <c r="G649" s="123">
        <v>7.5</v>
      </c>
      <c r="H649" s="208">
        <v>90</v>
      </c>
      <c r="I649" s="215"/>
      <c r="J649" s="215">
        <v>0</v>
      </c>
      <c r="K649" s="215">
        <v>90</v>
      </c>
      <c r="L649" s="216">
        <v>76.56</v>
      </c>
    </row>
    <row r="650" spans="1:12" hidden="1">
      <c r="A650" s="209" t="s">
        <v>3880</v>
      </c>
      <c r="B650" s="69" t="s">
        <v>915</v>
      </c>
      <c r="C650" s="69" t="s">
        <v>4282</v>
      </c>
      <c r="D650" s="96" t="s">
        <v>916</v>
      </c>
      <c r="E650" s="69">
        <v>1</v>
      </c>
      <c r="F650" s="123">
        <v>38.57</v>
      </c>
      <c r="G650" s="123">
        <v>44.5</v>
      </c>
      <c r="H650" s="208">
        <v>44.5</v>
      </c>
      <c r="I650" s="215"/>
      <c r="J650" s="215">
        <v>0</v>
      </c>
      <c r="K650" s="215">
        <v>44.5</v>
      </c>
      <c r="L650" s="216">
        <v>38.57</v>
      </c>
    </row>
    <row r="651" spans="1:12" hidden="1">
      <c r="A651" s="209" t="s">
        <v>3880</v>
      </c>
      <c r="B651" s="69" t="s">
        <v>205</v>
      </c>
      <c r="C651" s="69" t="s">
        <v>4283</v>
      </c>
      <c r="D651" s="96" t="s">
        <v>206</v>
      </c>
      <c r="E651" s="69">
        <v>1</v>
      </c>
      <c r="F651" s="123">
        <v>33.1</v>
      </c>
      <c r="G651" s="123">
        <v>38.25</v>
      </c>
      <c r="H651" s="208">
        <v>38.25</v>
      </c>
      <c r="I651" s="215"/>
      <c r="J651" s="215">
        <v>0</v>
      </c>
      <c r="K651" s="215">
        <v>38.25</v>
      </c>
      <c r="L651" s="216">
        <v>33.1</v>
      </c>
    </row>
    <row r="652" spans="1:12" hidden="1">
      <c r="A652" s="209" t="s">
        <v>3880</v>
      </c>
      <c r="B652" s="69" t="s">
        <v>2205</v>
      </c>
      <c r="C652" s="69" t="s">
        <v>4284</v>
      </c>
      <c r="D652" s="96" t="s">
        <v>2206</v>
      </c>
      <c r="E652" s="69">
        <v>1</v>
      </c>
      <c r="F652" s="123">
        <v>302.13</v>
      </c>
      <c r="G652" s="123">
        <v>362.75</v>
      </c>
      <c r="H652" s="208">
        <v>362.75</v>
      </c>
      <c r="I652" s="215"/>
      <c r="J652" s="215">
        <v>0</v>
      </c>
      <c r="K652" s="215">
        <v>362.75</v>
      </c>
      <c r="L652" s="216">
        <v>302.13</v>
      </c>
    </row>
    <row r="653" spans="1:12" hidden="1">
      <c r="A653" s="209" t="s">
        <v>3880</v>
      </c>
      <c r="B653" s="69" t="s">
        <v>96</v>
      </c>
      <c r="C653" s="69" t="s">
        <v>4285</v>
      </c>
      <c r="D653" s="96" t="s">
        <v>97</v>
      </c>
      <c r="E653" s="69">
        <v>1</v>
      </c>
      <c r="F653" s="123">
        <v>17.649999999999999</v>
      </c>
      <c r="G653" s="123">
        <v>20.5</v>
      </c>
      <c r="H653" s="208">
        <v>20.5</v>
      </c>
      <c r="I653" s="215"/>
      <c r="J653" s="215">
        <v>0</v>
      </c>
      <c r="K653" s="215">
        <v>20.5</v>
      </c>
      <c r="L653" s="216">
        <v>17.649999999999999</v>
      </c>
    </row>
    <row r="654" spans="1:12" hidden="1">
      <c r="A654" s="209" t="s">
        <v>3880</v>
      </c>
      <c r="B654" s="69" t="s">
        <v>296</v>
      </c>
      <c r="C654" s="69" t="s">
        <v>4286</v>
      </c>
      <c r="D654" s="96" t="s">
        <v>297</v>
      </c>
      <c r="E654" s="69">
        <v>1</v>
      </c>
      <c r="F654" s="123">
        <v>7.06</v>
      </c>
      <c r="G654" s="123">
        <v>8.25</v>
      </c>
      <c r="H654" s="208">
        <v>8.25</v>
      </c>
      <c r="I654" s="215"/>
      <c r="J654" s="215">
        <v>0</v>
      </c>
      <c r="K654" s="215">
        <v>8.25</v>
      </c>
      <c r="L654" s="216">
        <v>7.06</v>
      </c>
    </row>
    <row r="655" spans="1:12" hidden="1">
      <c r="A655" s="209" t="s">
        <v>3880</v>
      </c>
      <c r="B655" s="69" t="s">
        <v>3342</v>
      </c>
      <c r="C655" s="69" t="s">
        <v>4287</v>
      </c>
      <c r="D655" s="96" t="s">
        <v>3343</v>
      </c>
      <c r="E655" s="69">
        <v>1</v>
      </c>
      <c r="F655" s="123">
        <v>0.76</v>
      </c>
      <c r="G655" s="123">
        <v>1</v>
      </c>
      <c r="H655" s="208">
        <v>1</v>
      </c>
      <c r="I655" s="215"/>
      <c r="J655" s="215">
        <v>0</v>
      </c>
      <c r="K655" s="215">
        <v>1</v>
      </c>
      <c r="L655" s="216">
        <v>0.76</v>
      </c>
    </row>
    <row r="656" spans="1:12" hidden="1">
      <c r="A656" s="209" t="s">
        <v>3880</v>
      </c>
      <c r="B656" s="69" t="s">
        <v>100</v>
      </c>
      <c r="C656" s="69" t="s">
        <v>4288</v>
      </c>
      <c r="D656" s="96" t="s">
        <v>101</v>
      </c>
      <c r="E656" s="69">
        <v>1</v>
      </c>
      <c r="F656" s="123">
        <v>17.649999999999999</v>
      </c>
      <c r="G656" s="123">
        <v>18.75</v>
      </c>
      <c r="H656" s="208">
        <v>18.75</v>
      </c>
      <c r="I656" s="215"/>
      <c r="J656" s="215">
        <v>0</v>
      </c>
      <c r="K656" s="215">
        <v>18.75</v>
      </c>
      <c r="L656" s="216">
        <v>17.649999999999999</v>
      </c>
    </row>
    <row r="657" spans="1:12" hidden="1">
      <c r="A657" s="209" t="s">
        <v>3880</v>
      </c>
      <c r="B657" s="69" t="s">
        <v>3741</v>
      </c>
      <c r="C657" s="69" t="s">
        <v>4289</v>
      </c>
      <c r="D657" s="96" t="s">
        <v>3742</v>
      </c>
      <c r="E657" s="69">
        <v>1</v>
      </c>
      <c r="F657" s="123">
        <v>6.15</v>
      </c>
      <c r="G657" s="123">
        <v>7.25</v>
      </c>
      <c r="H657" s="208">
        <v>7.25</v>
      </c>
      <c r="I657" s="215"/>
      <c r="J657" s="215">
        <v>0</v>
      </c>
      <c r="K657" s="215">
        <v>7.25</v>
      </c>
      <c r="L657" s="216">
        <v>6.15</v>
      </c>
    </row>
    <row r="658" spans="1:12" hidden="1">
      <c r="A658" s="209" t="s">
        <v>3880</v>
      </c>
      <c r="B658" s="69" t="s">
        <v>68</v>
      </c>
      <c r="C658" s="69" t="s">
        <v>4289</v>
      </c>
      <c r="D658" s="96" t="s">
        <v>69</v>
      </c>
      <c r="E658" s="69">
        <v>1</v>
      </c>
      <c r="F658" s="123">
        <v>18.53</v>
      </c>
      <c r="G658" s="123">
        <v>21.5</v>
      </c>
      <c r="H658" s="208">
        <v>21.5</v>
      </c>
      <c r="I658" s="215"/>
      <c r="J658" s="215">
        <v>0</v>
      </c>
      <c r="K658" s="215">
        <v>21.5</v>
      </c>
      <c r="L658" s="216">
        <v>18.53</v>
      </c>
    </row>
    <row r="659" spans="1:12" hidden="1">
      <c r="A659" s="209" t="s">
        <v>3880</v>
      </c>
      <c r="B659" s="69" t="s">
        <v>3222</v>
      </c>
      <c r="C659" s="69" t="s">
        <v>4289</v>
      </c>
      <c r="D659" s="96" t="s">
        <v>3223</v>
      </c>
      <c r="E659" s="69">
        <v>1</v>
      </c>
      <c r="F659" s="123">
        <v>22.73</v>
      </c>
      <c r="G659" s="123">
        <v>26.25</v>
      </c>
      <c r="H659" s="208">
        <v>26.25</v>
      </c>
      <c r="I659" s="215"/>
      <c r="J659" s="215">
        <v>0</v>
      </c>
      <c r="K659" s="215">
        <v>26.25</v>
      </c>
      <c r="L659" s="216">
        <v>22.73</v>
      </c>
    </row>
    <row r="660" spans="1:12" hidden="1">
      <c r="A660" s="209" t="s">
        <v>3880</v>
      </c>
      <c r="B660" s="69" t="s">
        <v>147</v>
      </c>
      <c r="C660" s="69" t="s">
        <v>4289</v>
      </c>
      <c r="D660" s="96" t="s">
        <v>148</v>
      </c>
      <c r="E660" s="69">
        <v>1</v>
      </c>
      <c r="F660" s="123">
        <v>12.69</v>
      </c>
      <c r="G660" s="123">
        <v>14.75</v>
      </c>
      <c r="H660" s="208">
        <v>14.75</v>
      </c>
      <c r="I660" s="215"/>
      <c r="J660" s="215">
        <v>0</v>
      </c>
      <c r="K660" s="215">
        <v>14.75</v>
      </c>
      <c r="L660" s="216">
        <v>12.69</v>
      </c>
    </row>
    <row r="661" spans="1:12" hidden="1">
      <c r="A661" s="209" t="s">
        <v>3880</v>
      </c>
      <c r="B661" s="69" t="s">
        <v>2461</v>
      </c>
      <c r="C661" s="69" t="s">
        <v>4290</v>
      </c>
      <c r="D661" s="96" t="s">
        <v>2462</v>
      </c>
      <c r="E661" s="69">
        <v>12</v>
      </c>
      <c r="F661" s="123">
        <v>6.12</v>
      </c>
      <c r="G661" s="123">
        <v>7.5</v>
      </c>
      <c r="H661" s="208">
        <v>90</v>
      </c>
      <c r="I661" s="215"/>
      <c r="J661" s="215">
        <v>0</v>
      </c>
      <c r="K661" s="215">
        <v>90</v>
      </c>
      <c r="L661" s="216">
        <v>73.44</v>
      </c>
    </row>
    <row r="662" spans="1:12" hidden="1">
      <c r="A662" s="209" t="s">
        <v>3880</v>
      </c>
      <c r="B662" s="69" t="s">
        <v>915</v>
      </c>
      <c r="C662" s="69" t="s">
        <v>4291</v>
      </c>
      <c r="D662" s="96" t="s">
        <v>916</v>
      </c>
      <c r="E662" s="69">
        <v>1</v>
      </c>
      <c r="F662" s="123">
        <v>38.57</v>
      </c>
      <c r="G662" s="123">
        <v>44.5</v>
      </c>
      <c r="H662" s="208">
        <v>44.5</v>
      </c>
      <c r="I662" s="215"/>
      <c r="J662" s="215">
        <v>0</v>
      </c>
      <c r="K662" s="215">
        <v>44.5</v>
      </c>
      <c r="L662" s="216">
        <v>38.57</v>
      </c>
    </row>
    <row r="663" spans="1:12" hidden="1">
      <c r="A663" s="209" t="s">
        <v>3880</v>
      </c>
      <c r="B663" s="69" t="s">
        <v>147</v>
      </c>
      <c r="C663" s="69" t="s">
        <v>4292</v>
      </c>
      <c r="D663" s="96" t="s">
        <v>148</v>
      </c>
      <c r="E663" s="69">
        <v>1</v>
      </c>
      <c r="F663" s="123">
        <v>12.69</v>
      </c>
      <c r="G663" s="123">
        <v>14.75</v>
      </c>
      <c r="H663" s="208">
        <v>14.75</v>
      </c>
      <c r="I663" s="215"/>
      <c r="J663" s="215">
        <v>0</v>
      </c>
      <c r="K663" s="215">
        <v>14.75</v>
      </c>
      <c r="L663" s="216">
        <v>12.69</v>
      </c>
    </row>
    <row r="664" spans="1:12" hidden="1">
      <c r="A664" s="209" t="s">
        <v>3880</v>
      </c>
      <c r="B664" s="69" t="s">
        <v>269</v>
      </c>
      <c r="C664" s="69" t="s">
        <v>4293</v>
      </c>
      <c r="D664" s="96" t="s">
        <v>270</v>
      </c>
      <c r="E664" s="69">
        <v>1</v>
      </c>
      <c r="F664" s="123">
        <v>15.12</v>
      </c>
      <c r="G664" s="123">
        <v>17.5</v>
      </c>
      <c r="H664" s="208">
        <v>17.5</v>
      </c>
      <c r="I664" s="215"/>
      <c r="J664" s="215">
        <v>0</v>
      </c>
      <c r="K664" s="215">
        <v>17.5</v>
      </c>
      <c r="L664" s="216">
        <v>15.12</v>
      </c>
    </row>
    <row r="665" spans="1:12" hidden="1">
      <c r="A665" s="209" t="s">
        <v>3881</v>
      </c>
      <c r="B665" s="69" t="s">
        <v>1246</v>
      </c>
      <c r="C665" s="69" t="s">
        <v>4294</v>
      </c>
      <c r="D665" s="96" t="s">
        <v>1247</v>
      </c>
      <c r="E665" s="69">
        <v>1</v>
      </c>
      <c r="F665" s="123">
        <v>28.5</v>
      </c>
      <c r="G665" s="123">
        <v>33.75</v>
      </c>
      <c r="H665" s="208">
        <v>33.75</v>
      </c>
      <c r="I665" s="215"/>
      <c r="J665" s="215">
        <v>0</v>
      </c>
      <c r="K665" s="215">
        <v>33.75</v>
      </c>
      <c r="L665" s="216">
        <v>28.5</v>
      </c>
    </row>
    <row r="666" spans="1:12" hidden="1">
      <c r="A666" s="209" t="s">
        <v>3881</v>
      </c>
      <c r="B666" s="69" t="s">
        <v>2217</v>
      </c>
      <c r="C666" s="69" t="s">
        <v>4294</v>
      </c>
      <c r="D666" s="96" t="s">
        <v>2218</v>
      </c>
      <c r="E666" s="69">
        <v>1</v>
      </c>
      <c r="F666" s="123">
        <v>23</v>
      </c>
      <c r="G666" s="123">
        <v>26.5</v>
      </c>
      <c r="H666" s="208">
        <v>26.5</v>
      </c>
      <c r="I666" s="215"/>
      <c r="J666" s="215">
        <v>0</v>
      </c>
      <c r="K666" s="215">
        <v>26.5</v>
      </c>
      <c r="L666" s="216">
        <v>23</v>
      </c>
    </row>
    <row r="667" spans="1:12" hidden="1">
      <c r="A667" s="209" t="s">
        <v>3881</v>
      </c>
      <c r="B667" s="69" t="s">
        <v>1174</v>
      </c>
      <c r="C667" s="69" t="s">
        <v>4295</v>
      </c>
      <c r="D667" s="96" t="s">
        <v>1175</v>
      </c>
      <c r="E667" s="69">
        <v>1</v>
      </c>
      <c r="F667" s="123">
        <v>13.1</v>
      </c>
      <c r="G667" s="123">
        <v>15</v>
      </c>
      <c r="H667" s="208">
        <v>15</v>
      </c>
      <c r="I667" s="215"/>
      <c r="J667" s="215">
        <v>0</v>
      </c>
      <c r="K667" s="215">
        <v>15</v>
      </c>
      <c r="L667" s="216">
        <v>13.1</v>
      </c>
    </row>
    <row r="668" spans="1:12" hidden="1">
      <c r="A668" s="209" t="s">
        <v>3881</v>
      </c>
      <c r="B668" s="69" t="s">
        <v>180</v>
      </c>
      <c r="C668" s="69" t="s">
        <v>4296</v>
      </c>
      <c r="D668" s="96" t="s">
        <v>181</v>
      </c>
      <c r="E668" s="69">
        <v>1</v>
      </c>
      <c r="F668" s="123">
        <v>16.579999999999998</v>
      </c>
      <c r="G668" s="123">
        <v>19</v>
      </c>
      <c r="H668" s="208">
        <v>19</v>
      </c>
      <c r="I668" s="215"/>
      <c r="J668" s="215">
        <v>0</v>
      </c>
      <c r="K668" s="215">
        <v>19</v>
      </c>
      <c r="L668" s="216">
        <v>16.579999999999998</v>
      </c>
    </row>
    <row r="669" spans="1:12" hidden="1">
      <c r="A669" s="209" t="s">
        <v>3881</v>
      </c>
      <c r="B669" s="69" t="s">
        <v>150</v>
      </c>
      <c r="C669" s="69" t="s">
        <v>4297</v>
      </c>
      <c r="D669" s="96" t="s">
        <v>151</v>
      </c>
      <c r="E669" s="69">
        <v>1</v>
      </c>
      <c r="F669" s="123">
        <v>34.380000000000003</v>
      </c>
      <c r="G669" s="123">
        <v>39.75</v>
      </c>
      <c r="H669" s="208">
        <v>39.75</v>
      </c>
      <c r="I669" s="215"/>
      <c r="J669" s="215">
        <v>0</v>
      </c>
      <c r="K669" s="215">
        <v>39.75</v>
      </c>
      <c r="L669" s="216">
        <v>34.380000000000003</v>
      </c>
    </row>
    <row r="670" spans="1:12" hidden="1">
      <c r="A670" s="209" t="s">
        <v>3881</v>
      </c>
      <c r="B670" s="69" t="s">
        <v>3876</v>
      </c>
      <c r="C670" s="69" t="s">
        <v>4298</v>
      </c>
      <c r="D670" s="96" t="s">
        <v>4208</v>
      </c>
      <c r="E670" s="69">
        <v>1</v>
      </c>
      <c r="F670" s="123">
        <v>6.18</v>
      </c>
      <c r="G670" s="123">
        <v>7.25</v>
      </c>
      <c r="H670" s="208">
        <v>7.25</v>
      </c>
      <c r="I670" s="215"/>
      <c r="J670" s="215">
        <v>0</v>
      </c>
      <c r="K670" s="215">
        <v>7.25</v>
      </c>
      <c r="L670" s="216">
        <v>6.18</v>
      </c>
    </row>
    <row r="671" spans="1:12" hidden="1">
      <c r="A671" s="209" t="s">
        <v>3881</v>
      </c>
      <c r="B671" s="69" t="s">
        <v>2648</v>
      </c>
      <c r="C671" s="69" t="s">
        <v>4299</v>
      </c>
      <c r="D671" s="96" t="s">
        <v>2649</v>
      </c>
      <c r="E671" s="69">
        <v>1</v>
      </c>
      <c r="F671" s="123">
        <v>18.98</v>
      </c>
      <c r="G671" s="123">
        <v>22</v>
      </c>
      <c r="H671" s="208">
        <v>22</v>
      </c>
      <c r="I671" s="215"/>
      <c r="J671" s="215">
        <v>0</v>
      </c>
      <c r="K671" s="215">
        <v>22</v>
      </c>
      <c r="L671" s="216">
        <v>18.98</v>
      </c>
    </row>
    <row r="672" spans="1:12" hidden="1">
      <c r="A672" s="209" t="s">
        <v>3881</v>
      </c>
      <c r="B672" s="69" t="s">
        <v>919</v>
      </c>
      <c r="C672" s="69" t="s">
        <v>4300</v>
      </c>
      <c r="D672" s="96" t="s">
        <v>920</v>
      </c>
      <c r="E672" s="69">
        <v>1</v>
      </c>
      <c r="F672" s="123">
        <v>12.66</v>
      </c>
      <c r="G672" s="123">
        <v>14.25</v>
      </c>
      <c r="H672" s="208">
        <v>14.25</v>
      </c>
      <c r="I672" s="215"/>
      <c r="J672" s="215">
        <v>0</v>
      </c>
      <c r="K672" s="215">
        <v>14.25</v>
      </c>
      <c r="L672" s="216">
        <v>12.66</v>
      </c>
    </row>
    <row r="673" spans="1:12" hidden="1">
      <c r="A673" s="209" t="s">
        <v>3881</v>
      </c>
      <c r="B673" s="69" t="s">
        <v>3854</v>
      </c>
      <c r="C673" s="69" t="s">
        <v>4300</v>
      </c>
      <c r="D673" s="96" t="s">
        <v>4053</v>
      </c>
      <c r="E673" s="69">
        <v>1</v>
      </c>
      <c r="F673" s="123">
        <v>5.8</v>
      </c>
      <c r="G673" s="123">
        <v>7</v>
      </c>
      <c r="H673" s="208">
        <v>7</v>
      </c>
      <c r="I673" s="215"/>
      <c r="J673" s="215">
        <v>0</v>
      </c>
      <c r="K673" s="215">
        <v>7</v>
      </c>
      <c r="L673" s="216">
        <v>5.8</v>
      </c>
    </row>
    <row r="674" spans="1:12" hidden="1">
      <c r="A674" s="209" t="s">
        <v>3881</v>
      </c>
      <c r="B674" s="69" t="s">
        <v>3741</v>
      </c>
      <c r="C674" s="69" t="s">
        <v>4300</v>
      </c>
      <c r="D674" s="96" t="s">
        <v>3742</v>
      </c>
      <c r="E674" s="69">
        <v>1</v>
      </c>
      <c r="F674" s="123">
        <v>6.15</v>
      </c>
      <c r="G674" s="123">
        <v>7.25</v>
      </c>
      <c r="H674" s="208">
        <v>7.25</v>
      </c>
      <c r="I674" s="215"/>
      <c r="J674" s="215">
        <v>0</v>
      </c>
      <c r="K674" s="215">
        <v>7.25</v>
      </c>
      <c r="L674" s="216">
        <v>6.15</v>
      </c>
    </row>
    <row r="675" spans="1:12" hidden="1">
      <c r="A675" s="209" t="s">
        <v>3881</v>
      </c>
      <c r="B675" s="69" t="s">
        <v>3741</v>
      </c>
      <c r="C675" s="69" t="s">
        <v>4301</v>
      </c>
      <c r="D675" s="96" t="s">
        <v>3742</v>
      </c>
      <c r="E675" s="69">
        <v>2</v>
      </c>
      <c r="F675" s="123">
        <v>6.15</v>
      </c>
      <c r="G675" s="123">
        <v>7.25</v>
      </c>
      <c r="H675" s="208">
        <v>14.5</v>
      </c>
      <c r="I675" s="215"/>
      <c r="J675" s="215">
        <v>0</v>
      </c>
      <c r="K675" s="215">
        <v>14.5</v>
      </c>
      <c r="L675" s="216">
        <v>12.3</v>
      </c>
    </row>
    <row r="676" spans="1:12" hidden="1">
      <c r="A676" s="209" t="s">
        <v>3881</v>
      </c>
      <c r="B676" s="69" t="s">
        <v>3876</v>
      </c>
      <c r="C676" s="69" t="s">
        <v>4302</v>
      </c>
      <c r="D676" s="96" t="s">
        <v>4208</v>
      </c>
      <c r="E676" s="69">
        <v>1</v>
      </c>
      <c r="F676" s="123">
        <v>6.18</v>
      </c>
      <c r="G676" s="123">
        <v>7.25</v>
      </c>
      <c r="H676" s="208">
        <v>7.25</v>
      </c>
      <c r="I676" s="215"/>
      <c r="J676" s="215">
        <v>0</v>
      </c>
      <c r="K676" s="215">
        <v>7.25</v>
      </c>
      <c r="L676" s="216">
        <v>6.18</v>
      </c>
    </row>
    <row r="677" spans="1:12" hidden="1">
      <c r="A677" s="209" t="s">
        <v>3881</v>
      </c>
      <c r="B677" s="69" t="s">
        <v>271</v>
      </c>
      <c r="C677" s="69" t="s">
        <v>4303</v>
      </c>
      <c r="D677" s="96" t="s">
        <v>272</v>
      </c>
      <c r="E677" s="69">
        <v>2</v>
      </c>
      <c r="F677" s="123">
        <v>31.6</v>
      </c>
      <c r="G677" s="123">
        <v>36.33</v>
      </c>
      <c r="H677" s="208">
        <v>72.66</v>
      </c>
      <c r="I677" s="215"/>
      <c r="J677" s="215">
        <v>0</v>
      </c>
      <c r="K677" s="215">
        <v>72.66</v>
      </c>
      <c r="L677" s="216">
        <v>63.2</v>
      </c>
    </row>
    <row r="678" spans="1:12" hidden="1">
      <c r="A678" s="209" t="s">
        <v>3881</v>
      </c>
      <c r="B678" s="69" t="s">
        <v>1447</v>
      </c>
      <c r="C678" s="69" t="s">
        <v>4304</v>
      </c>
      <c r="D678" s="96" t="s">
        <v>1448</v>
      </c>
      <c r="E678" s="69">
        <v>1</v>
      </c>
      <c r="F678" s="123">
        <v>22.59</v>
      </c>
      <c r="G678" s="123">
        <v>26</v>
      </c>
      <c r="H678" s="208">
        <v>26</v>
      </c>
      <c r="I678" s="215"/>
      <c r="J678" s="215">
        <v>0</v>
      </c>
      <c r="K678" s="215">
        <v>26</v>
      </c>
      <c r="L678" s="216">
        <v>22.59</v>
      </c>
    </row>
    <row r="679" spans="1:12" hidden="1">
      <c r="A679" s="209" t="s">
        <v>3881</v>
      </c>
      <c r="B679" s="69" t="s">
        <v>3342</v>
      </c>
      <c r="C679" s="69" t="s">
        <v>4305</v>
      </c>
      <c r="D679" s="96" t="s">
        <v>3343</v>
      </c>
      <c r="E679" s="69">
        <v>1</v>
      </c>
      <c r="F679" s="123">
        <v>0.76</v>
      </c>
      <c r="G679" s="123">
        <v>1</v>
      </c>
      <c r="H679" s="208">
        <v>1</v>
      </c>
      <c r="I679" s="215"/>
      <c r="J679" s="215">
        <v>0</v>
      </c>
      <c r="K679" s="215">
        <v>1</v>
      </c>
      <c r="L679" s="216">
        <v>0.76</v>
      </c>
    </row>
    <row r="680" spans="1:12" hidden="1">
      <c r="A680" s="209" t="s">
        <v>3881</v>
      </c>
      <c r="B680" s="69" t="s">
        <v>3397</v>
      </c>
      <c r="C680" s="69" t="s">
        <v>4306</v>
      </c>
      <c r="D680" s="96" t="s">
        <v>3398</v>
      </c>
      <c r="E680" s="69">
        <v>2</v>
      </c>
      <c r="F680" s="123">
        <v>53.64</v>
      </c>
      <c r="G680" s="123">
        <v>61.75</v>
      </c>
      <c r="H680" s="208">
        <v>123.5</v>
      </c>
      <c r="I680" s="215"/>
      <c r="J680" s="215">
        <v>0</v>
      </c>
      <c r="K680" s="215">
        <v>123.5</v>
      </c>
      <c r="L680" s="216">
        <v>107.28</v>
      </c>
    </row>
    <row r="681" spans="1:12" hidden="1">
      <c r="A681" s="209" t="s">
        <v>3881</v>
      </c>
      <c r="B681" s="69" t="s">
        <v>2633</v>
      </c>
      <c r="C681" s="69" t="s">
        <v>4307</v>
      </c>
      <c r="D681" s="96" t="s">
        <v>2634</v>
      </c>
      <c r="E681" s="69">
        <v>2</v>
      </c>
      <c r="F681" s="123">
        <v>14.43</v>
      </c>
      <c r="G681" s="123">
        <v>17</v>
      </c>
      <c r="H681" s="208">
        <v>34</v>
      </c>
      <c r="I681" s="215"/>
      <c r="J681" s="215">
        <v>0</v>
      </c>
      <c r="K681" s="215">
        <v>34</v>
      </c>
      <c r="L681" s="216">
        <v>28.86</v>
      </c>
    </row>
    <row r="682" spans="1:12" hidden="1">
      <c r="A682" s="209" t="s">
        <v>3881</v>
      </c>
      <c r="B682" s="69" t="s">
        <v>3713</v>
      </c>
      <c r="C682" s="69" t="s">
        <v>4308</v>
      </c>
      <c r="D682" s="96" t="s">
        <v>3714</v>
      </c>
      <c r="E682" s="69">
        <v>1</v>
      </c>
      <c r="F682" s="123">
        <v>9.27</v>
      </c>
      <c r="G682" s="123">
        <v>10.75</v>
      </c>
      <c r="H682" s="208">
        <v>10.75</v>
      </c>
      <c r="I682" s="215"/>
      <c r="J682" s="215">
        <v>0</v>
      </c>
      <c r="K682" s="215">
        <v>10.75</v>
      </c>
      <c r="L682" s="216">
        <v>9.27</v>
      </c>
    </row>
    <row r="683" spans="1:12" hidden="1">
      <c r="A683" s="209" t="s">
        <v>3881</v>
      </c>
      <c r="B683" s="69" t="s">
        <v>3747</v>
      </c>
      <c r="C683" s="69" t="s">
        <v>4309</v>
      </c>
      <c r="D683" s="96" t="s">
        <v>3748</v>
      </c>
      <c r="E683" s="69">
        <v>1</v>
      </c>
      <c r="F683" s="123">
        <v>50.88</v>
      </c>
      <c r="G683" s="123">
        <v>58.75</v>
      </c>
      <c r="H683" s="208">
        <v>58.75</v>
      </c>
      <c r="I683" s="215"/>
      <c r="J683" s="215">
        <v>0</v>
      </c>
      <c r="K683" s="215">
        <v>58.75</v>
      </c>
      <c r="L683" s="216">
        <v>50.88</v>
      </c>
    </row>
    <row r="684" spans="1:12" hidden="1">
      <c r="A684" s="209" t="s">
        <v>3881</v>
      </c>
      <c r="B684" s="69" t="s">
        <v>3749</v>
      </c>
      <c r="C684" s="69" t="s">
        <v>4309</v>
      </c>
      <c r="D684" s="96" t="s">
        <v>3750</v>
      </c>
      <c r="E684" s="69">
        <v>1</v>
      </c>
      <c r="F684" s="123">
        <v>50.88</v>
      </c>
      <c r="G684" s="123">
        <v>58.75</v>
      </c>
      <c r="H684" s="208">
        <v>58.75</v>
      </c>
      <c r="I684" s="215"/>
      <c r="J684" s="215">
        <v>0</v>
      </c>
      <c r="K684" s="215">
        <v>58.75</v>
      </c>
      <c r="L684" s="216">
        <v>50.88</v>
      </c>
    </row>
    <row r="685" spans="1:12" hidden="1">
      <c r="A685" s="209" t="s">
        <v>3881</v>
      </c>
      <c r="B685" s="69" t="s">
        <v>1268</v>
      </c>
      <c r="C685" s="69" t="s">
        <v>4310</v>
      </c>
      <c r="D685" s="96" t="s">
        <v>1269</v>
      </c>
      <c r="E685" s="69">
        <v>1</v>
      </c>
      <c r="F685" s="123">
        <v>45.88</v>
      </c>
      <c r="G685" s="123">
        <v>52.75</v>
      </c>
      <c r="H685" s="208">
        <v>52.75</v>
      </c>
      <c r="I685" s="215"/>
      <c r="J685" s="215">
        <v>0</v>
      </c>
      <c r="K685" s="215">
        <v>52.75</v>
      </c>
      <c r="L685" s="216">
        <v>45.88</v>
      </c>
    </row>
    <row r="686" spans="1:12" hidden="1">
      <c r="A686" s="209" t="s">
        <v>3881</v>
      </c>
      <c r="B686" s="69" t="s">
        <v>1792</v>
      </c>
      <c r="C686" s="69" t="s">
        <v>4311</v>
      </c>
      <c r="D686" s="96" t="s">
        <v>1793</v>
      </c>
      <c r="E686" s="69">
        <v>1</v>
      </c>
      <c r="F686" s="123">
        <v>15.5</v>
      </c>
      <c r="G686" s="123">
        <v>18</v>
      </c>
      <c r="H686" s="208">
        <v>18</v>
      </c>
      <c r="I686" s="215"/>
      <c r="J686" s="215">
        <v>0</v>
      </c>
      <c r="K686" s="215">
        <v>18</v>
      </c>
      <c r="L686" s="216">
        <v>15.5</v>
      </c>
    </row>
    <row r="687" spans="1:12" hidden="1">
      <c r="A687" s="209" t="s">
        <v>3881</v>
      </c>
      <c r="B687" s="69" t="s">
        <v>61</v>
      </c>
      <c r="C687" s="69" t="s">
        <v>4311</v>
      </c>
      <c r="D687" s="96" t="s">
        <v>62</v>
      </c>
      <c r="E687" s="69">
        <v>1</v>
      </c>
      <c r="F687" s="123">
        <v>16.55</v>
      </c>
      <c r="G687" s="123">
        <v>19.25</v>
      </c>
      <c r="H687" s="208">
        <v>19.25</v>
      </c>
      <c r="I687" s="215"/>
      <c r="J687" s="215">
        <v>0</v>
      </c>
      <c r="K687" s="215">
        <v>19.25</v>
      </c>
      <c r="L687" s="216">
        <v>16.55</v>
      </c>
    </row>
    <row r="688" spans="1:12" hidden="1">
      <c r="A688" s="209" t="s">
        <v>3881</v>
      </c>
      <c r="B688" s="69" t="s">
        <v>1790</v>
      </c>
      <c r="C688" s="69" t="s">
        <v>4311</v>
      </c>
      <c r="D688" s="96" t="s">
        <v>1791</v>
      </c>
      <c r="E688" s="69">
        <v>1</v>
      </c>
      <c r="F688" s="123">
        <v>9.17</v>
      </c>
      <c r="G688" s="123">
        <v>10.75</v>
      </c>
      <c r="H688" s="208">
        <v>10.75</v>
      </c>
      <c r="I688" s="215"/>
      <c r="J688" s="215">
        <v>0</v>
      </c>
      <c r="K688" s="215">
        <v>10.75</v>
      </c>
      <c r="L688" s="216">
        <v>9.17</v>
      </c>
    </row>
    <row r="689" spans="1:12" hidden="1">
      <c r="A689" s="209" t="s">
        <v>3881</v>
      </c>
      <c r="B689" s="69" t="s">
        <v>3876</v>
      </c>
      <c r="C689" s="69" t="s">
        <v>4312</v>
      </c>
      <c r="D689" s="96" t="s">
        <v>4208</v>
      </c>
      <c r="E689" s="69">
        <v>1</v>
      </c>
      <c r="F689" s="123">
        <v>6.18</v>
      </c>
      <c r="G689" s="123">
        <v>7.25</v>
      </c>
      <c r="H689" s="208">
        <v>7.25</v>
      </c>
      <c r="I689" s="215"/>
      <c r="J689" s="215">
        <v>0</v>
      </c>
      <c r="K689" s="215">
        <v>7.25</v>
      </c>
      <c r="L689" s="216">
        <v>6.18</v>
      </c>
    </row>
    <row r="690" spans="1:12" hidden="1">
      <c r="A690" s="209" t="s">
        <v>3881</v>
      </c>
      <c r="B690" s="69" t="s">
        <v>1024</v>
      </c>
      <c r="C690" s="69" t="s">
        <v>4313</v>
      </c>
      <c r="D690" s="96" t="s">
        <v>1025</v>
      </c>
      <c r="E690" s="69">
        <v>12</v>
      </c>
      <c r="F690" s="123">
        <v>8.58</v>
      </c>
      <c r="G690" s="123">
        <v>10</v>
      </c>
      <c r="H690" s="208">
        <v>120</v>
      </c>
      <c r="I690" s="215"/>
      <c r="J690" s="215">
        <v>0</v>
      </c>
      <c r="K690" s="215">
        <v>120</v>
      </c>
      <c r="L690" s="216">
        <v>102.96000000000001</v>
      </c>
    </row>
    <row r="691" spans="1:12" hidden="1">
      <c r="A691" s="209" t="s">
        <v>3881</v>
      </c>
      <c r="B691" s="69" t="s">
        <v>296</v>
      </c>
      <c r="C691" s="69" t="s">
        <v>4314</v>
      </c>
      <c r="D691" s="96" t="s">
        <v>297</v>
      </c>
      <c r="E691" s="69">
        <v>1</v>
      </c>
      <c r="F691" s="123">
        <v>7.06</v>
      </c>
      <c r="G691" s="123">
        <v>8.25</v>
      </c>
      <c r="H691" s="208">
        <v>8.25</v>
      </c>
      <c r="I691" s="215"/>
      <c r="J691" s="215">
        <v>0</v>
      </c>
      <c r="K691" s="215">
        <v>8.25</v>
      </c>
      <c r="L691" s="216">
        <v>7.06</v>
      </c>
    </row>
    <row r="692" spans="1:12" hidden="1">
      <c r="A692" s="209" t="s">
        <v>3881</v>
      </c>
      <c r="B692" s="69" t="s">
        <v>446</v>
      </c>
      <c r="C692" s="69" t="s">
        <v>4315</v>
      </c>
      <c r="D692" s="96" t="s">
        <v>447</v>
      </c>
      <c r="E692" s="69">
        <v>1</v>
      </c>
      <c r="F692" s="123">
        <v>65</v>
      </c>
      <c r="G692" s="123">
        <v>71.5</v>
      </c>
      <c r="H692" s="208">
        <v>71.5</v>
      </c>
      <c r="I692" s="215"/>
      <c r="J692" s="215">
        <v>0</v>
      </c>
      <c r="K692" s="215">
        <v>71.5</v>
      </c>
      <c r="L692" s="216">
        <v>65</v>
      </c>
    </row>
    <row r="693" spans="1:12" hidden="1">
      <c r="A693" s="209" t="s">
        <v>3882</v>
      </c>
      <c r="B693" s="69" t="s">
        <v>3854</v>
      </c>
      <c r="C693" s="69" t="s">
        <v>4316</v>
      </c>
      <c r="D693" s="96" t="s">
        <v>4053</v>
      </c>
      <c r="E693" s="69">
        <v>1</v>
      </c>
      <c r="F693" s="123">
        <v>5.8</v>
      </c>
      <c r="G693" s="123">
        <v>7</v>
      </c>
      <c r="H693" s="208">
        <v>7</v>
      </c>
      <c r="I693" s="215"/>
      <c r="J693" s="215">
        <v>0</v>
      </c>
      <c r="K693" s="215">
        <v>7</v>
      </c>
      <c r="L693" s="216">
        <v>5.8</v>
      </c>
    </row>
    <row r="694" spans="1:12" hidden="1">
      <c r="A694" s="209" t="s">
        <v>3882</v>
      </c>
      <c r="B694" s="69" t="s">
        <v>3854</v>
      </c>
      <c r="C694" s="69" t="s">
        <v>4317</v>
      </c>
      <c r="D694" s="96" t="s">
        <v>4053</v>
      </c>
      <c r="E694" s="69">
        <v>1</v>
      </c>
      <c r="F694" s="123">
        <v>5.8</v>
      </c>
      <c r="G694" s="123">
        <v>7</v>
      </c>
      <c r="H694" s="208">
        <v>7</v>
      </c>
      <c r="I694" s="215"/>
      <c r="J694" s="215">
        <v>0</v>
      </c>
      <c r="K694" s="215">
        <v>7</v>
      </c>
      <c r="L694" s="216">
        <v>5.8</v>
      </c>
    </row>
    <row r="695" spans="1:12" hidden="1">
      <c r="A695" s="209" t="s">
        <v>3882</v>
      </c>
      <c r="B695" s="69" t="s">
        <v>1009</v>
      </c>
      <c r="C695" s="69" t="s">
        <v>4318</v>
      </c>
      <c r="D695" s="96" t="s">
        <v>1010</v>
      </c>
      <c r="E695" s="69">
        <v>1</v>
      </c>
      <c r="F695" s="123">
        <v>10.64</v>
      </c>
      <c r="G695" s="123">
        <v>12.25</v>
      </c>
      <c r="H695" s="208">
        <v>12.25</v>
      </c>
      <c r="I695" s="215"/>
      <c r="J695" s="215">
        <v>0</v>
      </c>
      <c r="K695" s="215">
        <v>12.25</v>
      </c>
      <c r="L695" s="216">
        <v>10.64</v>
      </c>
    </row>
    <row r="696" spans="1:12" hidden="1">
      <c r="A696" s="209" t="s">
        <v>3882</v>
      </c>
      <c r="B696" s="69" t="s">
        <v>275</v>
      </c>
      <c r="C696" s="69" t="s">
        <v>4319</v>
      </c>
      <c r="D696" s="96" t="s">
        <v>276</v>
      </c>
      <c r="E696" s="69">
        <v>1</v>
      </c>
      <c r="F696" s="123">
        <v>31.6</v>
      </c>
      <c r="G696" s="123">
        <v>36.5</v>
      </c>
      <c r="H696" s="208">
        <v>36.5</v>
      </c>
      <c r="I696" s="215"/>
      <c r="J696" s="215">
        <v>0</v>
      </c>
      <c r="K696" s="215">
        <v>36.5</v>
      </c>
      <c r="L696" s="216">
        <v>31.6</v>
      </c>
    </row>
    <row r="697" spans="1:12" hidden="1">
      <c r="A697" s="209" t="s">
        <v>3882</v>
      </c>
      <c r="B697" s="69" t="s">
        <v>3090</v>
      </c>
      <c r="C697" s="69" t="s">
        <v>4320</v>
      </c>
      <c r="D697" s="96" t="s">
        <v>3091</v>
      </c>
      <c r="E697" s="69">
        <v>1</v>
      </c>
      <c r="F697" s="123">
        <v>20.399999999999999</v>
      </c>
      <c r="G697" s="123">
        <v>23.5</v>
      </c>
      <c r="H697" s="208">
        <v>23.5</v>
      </c>
      <c r="I697" s="215"/>
      <c r="J697" s="215">
        <v>0</v>
      </c>
      <c r="K697" s="215">
        <v>23.5</v>
      </c>
      <c r="L697" s="216">
        <v>20.399999999999999</v>
      </c>
    </row>
    <row r="698" spans="1:12" hidden="1">
      <c r="A698" s="209" t="s">
        <v>3882</v>
      </c>
      <c r="B698" s="69" t="s">
        <v>2595</v>
      </c>
      <c r="C698" s="69" t="s">
        <v>4321</v>
      </c>
      <c r="D698" s="96" t="s">
        <v>2596</v>
      </c>
      <c r="E698" s="69">
        <v>6</v>
      </c>
      <c r="F698" s="123">
        <v>6.38</v>
      </c>
      <c r="G698" s="123">
        <v>7.5</v>
      </c>
      <c r="H698" s="208">
        <v>45</v>
      </c>
      <c r="I698" s="215"/>
      <c r="J698" s="215">
        <v>0</v>
      </c>
      <c r="K698" s="215">
        <v>45</v>
      </c>
      <c r="L698" s="216">
        <v>38.28</v>
      </c>
    </row>
    <row r="699" spans="1:12" hidden="1">
      <c r="A699" s="209" t="s">
        <v>3882</v>
      </c>
      <c r="B699" s="69" t="s">
        <v>2183</v>
      </c>
      <c r="C699" s="69" t="s">
        <v>4321</v>
      </c>
      <c r="D699" s="96" t="s">
        <v>2184</v>
      </c>
      <c r="E699" s="69">
        <v>2</v>
      </c>
      <c r="F699" s="123">
        <v>20.57</v>
      </c>
      <c r="G699" s="123">
        <v>23.75</v>
      </c>
      <c r="H699" s="208">
        <v>47.5</v>
      </c>
      <c r="I699" s="215"/>
      <c r="J699" s="215">
        <v>0</v>
      </c>
      <c r="K699" s="215">
        <v>47.5</v>
      </c>
      <c r="L699" s="216">
        <v>41.14</v>
      </c>
    </row>
    <row r="700" spans="1:12" hidden="1">
      <c r="A700" s="209" t="s">
        <v>3882</v>
      </c>
      <c r="B700" s="69" t="s">
        <v>102</v>
      </c>
      <c r="C700" s="69" t="s">
        <v>4322</v>
      </c>
      <c r="D700" s="96" t="s">
        <v>103</v>
      </c>
      <c r="E700" s="69">
        <v>1</v>
      </c>
      <c r="F700" s="123">
        <v>7.06</v>
      </c>
      <c r="G700" s="123">
        <v>8.25</v>
      </c>
      <c r="H700" s="208">
        <v>8.25</v>
      </c>
      <c r="I700" s="215"/>
      <c r="J700" s="215">
        <v>0</v>
      </c>
      <c r="K700" s="215">
        <v>8.25</v>
      </c>
      <c r="L700" s="216">
        <v>7.06</v>
      </c>
    </row>
    <row r="701" spans="1:12" hidden="1">
      <c r="A701" s="209" t="s">
        <v>3882</v>
      </c>
      <c r="B701" s="69" t="s">
        <v>827</v>
      </c>
      <c r="C701" s="69" t="s">
        <v>4322</v>
      </c>
      <c r="D701" s="96" t="s">
        <v>828</v>
      </c>
      <c r="E701" s="69">
        <v>1</v>
      </c>
      <c r="F701" s="123">
        <v>14.31</v>
      </c>
      <c r="G701" s="123">
        <v>16.5</v>
      </c>
      <c r="H701" s="208">
        <v>16.5</v>
      </c>
      <c r="I701" s="215"/>
      <c r="J701" s="215">
        <v>0</v>
      </c>
      <c r="K701" s="215">
        <v>16.5</v>
      </c>
      <c r="L701" s="216">
        <v>14.31</v>
      </c>
    </row>
    <row r="702" spans="1:12" hidden="1">
      <c r="A702" s="209" t="s">
        <v>3882</v>
      </c>
      <c r="B702" s="69" t="s">
        <v>3342</v>
      </c>
      <c r="C702" s="69" t="s">
        <v>4323</v>
      </c>
      <c r="D702" s="96" t="s">
        <v>3343</v>
      </c>
      <c r="E702" s="69">
        <v>5</v>
      </c>
      <c r="F702" s="123">
        <v>0.76</v>
      </c>
      <c r="G702" s="123">
        <v>1</v>
      </c>
      <c r="H702" s="208">
        <v>5</v>
      </c>
      <c r="I702" s="215"/>
      <c r="J702" s="215">
        <v>0</v>
      </c>
      <c r="K702" s="215">
        <v>5</v>
      </c>
      <c r="L702" s="216">
        <v>3.8</v>
      </c>
    </row>
    <row r="703" spans="1:12" hidden="1">
      <c r="A703" s="209" t="s">
        <v>3882</v>
      </c>
      <c r="B703" s="69" t="s">
        <v>3222</v>
      </c>
      <c r="C703" s="69" t="s">
        <v>4324</v>
      </c>
      <c r="D703" s="96" t="s">
        <v>3223</v>
      </c>
      <c r="E703" s="69">
        <v>1</v>
      </c>
      <c r="F703" s="123">
        <v>22.73</v>
      </c>
      <c r="G703" s="123">
        <v>26.25</v>
      </c>
      <c r="H703" s="208">
        <v>26.25</v>
      </c>
      <c r="I703" s="215"/>
      <c r="J703" s="215">
        <v>0</v>
      </c>
      <c r="K703" s="215">
        <v>26.25</v>
      </c>
      <c r="L703" s="216">
        <v>22.73</v>
      </c>
    </row>
    <row r="704" spans="1:12" hidden="1">
      <c r="A704" s="209" t="s">
        <v>3882</v>
      </c>
      <c r="B704" s="69" t="s">
        <v>377</v>
      </c>
      <c r="C704" s="69" t="s">
        <v>4324</v>
      </c>
      <c r="D704" s="96" t="s">
        <v>378</v>
      </c>
      <c r="E704" s="69">
        <v>1</v>
      </c>
      <c r="F704" s="123">
        <v>44.8</v>
      </c>
      <c r="G704" s="123">
        <v>51.75</v>
      </c>
      <c r="H704" s="208">
        <v>51.75</v>
      </c>
      <c r="I704" s="215"/>
      <c r="J704" s="215">
        <v>0</v>
      </c>
      <c r="K704" s="215">
        <v>51.75</v>
      </c>
      <c r="L704" s="216">
        <v>44.8</v>
      </c>
    </row>
    <row r="705" spans="1:12" hidden="1">
      <c r="A705" s="209" t="s">
        <v>3882</v>
      </c>
      <c r="B705" s="69" t="s">
        <v>375</v>
      </c>
      <c r="C705" s="69" t="s">
        <v>4324</v>
      </c>
      <c r="D705" s="96" t="s">
        <v>376</v>
      </c>
      <c r="E705" s="69">
        <v>1</v>
      </c>
      <c r="F705" s="123">
        <v>44.8</v>
      </c>
      <c r="G705" s="123">
        <v>51.75</v>
      </c>
      <c r="H705" s="208">
        <v>51.75</v>
      </c>
      <c r="I705" s="215"/>
      <c r="J705" s="215">
        <v>0</v>
      </c>
      <c r="K705" s="215">
        <v>51.75</v>
      </c>
      <c r="L705" s="216">
        <v>44.8</v>
      </c>
    </row>
    <row r="706" spans="1:12" hidden="1">
      <c r="A706" s="209" t="s">
        <v>3882</v>
      </c>
      <c r="B706" s="69" t="s">
        <v>3883</v>
      </c>
      <c r="C706" s="69" t="s">
        <v>4324</v>
      </c>
      <c r="D706" s="96" t="s">
        <v>4325</v>
      </c>
      <c r="E706" s="69">
        <v>1</v>
      </c>
      <c r="F706" s="123">
        <v>12.17</v>
      </c>
      <c r="G706" s="123">
        <v>14.75</v>
      </c>
      <c r="H706" s="208">
        <v>14.75</v>
      </c>
      <c r="I706" s="215"/>
      <c r="J706" s="215">
        <v>0</v>
      </c>
      <c r="K706" s="215">
        <v>14.75</v>
      </c>
      <c r="L706" s="216">
        <v>12.17</v>
      </c>
    </row>
    <row r="707" spans="1:12" hidden="1">
      <c r="A707" s="209" t="s">
        <v>3882</v>
      </c>
      <c r="B707" s="69" t="s">
        <v>1007</v>
      </c>
      <c r="C707" s="69" t="s">
        <v>4326</v>
      </c>
      <c r="D707" s="96" t="s">
        <v>1008</v>
      </c>
      <c r="E707" s="69">
        <v>2</v>
      </c>
      <c r="F707" s="123">
        <v>16.25</v>
      </c>
      <c r="G707" s="123">
        <v>19</v>
      </c>
      <c r="H707" s="208">
        <v>38</v>
      </c>
      <c r="I707" s="215"/>
      <c r="J707" s="215">
        <v>0</v>
      </c>
      <c r="K707" s="215">
        <v>38</v>
      </c>
      <c r="L707" s="216">
        <v>32.5</v>
      </c>
    </row>
    <row r="708" spans="1:12" hidden="1">
      <c r="A708" s="209" t="s">
        <v>3882</v>
      </c>
      <c r="B708" s="69" t="s">
        <v>1158</v>
      </c>
      <c r="C708" s="69" t="s">
        <v>4327</v>
      </c>
      <c r="D708" s="96" t="s">
        <v>1159</v>
      </c>
      <c r="E708" s="69">
        <v>1</v>
      </c>
      <c r="F708" s="123">
        <v>21.88</v>
      </c>
      <c r="G708" s="123">
        <v>25.25</v>
      </c>
      <c r="H708" s="208">
        <v>25.25</v>
      </c>
      <c r="I708" s="215"/>
      <c r="J708" s="215">
        <v>1.25</v>
      </c>
      <c r="K708" s="215">
        <v>24</v>
      </c>
      <c r="L708" s="216">
        <v>21.88</v>
      </c>
    </row>
    <row r="709" spans="1:12" hidden="1">
      <c r="A709" s="209" t="s">
        <v>3882</v>
      </c>
      <c r="B709" s="69" t="s">
        <v>3741</v>
      </c>
      <c r="C709" s="69" t="s">
        <v>4328</v>
      </c>
      <c r="D709" s="96" t="s">
        <v>3742</v>
      </c>
      <c r="E709" s="69">
        <v>1</v>
      </c>
      <c r="F709" s="123">
        <v>6.15</v>
      </c>
      <c r="G709" s="123">
        <v>7.25</v>
      </c>
      <c r="H709" s="208">
        <v>7.25</v>
      </c>
      <c r="I709" s="215"/>
      <c r="J709" s="215">
        <v>0</v>
      </c>
      <c r="K709" s="215">
        <v>7.25</v>
      </c>
      <c r="L709" s="216">
        <v>6.15</v>
      </c>
    </row>
    <row r="710" spans="1:12" hidden="1">
      <c r="A710" s="209" t="s">
        <v>3882</v>
      </c>
      <c r="B710" s="69" t="s">
        <v>3342</v>
      </c>
      <c r="C710" s="69" t="s">
        <v>4329</v>
      </c>
      <c r="D710" s="96" t="s">
        <v>3343</v>
      </c>
      <c r="E710" s="69">
        <v>3</v>
      </c>
      <c r="F710" s="123">
        <v>0.76</v>
      </c>
      <c r="G710" s="123">
        <v>1</v>
      </c>
      <c r="H710" s="208">
        <v>3</v>
      </c>
      <c r="I710" s="215"/>
      <c r="J710" s="215">
        <v>0</v>
      </c>
      <c r="K710" s="215">
        <v>3</v>
      </c>
      <c r="L710" s="216">
        <v>2.2800000000000002</v>
      </c>
    </row>
    <row r="711" spans="1:12" hidden="1">
      <c r="A711" s="209" t="s">
        <v>3882</v>
      </c>
      <c r="B711" s="69" t="s">
        <v>3853</v>
      </c>
      <c r="C711" s="69" t="s">
        <v>4330</v>
      </c>
      <c r="D711" s="96" t="s">
        <v>4039</v>
      </c>
      <c r="E711" s="69">
        <v>1</v>
      </c>
      <c r="F711" s="123">
        <v>32</v>
      </c>
      <c r="G711" s="123">
        <v>37</v>
      </c>
      <c r="H711" s="208">
        <v>37</v>
      </c>
      <c r="I711" s="215"/>
      <c r="J711" s="215">
        <v>0</v>
      </c>
      <c r="K711" s="215">
        <v>37</v>
      </c>
      <c r="L711" s="216">
        <v>32</v>
      </c>
    </row>
    <row r="712" spans="1:12" hidden="1">
      <c r="A712" s="209" t="s">
        <v>3882</v>
      </c>
      <c r="B712" s="69" t="s">
        <v>821</v>
      </c>
      <c r="C712" s="69" t="s">
        <v>4330</v>
      </c>
      <c r="D712" s="96" t="s">
        <v>822</v>
      </c>
      <c r="E712" s="69">
        <v>3</v>
      </c>
      <c r="F712" s="123">
        <v>29.9</v>
      </c>
      <c r="G712" s="123">
        <v>34.5</v>
      </c>
      <c r="H712" s="208">
        <v>103.5</v>
      </c>
      <c r="I712" s="215"/>
      <c r="J712" s="215">
        <v>0</v>
      </c>
      <c r="K712" s="215">
        <v>103.5</v>
      </c>
      <c r="L712" s="216">
        <v>89.699999999999989</v>
      </c>
    </row>
    <row r="713" spans="1:12" hidden="1">
      <c r="A713" s="209" t="s">
        <v>3882</v>
      </c>
      <c r="B713" s="69" t="s">
        <v>3286</v>
      </c>
      <c r="C713" s="69" t="s">
        <v>4331</v>
      </c>
      <c r="D713" s="96" t="s">
        <v>3287</v>
      </c>
      <c r="E713" s="69">
        <v>1</v>
      </c>
      <c r="F713" s="123">
        <v>19.47</v>
      </c>
      <c r="G713" s="123">
        <v>23</v>
      </c>
      <c r="H713" s="208">
        <v>23</v>
      </c>
      <c r="I713" s="215"/>
      <c r="J713" s="215">
        <v>0</v>
      </c>
      <c r="K713" s="215">
        <v>23</v>
      </c>
      <c r="L713" s="216">
        <v>19.47</v>
      </c>
    </row>
    <row r="714" spans="1:12" hidden="1">
      <c r="A714" s="209" t="s">
        <v>3882</v>
      </c>
      <c r="B714" s="69" t="s">
        <v>3883</v>
      </c>
      <c r="C714" s="69" t="s">
        <v>4332</v>
      </c>
      <c r="D714" s="96" t="s">
        <v>4325</v>
      </c>
      <c r="E714" s="69">
        <v>1</v>
      </c>
      <c r="F714" s="123">
        <v>12.17</v>
      </c>
      <c r="G714" s="123">
        <v>14.75</v>
      </c>
      <c r="H714" s="208">
        <v>14.75</v>
      </c>
      <c r="I714" s="215"/>
      <c r="J714" s="215">
        <v>0</v>
      </c>
      <c r="K714" s="215">
        <v>14.75</v>
      </c>
      <c r="L714" s="216">
        <v>12.17</v>
      </c>
    </row>
    <row r="715" spans="1:12" hidden="1">
      <c r="A715" s="209" t="s">
        <v>3882</v>
      </c>
      <c r="B715" s="69" t="s">
        <v>302</v>
      </c>
      <c r="C715" s="69" t="s">
        <v>4333</v>
      </c>
      <c r="D715" s="96" t="s">
        <v>303</v>
      </c>
      <c r="E715" s="69">
        <v>1</v>
      </c>
      <c r="F715" s="123">
        <v>15.65</v>
      </c>
      <c r="G715" s="123">
        <v>18</v>
      </c>
      <c r="H715" s="208">
        <v>18</v>
      </c>
      <c r="I715" s="215"/>
      <c r="J715" s="215">
        <v>0</v>
      </c>
      <c r="K715" s="215">
        <v>18</v>
      </c>
      <c r="L715" s="216">
        <v>15.65</v>
      </c>
    </row>
    <row r="716" spans="1:12" hidden="1">
      <c r="A716" s="209" t="s">
        <v>3882</v>
      </c>
      <c r="B716" s="69" t="s">
        <v>59</v>
      </c>
      <c r="C716" s="69" t="s">
        <v>4334</v>
      </c>
      <c r="D716" s="96" t="s">
        <v>60</v>
      </c>
      <c r="E716" s="69">
        <v>1</v>
      </c>
      <c r="F716" s="123">
        <v>18.88</v>
      </c>
      <c r="G716" s="123">
        <v>21.75</v>
      </c>
      <c r="H716" s="208">
        <v>21.75</v>
      </c>
      <c r="I716" s="215"/>
      <c r="J716" s="215">
        <v>0</v>
      </c>
      <c r="K716" s="215">
        <v>21.75</v>
      </c>
      <c r="L716" s="216">
        <v>18.88</v>
      </c>
    </row>
    <row r="717" spans="1:12" hidden="1">
      <c r="A717" s="209" t="s">
        <v>3882</v>
      </c>
      <c r="B717" s="69" t="s">
        <v>517</v>
      </c>
      <c r="C717" s="69" t="s">
        <v>4334</v>
      </c>
      <c r="D717" s="96" t="s">
        <v>518</v>
      </c>
      <c r="E717" s="69">
        <v>1</v>
      </c>
      <c r="F717" s="123">
        <v>12.17</v>
      </c>
      <c r="G717" s="123">
        <v>14.75</v>
      </c>
      <c r="H717" s="208">
        <v>14.75</v>
      </c>
      <c r="I717" s="215"/>
      <c r="J717" s="215">
        <v>0</v>
      </c>
      <c r="K717" s="215">
        <v>14.75</v>
      </c>
      <c r="L717" s="216">
        <v>12.17</v>
      </c>
    </row>
    <row r="718" spans="1:12" hidden="1">
      <c r="A718" s="209" t="s">
        <v>3882</v>
      </c>
      <c r="B718" s="69" t="s">
        <v>919</v>
      </c>
      <c r="C718" s="69" t="s">
        <v>4335</v>
      </c>
      <c r="D718" s="96" t="s">
        <v>920</v>
      </c>
      <c r="E718" s="69">
        <v>1</v>
      </c>
      <c r="F718" s="123">
        <v>12.66</v>
      </c>
      <c r="G718" s="123">
        <v>14.25</v>
      </c>
      <c r="H718" s="208">
        <v>14.25</v>
      </c>
      <c r="I718" s="215"/>
      <c r="J718" s="215">
        <v>0</v>
      </c>
      <c r="K718" s="215">
        <v>14.25</v>
      </c>
      <c r="L718" s="216">
        <v>12.66</v>
      </c>
    </row>
    <row r="719" spans="1:12" hidden="1">
      <c r="A719" s="209" t="s">
        <v>3882</v>
      </c>
      <c r="B719" s="69" t="s">
        <v>3884</v>
      </c>
      <c r="C719" s="69" t="s">
        <v>4336</v>
      </c>
      <c r="D719" s="96" t="s">
        <v>4337</v>
      </c>
      <c r="E719" s="69">
        <v>1</v>
      </c>
      <c r="F719" s="123">
        <v>310</v>
      </c>
      <c r="G719" s="123">
        <v>372</v>
      </c>
      <c r="H719" s="208">
        <v>372</v>
      </c>
      <c r="I719" s="215"/>
      <c r="J719" s="215">
        <v>0</v>
      </c>
      <c r="K719" s="215">
        <v>372</v>
      </c>
      <c r="L719" s="216">
        <v>310</v>
      </c>
    </row>
    <row r="720" spans="1:12" hidden="1">
      <c r="A720" s="209" t="s">
        <v>3882</v>
      </c>
      <c r="B720" s="69" t="s">
        <v>3885</v>
      </c>
      <c r="C720" s="69" t="s">
        <v>4336</v>
      </c>
      <c r="D720" s="96" t="s">
        <v>4338</v>
      </c>
      <c r="E720" s="69">
        <v>1</v>
      </c>
      <c r="F720" s="123">
        <v>74.38</v>
      </c>
      <c r="G720" s="123">
        <v>89.25</v>
      </c>
      <c r="H720" s="208">
        <v>89.25</v>
      </c>
      <c r="I720" s="215"/>
      <c r="J720" s="215">
        <v>0</v>
      </c>
      <c r="K720" s="215">
        <v>89.25</v>
      </c>
      <c r="L720" s="216">
        <v>74.38</v>
      </c>
    </row>
    <row r="721" spans="1:12" hidden="1">
      <c r="A721" s="209" t="s">
        <v>3882</v>
      </c>
      <c r="B721" s="69" t="s">
        <v>1211</v>
      </c>
      <c r="C721" s="69" t="s">
        <v>4336</v>
      </c>
      <c r="D721" s="96" t="s">
        <v>1212</v>
      </c>
      <c r="E721" s="69">
        <v>4</v>
      </c>
      <c r="F721" s="123">
        <v>34.51</v>
      </c>
      <c r="G721" s="123">
        <v>41</v>
      </c>
      <c r="H721" s="208">
        <v>164</v>
      </c>
      <c r="I721" s="215"/>
      <c r="J721" s="215">
        <v>0</v>
      </c>
      <c r="K721" s="215">
        <v>164</v>
      </c>
      <c r="L721" s="216">
        <v>138.04</v>
      </c>
    </row>
    <row r="722" spans="1:12">
      <c r="A722" s="209" t="s">
        <v>3882</v>
      </c>
      <c r="B722" s="69" t="s">
        <v>1594</v>
      </c>
      <c r="C722" s="69" t="s">
        <v>4336</v>
      </c>
      <c r="D722" s="96" t="s">
        <v>1595</v>
      </c>
      <c r="E722" s="69">
        <v>2</v>
      </c>
      <c r="F722" s="123">
        <v>27.84</v>
      </c>
      <c r="G722" s="123">
        <v>45</v>
      </c>
      <c r="H722" s="208">
        <v>90</v>
      </c>
      <c r="I722" s="215"/>
      <c r="J722" s="215">
        <v>0</v>
      </c>
      <c r="K722" s="215">
        <v>90</v>
      </c>
      <c r="L722" s="216">
        <v>55.68</v>
      </c>
    </row>
    <row r="723" spans="1:12" hidden="1">
      <c r="A723" s="209" t="s">
        <v>3882</v>
      </c>
      <c r="B723" s="69" t="s">
        <v>1580</v>
      </c>
      <c r="C723" s="69" t="s">
        <v>4336</v>
      </c>
      <c r="D723" s="96" t="s">
        <v>1581</v>
      </c>
      <c r="E723" s="69">
        <v>12</v>
      </c>
      <c r="F723" s="123">
        <v>6.02</v>
      </c>
      <c r="G723" s="123">
        <v>7.25</v>
      </c>
      <c r="H723" s="208">
        <v>87</v>
      </c>
      <c r="I723" s="215"/>
      <c r="J723" s="215">
        <v>0</v>
      </c>
      <c r="K723" s="215">
        <v>87</v>
      </c>
      <c r="L723" s="216">
        <v>72.239999999999995</v>
      </c>
    </row>
    <row r="724" spans="1:12" hidden="1">
      <c r="A724" s="209" t="s">
        <v>3882</v>
      </c>
      <c r="B724" s="69" t="s">
        <v>1582</v>
      </c>
      <c r="C724" s="69" t="s">
        <v>4336</v>
      </c>
      <c r="D724" s="96" t="s">
        <v>1583</v>
      </c>
      <c r="E724" s="69">
        <v>12</v>
      </c>
      <c r="F724" s="123">
        <v>6.12</v>
      </c>
      <c r="G724" s="123">
        <v>7.25</v>
      </c>
      <c r="H724" s="208">
        <v>87</v>
      </c>
      <c r="I724" s="215"/>
      <c r="J724" s="215">
        <v>0</v>
      </c>
      <c r="K724" s="215">
        <v>87</v>
      </c>
      <c r="L724" s="216">
        <v>73.44</v>
      </c>
    </row>
    <row r="725" spans="1:12" hidden="1">
      <c r="A725" s="209" t="s">
        <v>3882</v>
      </c>
      <c r="B725" s="69" t="s">
        <v>1610</v>
      </c>
      <c r="C725" s="69" t="s">
        <v>4339</v>
      </c>
      <c r="D725" s="96" t="s">
        <v>1611</v>
      </c>
      <c r="E725" s="69">
        <v>4</v>
      </c>
      <c r="F725" s="123">
        <v>37.47</v>
      </c>
      <c r="G725" s="123">
        <v>43.25</v>
      </c>
      <c r="H725" s="208">
        <v>173</v>
      </c>
      <c r="I725" s="215"/>
      <c r="J725" s="215">
        <v>0</v>
      </c>
      <c r="K725" s="215">
        <v>173</v>
      </c>
      <c r="L725" s="216">
        <v>149.88</v>
      </c>
    </row>
    <row r="726" spans="1:12" hidden="1">
      <c r="A726" s="209" t="s">
        <v>3882</v>
      </c>
      <c r="B726" s="69" t="s">
        <v>1673</v>
      </c>
      <c r="C726" s="69" t="s">
        <v>4340</v>
      </c>
      <c r="D726" s="96" t="s">
        <v>1674</v>
      </c>
      <c r="E726" s="69">
        <v>1</v>
      </c>
      <c r="F726" s="123">
        <v>250.75</v>
      </c>
      <c r="G726" s="123">
        <v>288.5</v>
      </c>
      <c r="H726" s="208">
        <v>288.5</v>
      </c>
      <c r="I726" s="215"/>
      <c r="J726" s="215">
        <v>0</v>
      </c>
      <c r="K726" s="215">
        <v>288.5</v>
      </c>
      <c r="L726" s="216">
        <v>250.75</v>
      </c>
    </row>
    <row r="727" spans="1:12" hidden="1">
      <c r="A727" s="209" t="s">
        <v>3882</v>
      </c>
      <c r="B727" s="69" t="s">
        <v>3883</v>
      </c>
      <c r="C727" s="69" t="s">
        <v>4341</v>
      </c>
      <c r="D727" s="96" t="s">
        <v>4325</v>
      </c>
      <c r="E727" s="69">
        <v>1</v>
      </c>
      <c r="F727" s="123">
        <v>12.17</v>
      </c>
      <c r="G727" s="123">
        <v>14.75</v>
      </c>
      <c r="H727" s="208">
        <v>14.75</v>
      </c>
      <c r="I727" s="215"/>
      <c r="J727" s="215">
        <v>0</v>
      </c>
      <c r="K727" s="215">
        <v>14.75</v>
      </c>
      <c r="L727" s="216">
        <v>12.17</v>
      </c>
    </row>
    <row r="728" spans="1:12" hidden="1">
      <c r="A728" s="209" t="s">
        <v>3882</v>
      </c>
      <c r="B728" s="69" t="s">
        <v>1158</v>
      </c>
      <c r="C728" s="69" t="s">
        <v>4342</v>
      </c>
      <c r="D728" s="96" t="s">
        <v>1159</v>
      </c>
      <c r="E728" s="69">
        <v>1</v>
      </c>
      <c r="F728" s="123">
        <v>21.88</v>
      </c>
      <c r="G728" s="123">
        <v>25.25</v>
      </c>
      <c r="H728" s="208">
        <v>25.25</v>
      </c>
      <c r="I728" s="215"/>
      <c r="J728" s="215">
        <v>0</v>
      </c>
      <c r="K728" s="215">
        <v>25.25</v>
      </c>
      <c r="L728" s="216">
        <v>21.88</v>
      </c>
    </row>
    <row r="729" spans="1:12" hidden="1">
      <c r="A729" s="209" t="s">
        <v>3882</v>
      </c>
      <c r="B729" s="69" t="s">
        <v>1164</v>
      </c>
      <c r="C729" s="69" t="s">
        <v>4342</v>
      </c>
      <c r="D729" s="96" t="s">
        <v>1165</v>
      </c>
      <c r="E729" s="69">
        <v>1</v>
      </c>
      <c r="F729" s="123">
        <v>21.88</v>
      </c>
      <c r="G729" s="123">
        <v>24.5</v>
      </c>
      <c r="H729" s="208">
        <v>24.5</v>
      </c>
      <c r="I729" s="215"/>
      <c r="J729" s="215">
        <v>0</v>
      </c>
      <c r="K729" s="215">
        <v>24.5</v>
      </c>
      <c r="L729" s="216">
        <v>21.88</v>
      </c>
    </row>
    <row r="730" spans="1:12" hidden="1">
      <c r="A730" s="209" t="s">
        <v>3882</v>
      </c>
      <c r="B730" s="69" t="s">
        <v>408</v>
      </c>
      <c r="C730" s="69" t="s">
        <v>4343</v>
      </c>
      <c r="D730" s="96" t="s">
        <v>409</v>
      </c>
      <c r="E730" s="69">
        <v>1</v>
      </c>
      <c r="F730" s="123">
        <v>20.68</v>
      </c>
      <c r="G730" s="123">
        <v>24</v>
      </c>
      <c r="H730" s="208">
        <v>24</v>
      </c>
      <c r="I730" s="215"/>
      <c r="J730" s="215">
        <v>0</v>
      </c>
      <c r="K730" s="215">
        <v>24</v>
      </c>
      <c r="L730" s="216">
        <v>20.68</v>
      </c>
    </row>
    <row r="731" spans="1:12" hidden="1">
      <c r="A731" s="209" t="s">
        <v>3882</v>
      </c>
      <c r="B731" s="69" t="s">
        <v>340</v>
      </c>
      <c r="C731" s="69" t="s">
        <v>4344</v>
      </c>
      <c r="D731" s="96" t="s">
        <v>341</v>
      </c>
      <c r="E731" s="69">
        <v>1</v>
      </c>
      <c r="F731" s="123">
        <v>129</v>
      </c>
      <c r="G731" s="123">
        <v>148.5</v>
      </c>
      <c r="H731" s="208">
        <v>148.5</v>
      </c>
      <c r="I731" s="215"/>
      <c r="J731" s="215">
        <v>0</v>
      </c>
      <c r="K731" s="215">
        <v>148.5</v>
      </c>
      <c r="L731" s="216">
        <v>129</v>
      </c>
    </row>
    <row r="732" spans="1:12" hidden="1">
      <c r="A732" s="209" t="s">
        <v>3886</v>
      </c>
      <c r="B732" s="69" t="s">
        <v>1899</v>
      </c>
      <c r="C732" s="69" t="s">
        <v>4345</v>
      </c>
      <c r="D732" s="96" t="s">
        <v>1900</v>
      </c>
      <c r="E732" s="69">
        <v>1</v>
      </c>
      <c r="F732" s="123">
        <v>3.75</v>
      </c>
      <c r="G732" s="123">
        <v>5</v>
      </c>
      <c r="H732" s="208">
        <v>5</v>
      </c>
      <c r="I732" s="215"/>
      <c r="J732" s="215">
        <v>0</v>
      </c>
      <c r="K732" s="215">
        <v>5</v>
      </c>
      <c r="L732" s="216">
        <v>3.75</v>
      </c>
    </row>
    <row r="733" spans="1:12" hidden="1">
      <c r="A733" s="209" t="s">
        <v>3886</v>
      </c>
      <c r="B733" s="69" t="s">
        <v>1092</v>
      </c>
      <c r="C733" s="69" t="s">
        <v>4346</v>
      </c>
      <c r="D733" s="96" t="s">
        <v>1093</v>
      </c>
      <c r="E733" s="69">
        <v>1</v>
      </c>
      <c r="F733" s="123">
        <v>9</v>
      </c>
      <c r="G733" s="123">
        <v>10.5</v>
      </c>
      <c r="H733" s="208">
        <v>10.5</v>
      </c>
      <c r="I733" s="215"/>
      <c r="J733" s="215">
        <v>0</v>
      </c>
      <c r="K733" s="215">
        <v>10.5</v>
      </c>
      <c r="L733" s="216">
        <v>9</v>
      </c>
    </row>
    <row r="734" spans="1:12" hidden="1">
      <c r="A734" s="209" t="s">
        <v>3886</v>
      </c>
      <c r="B734" s="69" t="s">
        <v>3609</v>
      </c>
      <c r="C734" s="69" t="s">
        <v>4347</v>
      </c>
      <c r="D734" s="96" t="s">
        <v>3716</v>
      </c>
      <c r="E734" s="69">
        <v>1</v>
      </c>
      <c r="F734" s="123">
        <v>50.8</v>
      </c>
      <c r="G734" s="123">
        <v>58.5</v>
      </c>
      <c r="H734" s="208">
        <v>58.5</v>
      </c>
      <c r="I734" s="215"/>
      <c r="J734" s="215">
        <v>0</v>
      </c>
      <c r="K734" s="215">
        <v>58.5</v>
      </c>
      <c r="L734" s="216">
        <v>50.8</v>
      </c>
    </row>
    <row r="735" spans="1:12" hidden="1">
      <c r="A735" s="209" t="s">
        <v>3886</v>
      </c>
      <c r="B735" s="69" t="s">
        <v>1055</v>
      </c>
      <c r="C735" s="69" t="s">
        <v>4347</v>
      </c>
      <c r="D735" s="96" t="s">
        <v>1056</v>
      </c>
      <c r="E735" s="69">
        <v>1</v>
      </c>
      <c r="F735" s="123">
        <v>49.8</v>
      </c>
      <c r="G735" s="123">
        <v>57.5</v>
      </c>
      <c r="H735" s="208">
        <v>57.5</v>
      </c>
      <c r="I735" s="215"/>
      <c r="J735" s="215">
        <v>0</v>
      </c>
      <c r="K735" s="215">
        <v>57.5</v>
      </c>
      <c r="L735" s="216">
        <v>49.8</v>
      </c>
    </row>
    <row r="736" spans="1:12" hidden="1">
      <c r="A736" s="209" t="s">
        <v>3886</v>
      </c>
      <c r="B736" s="69" t="s">
        <v>1262</v>
      </c>
      <c r="C736" s="69" t="s">
        <v>4347</v>
      </c>
      <c r="D736" s="96" t="s">
        <v>1263</v>
      </c>
      <c r="E736" s="69">
        <v>3</v>
      </c>
      <c r="F736" s="123">
        <v>44.86</v>
      </c>
      <c r="G736" s="123">
        <v>51.25</v>
      </c>
      <c r="H736" s="208">
        <v>153.75</v>
      </c>
      <c r="I736" s="215"/>
      <c r="J736" s="215">
        <v>0</v>
      </c>
      <c r="K736" s="215">
        <v>153.75</v>
      </c>
      <c r="L736" s="216">
        <v>134.57999999999998</v>
      </c>
    </row>
    <row r="737" spans="1:12" hidden="1">
      <c r="A737" s="209" t="s">
        <v>3886</v>
      </c>
      <c r="B737" s="69" t="s">
        <v>1636</v>
      </c>
      <c r="C737" s="69" t="s">
        <v>4347</v>
      </c>
      <c r="D737" s="96" t="s">
        <v>1637</v>
      </c>
      <c r="E737" s="69">
        <v>2</v>
      </c>
      <c r="F737" s="123">
        <v>67.290000000000006</v>
      </c>
      <c r="G737" s="123">
        <v>77.5</v>
      </c>
      <c r="H737" s="208">
        <v>155</v>
      </c>
      <c r="I737" s="215"/>
      <c r="J737" s="215">
        <v>0</v>
      </c>
      <c r="K737" s="215">
        <v>155</v>
      </c>
      <c r="L737" s="216">
        <v>134.58000000000001</v>
      </c>
    </row>
    <row r="738" spans="1:12" hidden="1">
      <c r="A738" s="209" t="s">
        <v>3886</v>
      </c>
      <c r="B738" s="69" t="s">
        <v>3854</v>
      </c>
      <c r="C738" s="69" t="s">
        <v>4348</v>
      </c>
      <c r="D738" s="96" t="s">
        <v>4053</v>
      </c>
      <c r="E738" s="69">
        <v>2</v>
      </c>
      <c r="F738" s="123">
        <v>5.8</v>
      </c>
      <c r="G738" s="123">
        <v>7</v>
      </c>
      <c r="H738" s="208">
        <v>14</v>
      </c>
      <c r="I738" s="215"/>
      <c r="J738" s="215">
        <v>0</v>
      </c>
      <c r="K738" s="215">
        <v>14</v>
      </c>
      <c r="L738" s="216">
        <v>11.6</v>
      </c>
    </row>
    <row r="739" spans="1:12" hidden="1">
      <c r="A739" s="209" t="s">
        <v>3886</v>
      </c>
      <c r="B739" s="69" t="s">
        <v>3876</v>
      </c>
      <c r="C739" s="69" t="s">
        <v>4348</v>
      </c>
      <c r="D739" s="96" t="s">
        <v>4208</v>
      </c>
      <c r="E739" s="69">
        <v>1</v>
      </c>
      <c r="F739" s="123">
        <v>6.18</v>
      </c>
      <c r="G739" s="123">
        <v>7.25</v>
      </c>
      <c r="H739" s="208">
        <v>7.25</v>
      </c>
      <c r="I739" s="215"/>
      <c r="J739" s="215">
        <v>0</v>
      </c>
      <c r="K739" s="215">
        <v>7.25</v>
      </c>
      <c r="L739" s="216">
        <v>6.18</v>
      </c>
    </row>
    <row r="740" spans="1:12" hidden="1">
      <c r="A740" s="209" t="s">
        <v>3886</v>
      </c>
      <c r="B740" s="69" t="s">
        <v>296</v>
      </c>
      <c r="C740" s="69" t="s">
        <v>4348</v>
      </c>
      <c r="D740" s="96" t="s">
        <v>297</v>
      </c>
      <c r="E740" s="69">
        <v>2</v>
      </c>
      <c r="F740" s="123">
        <v>7.06</v>
      </c>
      <c r="G740" s="123">
        <v>8.25</v>
      </c>
      <c r="H740" s="208">
        <v>16.5</v>
      </c>
      <c r="I740" s="215"/>
      <c r="J740" s="215">
        <v>0</v>
      </c>
      <c r="K740" s="215">
        <v>16.5</v>
      </c>
      <c r="L740" s="216">
        <v>14.12</v>
      </c>
    </row>
    <row r="741" spans="1:12" hidden="1">
      <c r="A741" s="209" t="s">
        <v>3886</v>
      </c>
      <c r="B741" s="69" t="s">
        <v>2589</v>
      </c>
      <c r="C741" s="69" t="s">
        <v>4348</v>
      </c>
      <c r="D741" s="96" t="s">
        <v>2590</v>
      </c>
      <c r="E741" s="69">
        <v>12</v>
      </c>
      <c r="F741" s="123">
        <v>5.41</v>
      </c>
      <c r="G741" s="123">
        <v>6.25</v>
      </c>
      <c r="H741" s="208">
        <v>75</v>
      </c>
      <c r="I741" s="215"/>
      <c r="J741" s="215">
        <v>0</v>
      </c>
      <c r="K741" s="215">
        <v>75</v>
      </c>
      <c r="L741" s="216">
        <v>64.92</v>
      </c>
    </row>
    <row r="742" spans="1:12" hidden="1">
      <c r="A742" s="209" t="s">
        <v>3886</v>
      </c>
      <c r="B742" s="69" t="s">
        <v>3854</v>
      </c>
      <c r="C742" s="69" t="s">
        <v>4349</v>
      </c>
      <c r="D742" s="96" t="s">
        <v>4053</v>
      </c>
      <c r="E742" s="69">
        <v>1</v>
      </c>
      <c r="F742" s="123">
        <v>5.8</v>
      </c>
      <c r="G742" s="123">
        <v>7</v>
      </c>
      <c r="H742" s="208">
        <v>7</v>
      </c>
      <c r="I742" s="215"/>
      <c r="J742" s="215">
        <v>0</v>
      </c>
      <c r="K742" s="215">
        <v>7</v>
      </c>
      <c r="L742" s="216">
        <v>5.8</v>
      </c>
    </row>
    <row r="743" spans="1:12" hidden="1">
      <c r="A743" s="209" t="s">
        <v>3886</v>
      </c>
      <c r="B743" s="69" t="s">
        <v>3636</v>
      </c>
      <c r="C743" s="69" t="s">
        <v>4350</v>
      </c>
      <c r="D743" s="96" t="s">
        <v>3637</v>
      </c>
      <c r="E743" s="69">
        <v>5</v>
      </c>
      <c r="F743" s="123">
        <v>0.76</v>
      </c>
      <c r="G743" s="123">
        <v>1</v>
      </c>
      <c r="H743" s="208">
        <v>5</v>
      </c>
      <c r="I743" s="215"/>
      <c r="J743" s="215">
        <v>0</v>
      </c>
      <c r="K743" s="215">
        <v>5</v>
      </c>
      <c r="L743" s="216">
        <v>3.8</v>
      </c>
    </row>
    <row r="744" spans="1:12" hidden="1">
      <c r="A744" s="209" t="s">
        <v>3886</v>
      </c>
      <c r="B744" s="69" t="s">
        <v>3636</v>
      </c>
      <c r="C744" s="69" t="s">
        <v>4351</v>
      </c>
      <c r="D744" s="96" t="s">
        <v>3637</v>
      </c>
      <c r="E744" s="69">
        <v>5</v>
      </c>
      <c r="F744" s="123">
        <v>0.76</v>
      </c>
      <c r="G744" s="123">
        <v>1</v>
      </c>
      <c r="H744" s="208">
        <v>5</v>
      </c>
      <c r="I744" s="215"/>
      <c r="J744" s="215">
        <v>0</v>
      </c>
      <c r="K744" s="215">
        <v>5</v>
      </c>
      <c r="L744" s="216">
        <v>3.8</v>
      </c>
    </row>
    <row r="745" spans="1:12" hidden="1">
      <c r="A745" s="209" t="s">
        <v>3886</v>
      </c>
      <c r="B745" s="69" t="s">
        <v>2595</v>
      </c>
      <c r="C745" s="69" t="s">
        <v>4352</v>
      </c>
      <c r="D745" s="96" t="s">
        <v>2596</v>
      </c>
      <c r="E745" s="69">
        <v>6</v>
      </c>
      <c r="F745" s="123">
        <v>6.38</v>
      </c>
      <c r="G745" s="123">
        <v>7.5</v>
      </c>
      <c r="H745" s="208">
        <v>45</v>
      </c>
      <c r="I745" s="215"/>
      <c r="J745" s="215">
        <v>0</v>
      </c>
      <c r="K745" s="215">
        <v>45</v>
      </c>
      <c r="L745" s="216">
        <v>38.28</v>
      </c>
    </row>
    <row r="746" spans="1:12" hidden="1">
      <c r="A746" s="209" t="s">
        <v>3886</v>
      </c>
      <c r="B746" s="69" t="s">
        <v>2421</v>
      </c>
      <c r="C746" s="69" t="s">
        <v>4352</v>
      </c>
      <c r="D746" s="96" t="s">
        <v>2422</v>
      </c>
      <c r="E746" s="69">
        <v>2</v>
      </c>
      <c r="F746" s="123">
        <v>5.0199999999999996</v>
      </c>
      <c r="G746" s="123">
        <v>6</v>
      </c>
      <c r="H746" s="208">
        <v>12</v>
      </c>
      <c r="I746" s="215"/>
      <c r="J746" s="215">
        <v>0</v>
      </c>
      <c r="K746" s="215">
        <v>12</v>
      </c>
      <c r="L746" s="216">
        <v>10.039999999999999</v>
      </c>
    </row>
    <row r="747" spans="1:12" hidden="1">
      <c r="A747" s="209" t="s">
        <v>3886</v>
      </c>
      <c r="B747" s="69" t="s">
        <v>3286</v>
      </c>
      <c r="C747" s="69" t="s">
        <v>4353</v>
      </c>
      <c r="D747" s="96" t="s">
        <v>3287</v>
      </c>
      <c r="E747" s="69">
        <v>1</v>
      </c>
      <c r="F747" s="123">
        <v>19.47</v>
      </c>
      <c r="G747" s="123">
        <v>23</v>
      </c>
      <c r="H747" s="208">
        <v>23</v>
      </c>
      <c r="I747" s="215"/>
      <c r="J747" s="215">
        <v>0</v>
      </c>
      <c r="K747" s="215">
        <v>23</v>
      </c>
      <c r="L747" s="216">
        <v>19.47</v>
      </c>
    </row>
    <row r="748" spans="1:12" hidden="1">
      <c r="A748" s="209" t="s">
        <v>3886</v>
      </c>
      <c r="B748" s="69" t="s">
        <v>1121</v>
      </c>
      <c r="C748" s="69" t="s">
        <v>4354</v>
      </c>
      <c r="D748" s="96" t="s">
        <v>1122</v>
      </c>
      <c r="E748" s="69">
        <v>1</v>
      </c>
      <c r="F748" s="123">
        <v>15.25</v>
      </c>
      <c r="G748" s="123">
        <v>17.75</v>
      </c>
      <c r="H748" s="208">
        <v>17.75</v>
      </c>
      <c r="I748" s="215"/>
      <c r="J748" s="215">
        <v>0</v>
      </c>
      <c r="K748" s="215">
        <v>17.75</v>
      </c>
      <c r="L748" s="216">
        <v>15.25</v>
      </c>
    </row>
    <row r="749" spans="1:12" hidden="1">
      <c r="A749" s="209" t="s">
        <v>3886</v>
      </c>
      <c r="B749" s="69" t="s">
        <v>1481</v>
      </c>
      <c r="C749" s="69" t="s">
        <v>4355</v>
      </c>
      <c r="D749" s="96" t="s">
        <v>1482</v>
      </c>
      <c r="E749" s="69">
        <v>1</v>
      </c>
      <c r="F749" s="123">
        <v>22.5</v>
      </c>
      <c r="G749" s="123">
        <v>30</v>
      </c>
      <c r="H749" s="208">
        <v>30</v>
      </c>
      <c r="I749" s="215"/>
      <c r="J749" s="215">
        <v>0</v>
      </c>
      <c r="K749" s="215">
        <v>30</v>
      </c>
      <c r="L749" s="216">
        <v>22.5</v>
      </c>
    </row>
    <row r="750" spans="1:12" hidden="1">
      <c r="A750" s="209" t="s">
        <v>3886</v>
      </c>
      <c r="B750" s="69" t="s">
        <v>562</v>
      </c>
      <c r="C750" s="69" t="s">
        <v>4356</v>
      </c>
      <c r="D750" s="96" t="s">
        <v>563</v>
      </c>
      <c r="E750" s="69">
        <v>1</v>
      </c>
      <c r="F750" s="123">
        <v>185</v>
      </c>
      <c r="G750" s="123">
        <v>212.75</v>
      </c>
      <c r="H750" s="208">
        <v>212.75</v>
      </c>
      <c r="I750" s="215"/>
      <c r="J750" s="215">
        <v>0</v>
      </c>
      <c r="K750" s="215">
        <v>212.75</v>
      </c>
      <c r="L750" s="216">
        <v>185</v>
      </c>
    </row>
    <row r="751" spans="1:12" hidden="1">
      <c r="A751" s="209" t="s">
        <v>3886</v>
      </c>
      <c r="B751" s="69" t="s">
        <v>444</v>
      </c>
      <c r="C751" s="69" t="s">
        <v>4357</v>
      </c>
      <c r="D751" s="96" t="s">
        <v>445</v>
      </c>
      <c r="E751" s="69">
        <v>2</v>
      </c>
      <c r="F751" s="123">
        <v>40.950000000000003</v>
      </c>
      <c r="G751" s="123">
        <v>45</v>
      </c>
      <c r="H751" s="208">
        <v>90</v>
      </c>
      <c r="I751" s="215"/>
      <c r="J751" s="215">
        <v>0</v>
      </c>
      <c r="K751" s="215">
        <v>90</v>
      </c>
      <c r="L751" s="216">
        <v>81.900000000000006</v>
      </c>
    </row>
    <row r="752" spans="1:12" hidden="1">
      <c r="A752" s="209" t="s">
        <v>3886</v>
      </c>
      <c r="B752" s="69" t="s">
        <v>3853</v>
      </c>
      <c r="C752" s="69" t="s">
        <v>4357</v>
      </c>
      <c r="D752" s="96" t="s">
        <v>4039</v>
      </c>
      <c r="E752" s="69">
        <v>3</v>
      </c>
      <c r="F752" s="123">
        <v>32</v>
      </c>
      <c r="G752" s="123">
        <v>37</v>
      </c>
      <c r="H752" s="208">
        <v>111</v>
      </c>
      <c r="I752" s="215"/>
      <c r="J752" s="215">
        <v>0</v>
      </c>
      <c r="K752" s="215">
        <v>111</v>
      </c>
      <c r="L752" s="216">
        <v>96</v>
      </c>
    </row>
    <row r="753" spans="1:12" hidden="1">
      <c r="A753" s="209" t="s">
        <v>3886</v>
      </c>
      <c r="B753" s="69" t="s">
        <v>652</v>
      </c>
      <c r="C753" s="69" t="s">
        <v>4357</v>
      </c>
      <c r="D753" s="96" t="s">
        <v>653</v>
      </c>
      <c r="E753" s="69">
        <v>1</v>
      </c>
      <c r="F753" s="123">
        <v>57.95</v>
      </c>
      <c r="G753" s="123">
        <v>73.25</v>
      </c>
      <c r="H753" s="208">
        <v>73.25</v>
      </c>
      <c r="I753" s="215"/>
      <c r="J753" s="215">
        <v>0</v>
      </c>
      <c r="K753" s="215">
        <v>73.25</v>
      </c>
      <c r="L753" s="216">
        <v>57.95</v>
      </c>
    </row>
    <row r="754" spans="1:12" hidden="1">
      <c r="A754" s="209" t="s">
        <v>3886</v>
      </c>
      <c r="B754" s="69" t="s">
        <v>452</v>
      </c>
      <c r="C754" s="69" t="s">
        <v>4358</v>
      </c>
      <c r="D754" s="96" t="s">
        <v>453</v>
      </c>
      <c r="E754" s="69">
        <v>1</v>
      </c>
      <c r="F754" s="123">
        <v>58.45</v>
      </c>
      <c r="G754" s="123">
        <v>65</v>
      </c>
      <c r="H754" s="208">
        <v>65</v>
      </c>
      <c r="I754" s="215"/>
      <c r="J754" s="215">
        <v>0</v>
      </c>
      <c r="K754" s="215">
        <v>65</v>
      </c>
      <c r="L754" s="216">
        <v>58.45</v>
      </c>
    </row>
    <row r="755" spans="1:12" hidden="1">
      <c r="A755" s="209" t="s">
        <v>3886</v>
      </c>
      <c r="B755" s="69" t="s">
        <v>1141</v>
      </c>
      <c r="C755" s="69" t="s">
        <v>4359</v>
      </c>
      <c r="D755" s="96" t="s">
        <v>1142</v>
      </c>
      <c r="E755" s="69">
        <v>3</v>
      </c>
      <c r="F755" s="123">
        <v>19</v>
      </c>
      <c r="G755" s="123">
        <v>22</v>
      </c>
      <c r="H755" s="208">
        <v>66</v>
      </c>
      <c r="I755" s="215"/>
      <c r="J755" s="215">
        <v>0</v>
      </c>
      <c r="K755" s="215">
        <v>66</v>
      </c>
      <c r="L755" s="216">
        <v>57</v>
      </c>
    </row>
    <row r="756" spans="1:12" hidden="1">
      <c r="A756" s="209" t="s">
        <v>3886</v>
      </c>
      <c r="B756" s="69" t="s">
        <v>3342</v>
      </c>
      <c r="C756" s="69" t="s">
        <v>4360</v>
      </c>
      <c r="D756" s="96" t="s">
        <v>3343</v>
      </c>
      <c r="E756" s="69">
        <v>1</v>
      </c>
      <c r="F756" s="123">
        <v>0.76</v>
      </c>
      <c r="G756" s="123">
        <v>1</v>
      </c>
      <c r="H756" s="208">
        <v>1</v>
      </c>
      <c r="I756" s="215"/>
      <c r="J756" s="215">
        <v>0</v>
      </c>
      <c r="K756" s="215">
        <v>1</v>
      </c>
      <c r="L756" s="216">
        <v>0.76</v>
      </c>
    </row>
    <row r="757" spans="1:12" hidden="1">
      <c r="A757" s="209" t="s">
        <v>3886</v>
      </c>
      <c r="B757" s="69" t="s">
        <v>2222</v>
      </c>
      <c r="C757" s="69" t="s">
        <v>4361</v>
      </c>
      <c r="D757" s="96" t="s">
        <v>2223</v>
      </c>
      <c r="E757" s="69">
        <v>1</v>
      </c>
      <c r="F757" s="123">
        <v>18.25</v>
      </c>
      <c r="G757" s="123">
        <v>21</v>
      </c>
      <c r="H757" s="208">
        <v>21</v>
      </c>
      <c r="I757" s="215"/>
      <c r="J757" s="215">
        <v>0</v>
      </c>
      <c r="K757" s="215">
        <v>21</v>
      </c>
      <c r="L757" s="216">
        <v>18.25</v>
      </c>
    </row>
    <row r="758" spans="1:12" hidden="1">
      <c r="A758" s="209" t="s">
        <v>3886</v>
      </c>
      <c r="B758" s="69" t="s">
        <v>923</v>
      </c>
      <c r="C758" s="69" t="s">
        <v>4361</v>
      </c>
      <c r="D758" s="96" t="s">
        <v>924</v>
      </c>
      <c r="E758" s="69">
        <v>2</v>
      </c>
      <c r="F758" s="123">
        <v>12.56</v>
      </c>
      <c r="G758" s="123">
        <v>14.5</v>
      </c>
      <c r="H758" s="208">
        <v>29</v>
      </c>
      <c r="I758" s="215"/>
      <c r="J758" s="215">
        <v>0</v>
      </c>
      <c r="K758" s="215">
        <v>29</v>
      </c>
      <c r="L758" s="216">
        <v>25.12</v>
      </c>
    </row>
    <row r="759" spans="1:12" hidden="1">
      <c r="A759" s="209" t="s">
        <v>3886</v>
      </c>
      <c r="B759" s="69" t="s">
        <v>762</v>
      </c>
      <c r="C759" s="69" t="s">
        <v>4361</v>
      </c>
      <c r="D759" s="96" t="s">
        <v>763</v>
      </c>
      <c r="E759" s="69">
        <v>1</v>
      </c>
      <c r="F759" s="123">
        <v>31.04</v>
      </c>
      <c r="G759" s="123">
        <v>37</v>
      </c>
      <c r="H759" s="208">
        <v>37</v>
      </c>
      <c r="I759" s="215"/>
      <c r="J759" s="215">
        <v>0</v>
      </c>
      <c r="K759" s="215">
        <v>37</v>
      </c>
      <c r="L759" s="216">
        <v>31.04</v>
      </c>
    </row>
    <row r="760" spans="1:12" hidden="1">
      <c r="A760" s="209" t="s">
        <v>3886</v>
      </c>
      <c r="B760" s="69" t="s">
        <v>2211</v>
      </c>
      <c r="C760" s="69" t="s">
        <v>4361</v>
      </c>
      <c r="D760" s="96" t="s">
        <v>2212</v>
      </c>
      <c r="E760" s="69">
        <v>1</v>
      </c>
      <c r="F760" s="123">
        <v>17.059999999999999</v>
      </c>
      <c r="G760" s="123">
        <v>19.75</v>
      </c>
      <c r="H760" s="208">
        <v>19.75</v>
      </c>
      <c r="I760" s="215"/>
      <c r="J760" s="215">
        <v>0</v>
      </c>
      <c r="K760" s="215">
        <v>19.75</v>
      </c>
      <c r="L760" s="216">
        <v>17.059999999999999</v>
      </c>
    </row>
    <row r="761" spans="1:12" hidden="1">
      <c r="A761" s="209" t="s">
        <v>3886</v>
      </c>
      <c r="B761" s="69" t="s">
        <v>2105</v>
      </c>
      <c r="C761" s="69" t="s">
        <v>4361</v>
      </c>
      <c r="D761" s="96" t="s">
        <v>2106</v>
      </c>
      <c r="E761" s="69">
        <v>2</v>
      </c>
      <c r="F761" s="123">
        <v>5.25</v>
      </c>
      <c r="G761" s="123">
        <v>6</v>
      </c>
      <c r="H761" s="208">
        <v>12</v>
      </c>
      <c r="I761" s="215"/>
      <c r="J761" s="215">
        <v>0</v>
      </c>
      <c r="K761" s="215">
        <v>12</v>
      </c>
      <c r="L761" s="216">
        <v>10.5</v>
      </c>
    </row>
    <row r="762" spans="1:12" hidden="1">
      <c r="A762" s="209" t="s">
        <v>3887</v>
      </c>
      <c r="B762" s="69" t="s">
        <v>3888</v>
      </c>
      <c r="C762" s="69" t="s">
        <v>4362</v>
      </c>
      <c r="D762" s="96" t="s">
        <v>4363</v>
      </c>
      <c r="E762" s="69">
        <v>5</v>
      </c>
      <c r="F762" s="123">
        <v>22</v>
      </c>
      <c r="G762" s="123">
        <v>26.5</v>
      </c>
      <c r="H762" s="208">
        <v>132.5</v>
      </c>
      <c r="I762" s="215"/>
      <c r="J762" s="215">
        <v>0</v>
      </c>
      <c r="K762" s="215">
        <v>132.5</v>
      </c>
      <c r="L762" s="216">
        <v>110</v>
      </c>
    </row>
    <row r="763" spans="1:12">
      <c r="A763" s="209" t="s">
        <v>3887</v>
      </c>
      <c r="B763" s="69" t="s">
        <v>1594</v>
      </c>
      <c r="C763" s="69" t="s">
        <v>4364</v>
      </c>
      <c r="D763" s="96" t="s">
        <v>1595</v>
      </c>
      <c r="E763" s="69">
        <v>2</v>
      </c>
      <c r="F763" s="123">
        <v>27.84</v>
      </c>
      <c r="G763" s="123">
        <v>45</v>
      </c>
      <c r="H763" s="208">
        <v>90</v>
      </c>
      <c r="I763" s="215"/>
      <c r="J763" s="215">
        <v>0</v>
      </c>
      <c r="K763" s="215">
        <v>90</v>
      </c>
      <c r="L763" s="216">
        <v>55.68</v>
      </c>
    </row>
    <row r="764" spans="1:12" hidden="1">
      <c r="A764" s="209" t="s">
        <v>3887</v>
      </c>
      <c r="B764" s="69" t="s">
        <v>398</v>
      </c>
      <c r="C764" s="69" t="s">
        <v>4365</v>
      </c>
      <c r="D764" s="96" t="s">
        <v>399</v>
      </c>
      <c r="E764" s="69">
        <v>1</v>
      </c>
      <c r="F764" s="123">
        <v>68.540000000000006</v>
      </c>
      <c r="G764" s="123">
        <v>79</v>
      </c>
      <c r="H764" s="208">
        <v>79</v>
      </c>
      <c r="I764" s="215"/>
      <c r="J764" s="215">
        <v>0</v>
      </c>
      <c r="K764" s="215">
        <v>79</v>
      </c>
      <c r="L764" s="216">
        <v>68.540000000000006</v>
      </c>
    </row>
    <row r="765" spans="1:12" hidden="1">
      <c r="A765" s="209" t="s">
        <v>3887</v>
      </c>
      <c r="B765" s="69" t="s">
        <v>762</v>
      </c>
      <c r="C765" s="69" t="s">
        <v>4365</v>
      </c>
      <c r="D765" s="96" t="s">
        <v>763</v>
      </c>
      <c r="E765" s="69">
        <v>1</v>
      </c>
      <c r="F765" s="123">
        <v>31.04</v>
      </c>
      <c r="G765" s="123">
        <v>37</v>
      </c>
      <c r="H765" s="208">
        <v>37</v>
      </c>
      <c r="I765" s="215"/>
      <c r="J765" s="215">
        <v>0</v>
      </c>
      <c r="K765" s="215">
        <v>37</v>
      </c>
      <c r="L765" s="216">
        <v>31.04</v>
      </c>
    </row>
    <row r="766" spans="1:12" hidden="1">
      <c r="A766" s="209" t="s">
        <v>3887</v>
      </c>
      <c r="B766" s="69" t="s">
        <v>1003</v>
      </c>
      <c r="C766" s="69" t="s">
        <v>4365</v>
      </c>
      <c r="D766" s="96" t="s">
        <v>1004</v>
      </c>
      <c r="E766" s="69">
        <v>1</v>
      </c>
      <c r="F766" s="123">
        <v>237.14</v>
      </c>
      <c r="G766" s="123">
        <v>272.75</v>
      </c>
      <c r="H766" s="208">
        <v>272.75</v>
      </c>
      <c r="I766" s="215"/>
      <c r="J766" s="215">
        <v>0</v>
      </c>
      <c r="K766" s="215">
        <v>272.75</v>
      </c>
      <c r="L766" s="216">
        <v>237.14</v>
      </c>
    </row>
    <row r="767" spans="1:12" hidden="1">
      <c r="A767" s="209" t="s">
        <v>3887</v>
      </c>
      <c r="B767" s="69" t="s">
        <v>558</v>
      </c>
      <c r="C767" s="69" t="s">
        <v>4365</v>
      </c>
      <c r="D767" s="96" t="s">
        <v>559</v>
      </c>
      <c r="E767" s="69">
        <v>1</v>
      </c>
      <c r="F767" s="123">
        <v>91.4</v>
      </c>
      <c r="G767" s="123">
        <v>105.25</v>
      </c>
      <c r="H767" s="208">
        <v>105.25</v>
      </c>
      <c r="I767" s="215"/>
      <c r="J767" s="215">
        <v>0</v>
      </c>
      <c r="K767" s="215">
        <v>105.25</v>
      </c>
      <c r="L767" s="216">
        <v>91.4</v>
      </c>
    </row>
    <row r="768" spans="1:12" hidden="1">
      <c r="A768" s="209" t="s">
        <v>3887</v>
      </c>
      <c r="B768" s="69" t="s">
        <v>691</v>
      </c>
      <c r="C768" s="69" t="s">
        <v>4365</v>
      </c>
      <c r="D768" s="96" t="s">
        <v>692</v>
      </c>
      <c r="E768" s="69">
        <v>1</v>
      </c>
      <c r="F768" s="123">
        <v>36.11</v>
      </c>
      <c r="G768" s="123">
        <v>41.75</v>
      </c>
      <c r="H768" s="208">
        <v>41.75</v>
      </c>
      <c r="I768" s="215"/>
      <c r="J768" s="215">
        <v>0</v>
      </c>
      <c r="K768" s="215">
        <v>41.75</v>
      </c>
      <c r="L768" s="216">
        <v>36.11</v>
      </c>
    </row>
    <row r="769" spans="1:12" hidden="1">
      <c r="A769" s="209" t="s">
        <v>3887</v>
      </c>
      <c r="B769" s="69" t="s">
        <v>1230</v>
      </c>
      <c r="C769" s="69" t="s">
        <v>4365</v>
      </c>
      <c r="D769" s="96" t="s">
        <v>1231</v>
      </c>
      <c r="E769" s="69">
        <v>8</v>
      </c>
      <c r="F769" s="123">
        <v>38.81</v>
      </c>
      <c r="G769" s="123">
        <v>47.5</v>
      </c>
      <c r="H769" s="208">
        <v>380</v>
      </c>
      <c r="I769" s="215"/>
      <c r="J769" s="215">
        <v>0</v>
      </c>
      <c r="K769" s="215">
        <v>380</v>
      </c>
      <c r="L769" s="216">
        <v>310.48</v>
      </c>
    </row>
    <row r="770" spans="1:12" hidden="1">
      <c r="A770" s="209" t="s">
        <v>3887</v>
      </c>
      <c r="B770" s="69" t="s">
        <v>165</v>
      </c>
      <c r="C770" s="69" t="s">
        <v>4365</v>
      </c>
      <c r="D770" s="96" t="s">
        <v>166</v>
      </c>
      <c r="E770" s="69">
        <v>1</v>
      </c>
      <c r="F770" s="123">
        <v>90.42</v>
      </c>
      <c r="G770" s="123">
        <v>104</v>
      </c>
      <c r="H770" s="208">
        <v>104</v>
      </c>
      <c r="I770" s="215"/>
      <c r="J770" s="215">
        <v>0</v>
      </c>
      <c r="K770" s="215">
        <v>104</v>
      </c>
      <c r="L770" s="216">
        <v>90.42</v>
      </c>
    </row>
    <row r="771" spans="1:12" hidden="1">
      <c r="A771" s="209" t="s">
        <v>3887</v>
      </c>
      <c r="B771" s="69" t="s">
        <v>159</v>
      </c>
      <c r="C771" s="69" t="s">
        <v>4365</v>
      </c>
      <c r="D771" s="96" t="s">
        <v>160</v>
      </c>
      <c r="E771" s="69">
        <v>1</v>
      </c>
      <c r="F771" s="123">
        <v>97.04</v>
      </c>
      <c r="G771" s="123">
        <v>111.75</v>
      </c>
      <c r="H771" s="208">
        <v>111.75</v>
      </c>
      <c r="I771" s="215"/>
      <c r="J771" s="215">
        <v>0</v>
      </c>
      <c r="K771" s="215">
        <v>111.75</v>
      </c>
      <c r="L771" s="216">
        <v>97.04</v>
      </c>
    </row>
    <row r="772" spans="1:12" hidden="1">
      <c r="A772" s="209" t="s">
        <v>3887</v>
      </c>
      <c r="B772" s="69" t="s">
        <v>174</v>
      </c>
      <c r="C772" s="69" t="s">
        <v>4365</v>
      </c>
      <c r="D772" s="96" t="s">
        <v>175</v>
      </c>
      <c r="E772" s="69">
        <v>2</v>
      </c>
      <c r="F772" s="123">
        <v>36.58</v>
      </c>
      <c r="G772" s="123">
        <v>42.25</v>
      </c>
      <c r="H772" s="208">
        <v>84.5</v>
      </c>
      <c r="I772" s="215"/>
      <c r="J772" s="215">
        <v>0</v>
      </c>
      <c r="K772" s="215">
        <v>84.5</v>
      </c>
      <c r="L772" s="216">
        <v>73.16</v>
      </c>
    </row>
    <row r="773" spans="1:12" hidden="1">
      <c r="A773" s="209" t="s">
        <v>3887</v>
      </c>
      <c r="B773" s="69" t="s">
        <v>156</v>
      </c>
      <c r="C773" s="69" t="s">
        <v>4365</v>
      </c>
      <c r="D773" s="96" t="s">
        <v>157</v>
      </c>
      <c r="E773" s="69">
        <v>1</v>
      </c>
      <c r="F773" s="123">
        <v>61.5</v>
      </c>
      <c r="G773" s="123">
        <v>70.75</v>
      </c>
      <c r="H773" s="208">
        <v>70.75</v>
      </c>
      <c r="I773" s="215"/>
      <c r="J773" s="215">
        <v>0</v>
      </c>
      <c r="K773" s="215">
        <v>70.75</v>
      </c>
      <c r="L773" s="216">
        <v>61.5</v>
      </c>
    </row>
    <row r="774" spans="1:12" hidden="1">
      <c r="A774" s="209" t="s">
        <v>3887</v>
      </c>
      <c r="B774" s="69" t="s">
        <v>2271</v>
      </c>
      <c r="C774" s="69" t="s">
        <v>4365</v>
      </c>
      <c r="D774" s="96" t="s">
        <v>2272</v>
      </c>
      <c r="E774" s="69">
        <v>1</v>
      </c>
      <c r="F774" s="123">
        <v>58</v>
      </c>
      <c r="G774" s="123">
        <v>67</v>
      </c>
      <c r="H774" s="208">
        <v>67</v>
      </c>
      <c r="I774" s="215"/>
      <c r="J774" s="215">
        <v>0</v>
      </c>
      <c r="K774" s="215">
        <v>67</v>
      </c>
      <c r="L774" s="216">
        <v>58</v>
      </c>
    </row>
    <row r="775" spans="1:12" hidden="1">
      <c r="A775" s="209" t="s">
        <v>3887</v>
      </c>
      <c r="B775" s="69" t="s">
        <v>383</v>
      </c>
      <c r="C775" s="69" t="s">
        <v>4365</v>
      </c>
      <c r="D775" s="96" t="s">
        <v>384</v>
      </c>
      <c r="E775" s="69">
        <v>1</v>
      </c>
      <c r="F775" s="123">
        <v>61.5</v>
      </c>
      <c r="G775" s="123">
        <v>70.75</v>
      </c>
      <c r="H775" s="208">
        <v>70.75</v>
      </c>
      <c r="I775" s="215"/>
      <c r="J775" s="215">
        <v>0</v>
      </c>
      <c r="K775" s="215">
        <v>70.75</v>
      </c>
      <c r="L775" s="216">
        <v>61.5</v>
      </c>
    </row>
    <row r="776" spans="1:12" hidden="1">
      <c r="A776" s="209" t="s">
        <v>3887</v>
      </c>
      <c r="B776" s="69" t="s">
        <v>2511</v>
      </c>
      <c r="C776" s="69" t="s">
        <v>4365</v>
      </c>
      <c r="D776" s="96" t="s">
        <v>2512</v>
      </c>
      <c r="E776" s="69">
        <v>1</v>
      </c>
      <c r="F776" s="123">
        <v>144.31</v>
      </c>
      <c r="G776" s="123">
        <v>166</v>
      </c>
      <c r="H776" s="208">
        <v>166</v>
      </c>
      <c r="I776" s="215"/>
      <c r="J776" s="215">
        <v>0</v>
      </c>
      <c r="K776" s="215">
        <v>166</v>
      </c>
      <c r="L776" s="216">
        <v>144.31</v>
      </c>
    </row>
    <row r="777" spans="1:12" hidden="1">
      <c r="A777" s="209" t="s">
        <v>3887</v>
      </c>
      <c r="B777" s="69" t="s">
        <v>2378</v>
      </c>
      <c r="C777" s="69" t="s">
        <v>4365</v>
      </c>
      <c r="D777" s="96" t="s">
        <v>2379</v>
      </c>
      <c r="E777" s="69">
        <v>1</v>
      </c>
      <c r="F777" s="123">
        <v>296.10000000000002</v>
      </c>
      <c r="G777" s="123">
        <v>340.75</v>
      </c>
      <c r="H777" s="208">
        <v>340.75</v>
      </c>
      <c r="I777" s="215"/>
      <c r="J777" s="215">
        <v>0</v>
      </c>
      <c r="K777" s="215">
        <v>340.75</v>
      </c>
      <c r="L777" s="216">
        <v>296.10000000000002</v>
      </c>
    </row>
    <row r="778" spans="1:12" hidden="1">
      <c r="A778" s="209" t="s">
        <v>3887</v>
      </c>
      <c r="B778" s="69" t="s">
        <v>2672</v>
      </c>
      <c r="C778" s="69" t="s">
        <v>4365</v>
      </c>
      <c r="D778" s="96" t="s">
        <v>2673</v>
      </c>
      <c r="E778" s="69">
        <v>1</v>
      </c>
      <c r="F778" s="123">
        <v>23.15</v>
      </c>
      <c r="G778" s="123">
        <v>27</v>
      </c>
      <c r="H778" s="208">
        <v>27</v>
      </c>
      <c r="I778" s="215"/>
      <c r="J778" s="215">
        <v>0</v>
      </c>
      <c r="K778" s="215">
        <v>27</v>
      </c>
      <c r="L778" s="216">
        <v>23.15</v>
      </c>
    </row>
    <row r="779" spans="1:12" hidden="1">
      <c r="A779" s="209" t="s">
        <v>3887</v>
      </c>
      <c r="B779" s="69" t="s">
        <v>1913</v>
      </c>
      <c r="C779" s="69" t="s">
        <v>4365</v>
      </c>
      <c r="D779" s="96" t="s">
        <v>1914</v>
      </c>
      <c r="E779" s="69">
        <v>1</v>
      </c>
      <c r="F779" s="123">
        <v>54.38</v>
      </c>
      <c r="G779" s="123">
        <v>62.75</v>
      </c>
      <c r="H779" s="208">
        <v>62.75</v>
      </c>
      <c r="I779" s="215"/>
      <c r="J779" s="215">
        <v>0</v>
      </c>
      <c r="K779" s="215">
        <v>62.75</v>
      </c>
      <c r="L779" s="216">
        <v>54.38</v>
      </c>
    </row>
    <row r="780" spans="1:12" hidden="1">
      <c r="A780" s="209" t="s">
        <v>3887</v>
      </c>
      <c r="B780" s="69" t="s">
        <v>3724</v>
      </c>
      <c r="C780" s="69" t="s">
        <v>4366</v>
      </c>
      <c r="D780" s="96" t="s">
        <v>3725</v>
      </c>
      <c r="E780" s="69">
        <v>1</v>
      </c>
      <c r="F780" s="123">
        <v>14.82</v>
      </c>
      <c r="G780" s="123">
        <v>17.25</v>
      </c>
      <c r="H780" s="208">
        <v>17.25</v>
      </c>
      <c r="I780" s="215"/>
      <c r="J780" s="215">
        <v>0</v>
      </c>
      <c r="K780" s="215">
        <v>17.25</v>
      </c>
      <c r="L780" s="216">
        <v>14.82</v>
      </c>
    </row>
    <row r="781" spans="1:12" hidden="1">
      <c r="A781" s="209" t="s">
        <v>3887</v>
      </c>
      <c r="B781" s="69" t="s">
        <v>3342</v>
      </c>
      <c r="C781" s="69" t="s">
        <v>4367</v>
      </c>
      <c r="D781" s="96" t="s">
        <v>3343</v>
      </c>
      <c r="E781" s="69">
        <v>4</v>
      </c>
      <c r="F781" s="123">
        <v>0.76</v>
      </c>
      <c r="G781" s="123">
        <v>1</v>
      </c>
      <c r="H781" s="208">
        <v>4</v>
      </c>
      <c r="I781" s="215"/>
      <c r="J781" s="215">
        <v>0</v>
      </c>
      <c r="K781" s="215">
        <v>4</v>
      </c>
      <c r="L781" s="216">
        <v>3.04</v>
      </c>
    </row>
    <row r="782" spans="1:12" hidden="1">
      <c r="A782" s="209" t="s">
        <v>3887</v>
      </c>
      <c r="B782" s="69" t="s">
        <v>3342</v>
      </c>
      <c r="C782" s="69" t="s">
        <v>4368</v>
      </c>
      <c r="D782" s="96" t="s">
        <v>3343</v>
      </c>
      <c r="E782" s="69">
        <v>5</v>
      </c>
      <c r="F782" s="123">
        <v>0.76</v>
      </c>
      <c r="G782" s="123">
        <v>1</v>
      </c>
      <c r="H782" s="208">
        <v>5</v>
      </c>
      <c r="I782" s="215"/>
      <c r="J782" s="215">
        <v>0</v>
      </c>
      <c r="K782" s="215">
        <v>5</v>
      </c>
      <c r="L782" s="216">
        <v>3.8</v>
      </c>
    </row>
    <row r="783" spans="1:12" hidden="1">
      <c r="A783" s="209" t="s">
        <v>3887</v>
      </c>
      <c r="B783" s="69" t="s">
        <v>3342</v>
      </c>
      <c r="C783" s="69" t="s">
        <v>4369</v>
      </c>
      <c r="D783" s="96" t="s">
        <v>3343</v>
      </c>
      <c r="E783" s="69">
        <v>2</v>
      </c>
      <c r="F783" s="123">
        <v>0.76</v>
      </c>
      <c r="G783" s="123">
        <v>1</v>
      </c>
      <c r="H783" s="208">
        <v>2</v>
      </c>
      <c r="I783" s="215"/>
      <c r="J783" s="215">
        <v>0</v>
      </c>
      <c r="K783" s="215">
        <v>2</v>
      </c>
      <c r="L783" s="216">
        <v>1.52</v>
      </c>
    </row>
    <row r="784" spans="1:12" hidden="1">
      <c r="A784" s="209" t="s">
        <v>3887</v>
      </c>
      <c r="B784" s="69" t="s">
        <v>478</v>
      </c>
      <c r="C784" s="69" t="s">
        <v>4370</v>
      </c>
      <c r="D784" s="96" t="s">
        <v>479</v>
      </c>
      <c r="E784" s="69">
        <v>1</v>
      </c>
      <c r="F784" s="123">
        <v>75</v>
      </c>
      <c r="G784" s="123">
        <v>83</v>
      </c>
      <c r="H784" s="208">
        <v>83</v>
      </c>
      <c r="I784" s="215"/>
      <c r="J784" s="215">
        <v>0</v>
      </c>
      <c r="K784" s="215">
        <v>83</v>
      </c>
      <c r="L784" s="216">
        <v>75</v>
      </c>
    </row>
    <row r="785" spans="1:12" hidden="1">
      <c r="A785" s="209" t="s">
        <v>3887</v>
      </c>
      <c r="B785" s="69" t="s">
        <v>3889</v>
      </c>
      <c r="C785" s="69" t="s">
        <v>4371</v>
      </c>
      <c r="D785" s="96" t="s">
        <v>4372</v>
      </c>
      <c r="E785" s="69">
        <v>1</v>
      </c>
      <c r="F785" s="123">
        <v>5.61</v>
      </c>
      <c r="G785" s="123">
        <v>6.5</v>
      </c>
      <c r="H785" s="208">
        <v>6.5</v>
      </c>
      <c r="I785" s="215"/>
      <c r="J785" s="215">
        <v>0</v>
      </c>
      <c r="K785" s="215">
        <v>6.5</v>
      </c>
      <c r="L785" s="216">
        <v>5.61</v>
      </c>
    </row>
    <row r="786" spans="1:12" hidden="1">
      <c r="A786" s="209" t="s">
        <v>3887</v>
      </c>
      <c r="B786" s="69" t="s">
        <v>3666</v>
      </c>
      <c r="C786" s="69" t="s">
        <v>4373</v>
      </c>
      <c r="D786" s="96" t="s">
        <v>3667</v>
      </c>
      <c r="E786" s="69">
        <v>1</v>
      </c>
      <c r="F786" s="123">
        <v>109.83</v>
      </c>
      <c r="G786" s="123">
        <v>126.5</v>
      </c>
      <c r="H786" s="208">
        <v>126.5</v>
      </c>
      <c r="I786" s="215"/>
      <c r="J786" s="215">
        <v>0</v>
      </c>
      <c r="K786" s="215">
        <v>126.5</v>
      </c>
      <c r="L786" s="216">
        <v>109.83</v>
      </c>
    </row>
    <row r="787" spans="1:12" hidden="1">
      <c r="A787" s="209" t="s">
        <v>3887</v>
      </c>
      <c r="B787" s="69" t="s">
        <v>3342</v>
      </c>
      <c r="C787" s="69" t="s">
        <v>4374</v>
      </c>
      <c r="D787" s="96" t="s">
        <v>3343</v>
      </c>
      <c r="E787" s="69">
        <v>1</v>
      </c>
      <c r="F787" s="123">
        <v>0.76</v>
      </c>
      <c r="G787" s="123">
        <v>1</v>
      </c>
      <c r="H787" s="208">
        <v>1</v>
      </c>
      <c r="I787" s="215"/>
      <c r="J787" s="215">
        <v>0</v>
      </c>
      <c r="K787" s="215">
        <v>1</v>
      </c>
      <c r="L787" s="216">
        <v>0.76</v>
      </c>
    </row>
    <row r="788" spans="1:12" hidden="1">
      <c r="A788" s="209" t="s">
        <v>3887</v>
      </c>
      <c r="B788" s="69" t="s">
        <v>3222</v>
      </c>
      <c r="C788" s="69" t="s">
        <v>4375</v>
      </c>
      <c r="D788" s="96" t="s">
        <v>3223</v>
      </c>
      <c r="E788" s="69">
        <v>1</v>
      </c>
      <c r="F788" s="123">
        <v>22.73</v>
      </c>
      <c r="G788" s="123">
        <v>26.25</v>
      </c>
      <c r="H788" s="208">
        <v>26.25</v>
      </c>
      <c r="I788" s="215"/>
      <c r="J788" s="215">
        <v>0</v>
      </c>
      <c r="K788" s="215">
        <v>26.25</v>
      </c>
      <c r="L788" s="216">
        <v>22.73</v>
      </c>
    </row>
    <row r="789" spans="1:12" hidden="1">
      <c r="A789" s="209" t="s">
        <v>3887</v>
      </c>
      <c r="B789" s="69" t="s">
        <v>740</v>
      </c>
      <c r="C789" s="69" t="s">
        <v>4375</v>
      </c>
      <c r="D789" s="96" t="s">
        <v>741</v>
      </c>
      <c r="E789" s="69">
        <v>1</v>
      </c>
      <c r="F789" s="123">
        <v>23.63</v>
      </c>
      <c r="G789" s="123">
        <v>27.25</v>
      </c>
      <c r="H789" s="208">
        <v>27.25</v>
      </c>
      <c r="I789" s="215"/>
      <c r="J789" s="215">
        <v>0</v>
      </c>
      <c r="K789" s="215">
        <v>27.25</v>
      </c>
      <c r="L789" s="216">
        <v>23.63</v>
      </c>
    </row>
    <row r="790" spans="1:12" hidden="1">
      <c r="A790" s="209" t="s">
        <v>3887</v>
      </c>
      <c r="B790" s="69" t="s">
        <v>3342</v>
      </c>
      <c r="C790" s="69" t="s">
        <v>4375</v>
      </c>
      <c r="D790" s="96" t="s">
        <v>3343</v>
      </c>
      <c r="E790" s="69">
        <v>5</v>
      </c>
      <c r="F790" s="123">
        <v>0.76</v>
      </c>
      <c r="G790" s="123">
        <v>1</v>
      </c>
      <c r="H790" s="208">
        <v>5</v>
      </c>
      <c r="I790" s="215"/>
      <c r="J790" s="215">
        <v>0</v>
      </c>
      <c r="K790" s="215">
        <v>5</v>
      </c>
      <c r="L790" s="216">
        <v>3.8</v>
      </c>
    </row>
    <row r="791" spans="1:12" hidden="1">
      <c r="A791" s="209" t="s">
        <v>3887</v>
      </c>
      <c r="B791" s="69" t="s">
        <v>3890</v>
      </c>
      <c r="C791" s="69" t="s">
        <v>4376</v>
      </c>
      <c r="D791" s="96" t="s">
        <v>4377</v>
      </c>
      <c r="E791" s="69">
        <v>1</v>
      </c>
      <c r="F791" s="123">
        <v>6.82</v>
      </c>
      <c r="G791" s="123">
        <v>8</v>
      </c>
      <c r="H791" s="208">
        <v>8</v>
      </c>
      <c r="I791" s="215"/>
      <c r="J791" s="215">
        <v>0</v>
      </c>
      <c r="K791" s="215">
        <v>8</v>
      </c>
      <c r="L791" s="216">
        <v>6.82</v>
      </c>
    </row>
    <row r="792" spans="1:12">
      <c r="A792" s="209" t="s">
        <v>3887</v>
      </c>
      <c r="B792" s="69" t="s">
        <v>1594</v>
      </c>
      <c r="C792" s="69" t="s">
        <v>4378</v>
      </c>
      <c r="D792" s="96" t="s">
        <v>1595</v>
      </c>
      <c r="E792" s="69">
        <v>2</v>
      </c>
      <c r="F792" s="123">
        <v>27.84</v>
      </c>
      <c r="G792" s="123">
        <v>45</v>
      </c>
      <c r="H792" s="208">
        <v>90</v>
      </c>
      <c r="I792" s="215"/>
      <c r="J792" s="215">
        <v>0</v>
      </c>
      <c r="K792" s="215">
        <v>90</v>
      </c>
      <c r="L792" s="216">
        <v>55.68</v>
      </c>
    </row>
    <row r="793" spans="1:12" hidden="1">
      <c r="A793" s="209" t="s">
        <v>3887</v>
      </c>
      <c r="B793" s="69" t="s">
        <v>3885</v>
      </c>
      <c r="C793" s="69" t="s">
        <v>4378</v>
      </c>
      <c r="D793" s="96" t="s">
        <v>4338</v>
      </c>
      <c r="E793" s="69">
        <v>2</v>
      </c>
      <c r="F793" s="123">
        <v>74.38</v>
      </c>
      <c r="G793" s="123">
        <v>89.25</v>
      </c>
      <c r="H793" s="208">
        <v>178.5</v>
      </c>
      <c r="I793" s="215"/>
      <c r="J793" s="215">
        <v>0</v>
      </c>
      <c r="K793" s="215">
        <v>178.5</v>
      </c>
      <c r="L793" s="216">
        <v>148.76</v>
      </c>
    </row>
    <row r="794" spans="1:12" hidden="1">
      <c r="A794" s="209" t="s">
        <v>3887</v>
      </c>
      <c r="B794" s="69" t="s">
        <v>1679</v>
      </c>
      <c r="C794" s="69" t="s">
        <v>4378</v>
      </c>
      <c r="D794" s="96" t="s">
        <v>1680</v>
      </c>
      <c r="E794" s="69">
        <v>1</v>
      </c>
      <c r="F794" s="123">
        <v>1670</v>
      </c>
      <c r="G794" s="123">
        <v>1920.5</v>
      </c>
      <c r="H794" s="208">
        <v>1920.5</v>
      </c>
      <c r="I794" s="215"/>
      <c r="J794" s="215">
        <v>0</v>
      </c>
      <c r="K794" s="215">
        <v>1920.5</v>
      </c>
      <c r="L794" s="216">
        <v>1670</v>
      </c>
    </row>
    <row r="795" spans="1:12" hidden="1">
      <c r="A795" s="209" t="s">
        <v>3887</v>
      </c>
      <c r="B795" s="69" t="s">
        <v>1204</v>
      </c>
      <c r="C795" s="69" t="s">
        <v>4378</v>
      </c>
      <c r="D795" s="96" t="s">
        <v>1205</v>
      </c>
      <c r="E795" s="69">
        <v>3</v>
      </c>
      <c r="F795" s="123">
        <v>56.31</v>
      </c>
      <c r="G795" s="123">
        <v>67.5</v>
      </c>
      <c r="H795" s="208">
        <v>202.5</v>
      </c>
      <c r="I795" s="215"/>
      <c r="J795" s="215">
        <v>0</v>
      </c>
      <c r="K795" s="215">
        <v>202.5</v>
      </c>
      <c r="L795" s="216">
        <v>168.93</v>
      </c>
    </row>
    <row r="796" spans="1:12" hidden="1">
      <c r="A796" s="209" t="s">
        <v>3887</v>
      </c>
      <c r="B796" s="69" t="s">
        <v>2668</v>
      </c>
      <c r="C796" s="69" t="s">
        <v>4378</v>
      </c>
      <c r="D796" s="96" t="s">
        <v>2669</v>
      </c>
      <c r="E796" s="69">
        <v>1</v>
      </c>
      <c r="F796" s="123">
        <v>39.880000000000003</v>
      </c>
      <c r="G796" s="123">
        <v>46</v>
      </c>
      <c r="H796" s="208">
        <v>46</v>
      </c>
      <c r="I796" s="215"/>
      <c r="J796" s="215">
        <v>0</v>
      </c>
      <c r="K796" s="215">
        <v>46</v>
      </c>
      <c r="L796" s="216">
        <v>39.880000000000003</v>
      </c>
    </row>
    <row r="797" spans="1:12" hidden="1">
      <c r="A797" s="209" t="s">
        <v>3887</v>
      </c>
      <c r="B797" s="69" t="s">
        <v>1590</v>
      </c>
      <c r="C797" s="69" t="s">
        <v>4378</v>
      </c>
      <c r="D797" s="96" t="s">
        <v>1591</v>
      </c>
      <c r="E797" s="69">
        <v>17</v>
      </c>
      <c r="F797" s="123">
        <v>14.38</v>
      </c>
      <c r="G797" s="123">
        <v>16.75</v>
      </c>
      <c r="H797" s="208">
        <v>284.75</v>
      </c>
      <c r="I797" s="215"/>
      <c r="J797" s="215">
        <v>0</v>
      </c>
      <c r="K797" s="215">
        <v>284.75</v>
      </c>
      <c r="L797" s="216">
        <v>244.46</v>
      </c>
    </row>
    <row r="798" spans="1:12" hidden="1">
      <c r="A798" s="209" t="s">
        <v>3887</v>
      </c>
      <c r="B798" s="69" t="s">
        <v>3891</v>
      </c>
      <c r="C798" s="69" t="s">
        <v>4378</v>
      </c>
      <c r="D798" s="96" t="s">
        <v>4379</v>
      </c>
      <c r="E798" s="69">
        <v>10</v>
      </c>
      <c r="F798" s="123">
        <v>6.89</v>
      </c>
      <c r="G798" s="123">
        <v>8</v>
      </c>
      <c r="H798" s="208">
        <v>80</v>
      </c>
      <c r="I798" s="215"/>
      <c r="J798" s="215">
        <v>0</v>
      </c>
      <c r="K798" s="215">
        <v>80</v>
      </c>
      <c r="L798" s="216">
        <v>68.899999999999991</v>
      </c>
    </row>
    <row r="799" spans="1:12" hidden="1">
      <c r="A799" s="209" t="s">
        <v>3887</v>
      </c>
      <c r="B799" s="69" t="s">
        <v>1570</v>
      </c>
      <c r="C799" s="69" t="s">
        <v>4378</v>
      </c>
      <c r="D799" s="96" t="s">
        <v>1571</v>
      </c>
      <c r="E799" s="69">
        <v>5</v>
      </c>
      <c r="F799" s="123">
        <v>51.97</v>
      </c>
      <c r="G799" s="123">
        <v>60</v>
      </c>
      <c r="H799" s="208">
        <v>300</v>
      </c>
      <c r="I799" s="215"/>
      <c r="J799" s="215">
        <v>0</v>
      </c>
      <c r="K799" s="215">
        <v>300</v>
      </c>
      <c r="L799" s="216">
        <v>259.85000000000002</v>
      </c>
    </row>
    <row r="800" spans="1:12" hidden="1">
      <c r="A800" s="209" t="s">
        <v>3887</v>
      </c>
      <c r="B800" s="69" t="s">
        <v>1281</v>
      </c>
      <c r="C800" s="69" t="s">
        <v>4378</v>
      </c>
      <c r="D800" s="96" t="s">
        <v>1282</v>
      </c>
      <c r="E800" s="69">
        <v>1</v>
      </c>
      <c r="F800" s="123">
        <v>41.86</v>
      </c>
      <c r="G800" s="123">
        <v>48.25</v>
      </c>
      <c r="H800" s="208">
        <v>48.25</v>
      </c>
      <c r="I800" s="215"/>
      <c r="J800" s="215">
        <v>0</v>
      </c>
      <c r="K800" s="215">
        <v>48.25</v>
      </c>
      <c r="L800" s="216">
        <v>41.86</v>
      </c>
    </row>
    <row r="801" spans="1:12" hidden="1">
      <c r="A801" s="209" t="s">
        <v>3887</v>
      </c>
      <c r="B801" s="69" t="s">
        <v>1636</v>
      </c>
      <c r="C801" s="69" t="s">
        <v>4378</v>
      </c>
      <c r="D801" s="96" t="s">
        <v>1637</v>
      </c>
      <c r="E801" s="69">
        <v>1</v>
      </c>
      <c r="F801" s="123">
        <v>67.290000000000006</v>
      </c>
      <c r="G801" s="123">
        <v>77.5</v>
      </c>
      <c r="H801" s="208">
        <v>77.5</v>
      </c>
      <c r="I801" s="215"/>
      <c r="J801" s="215">
        <v>0</v>
      </c>
      <c r="K801" s="215">
        <v>77.5</v>
      </c>
      <c r="L801" s="216">
        <v>67.290000000000006</v>
      </c>
    </row>
    <row r="802" spans="1:12" hidden="1">
      <c r="A802" s="209" t="s">
        <v>3887</v>
      </c>
      <c r="B802" s="69" t="s">
        <v>1437</v>
      </c>
      <c r="C802" s="69" t="s">
        <v>4378</v>
      </c>
      <c r="D802" s="96" t="s">
        <v>1438</v>
      </c>
      <c r="E802" s="69">
        <v>1</v>
      </c>
      <c r="F802" s="123">
        <v>51.5</v>
      </c>
      <c r="G802" s="123">
        <v>59.25</v>
      </c>
      <c r="H802" s="208">
        <v>59.25</v>
      </c>
      <c r="I802" s="215"/>
      <c r="J802" s="215">
        <v>0</v>
      </c>
      <c r="K802" s="215">
        <v>59.25</v>
      </c>
      <c r="L802" s="216">
        <v>51.5</v>
      </c>
    </row>
    <row r="803" spans="1:12" hidden="1">
      <c r="A803" s="209" t="s">
        <v>3887</v>
      </c>
      <c r="B803" s="69" t="s">
        <v>1604</v>
      </c>
      <c r="C803" s="69" t="s">
        <v>4378</v>
      </c>
      <c r="D803" s="96" t="s">
        <v>1605</v>
      </c>
      <c r="E803" s="69">
        <v>1</v>
      </c>
      <c r="F803" s="123">
        <v>21.84</v>
      </c>
      <c r="G803" s="123">
        <v>25.25</v>
      </c>
      <c r="H803" s="208">
        <v>25.25</v>
      </c>
      <c r="I803" s="215"/>
      <c r="J803" s="215">
        <v>0</v>
      </c>
      <c r="K803" s="215">
        <v>25.25</v>
      </c>
      <c r="L803" s="216">
        <v>21.84</v>
      </c>
    </row>
    <row r="804" spans="1:12" hidden="1">
      <c r="A804" s="209" t="s">
        <v>3887</v>
      </c>
      <c r="B804" s="69" t="s">
        <v>1011</v>
      </c>
      <c r="C804" s="69" t="s">
        <v>4378</v>
      </c>
      <c r="D804" s="96" t="s">
        <v>1012</v>
      </c>
      <c r="E804" s="69">
        <v>1</v>
      </c>
      <c r="F804" s="123">
        <v>202</v>
      </c>
      <c r="G804" s="123">
        <v>233.5</v>
      </c>
      <c r="H804" s="208">
        <v>233.5</v>
      </c>
      <c r="I804" s="215"/>
      <c r="J804" s="215">
        <v>0</v>
      </c>
      <c r="K804" s="215">
        <v>233.5</v>
      </c>
      <c r="L804" s="216">
        <v>202</v>
      </c>
    </row>
    <row r="805" spans="1:12" hidden="1">
      <c r="A805" s="209" t="s">
        <v>3887</v>
      </c>
      <c r="B805" s="69" t="s">
        <v>98</v>
      </c>
      <c r="C805" s="69" t="s">
        <v>4380</v>
      </c>
      <c r="D805" s="96" t="s">
        <v>99</v>
      </c>
      <c r="E805" s="69">
        <v>1</v>
      </c>
      <c r="F805" s="123">
        <v>18.649999999999999</v>
      </c>
      <c r="G805" s="123">
        <v>21.5</v>
      </c>
      <c r="H805" s="208">
        <v>21.5</v>
      </c>
      <c r="I805" s="215"/>
      <c r="J805" s="215">
        <v>0</v>
      </c>
      <c r="K805" s="215">
        <v>21.5</v>
      </c>
      <c r="L805" s="216">
        <v>18.649999999999999</v>
      </c>
    </row>
    <row r="806" spans="1:12" hidden="1">
      <c r="A806" s="209" t="s">
        <v>3887</v>
      </c>
      <c r="B806" s="69" t="s">
        <v>3890</v>
      </c>
      <c r="C806" s="69" t="s">
        <v>4381</v>
      </c>
      <c r="D806" s="96" t="s">
        <v>4377</v>
      </c>
      <c r="E806" s="69">
        <v>1</v>
      </c>
      <c r="F806" s="123">
        <v>6.82</v>
      </c>
      <c r="G806" s="123">
        <v>8</v>
      </c>
      <c r="H806" s="208">
        <v>8</v>
      </c>
      <c r="I806" s="215"/>
      <c r="J806" s="215">
        <v>0</v>
      </c>
      <c r="K806" s="215">
        <v>8</v>
      </c>
      <c r="L806" s="216">
        <v>6.82</v>
      </c>
    </row>
    <row r="807" spans="1:12" hidden="1">
      <c r="A807" s="209" t="s">
        <v>3887</v>
      </c>
      <c r="B807" s="69" t="s">
        <v>3334</v>
      </c>
      <c r="C807" s="69" t="s">
        <v>4382</v>
      </c>
      <c r="D807" s="96" t="s">
        <v>3335</v>
      </c>
      <c r="E807" s="69">
        <v>2</v>
      </c>
      <c r="F807" s="123">
        <v>3.6</v>
      </c>
      <c r="G807" s="123">
        <v>4.25</v>
      </c>
      <c r="H807" s="208">
        <v>8.5</v>
      </c>
      <c r="I807" s="215"/>
      <c r="J807" s="215">
        <v>0</v>
      </c>
      <c r="K807" s="215">
        <v>8.5</v>
      </c>
      <c r="L807" s="216">
        <v>7.2</v>
      </c>
    </row>
    <row r="808" spans="1:12" hidden="1">
      <c r="A808" s="209" t="s">
        <v>3887</v>
      </c>
      <c r="B808" s="69" t="s">
        <v>3892</v>
      </c>
      <c r="C808" s="69" t="s">
        <v>4383</v>
      </c>
      <c r="D808" s="96" t="s">
        <v>4384</v>
      </c>
      <c r="E808" s="69">
        <v>50</v>
      </c>
      <c r="F808" s="123">
        <v>3.81</v>
      </c>
      <c r="G808" s="123">
        <v>4.75</v>
      </c>
      <c r="H808" s="208">
        <v>237.5</v>
      </c>
      <c r="I808" s="215"/>
      <c r="J808" s="215">
        <v>0</v>
      </c>
      <c r="K808" s="215">
        <v>237.5</v>
      </c>
      <c r="L808" s="216">
        <v>190.5</v>
      </c>
    </row>
    <row r="809" spans="1:12" hidden="1">
      <c r="A809" s="209" t="s">
        <v>3887</v>
      </c>
      <c r="B809" s="69" t="s">
        <v>3056</v>
      </c>
      <c r="C809" s="69" t="s">
        <v>4385</v>
      </c>
      <c r="D809" s="96" t="s">
        <v>3057</v>
      </c>
      <c r="E809" s="69">
        <v>1</v>
      </c>
      <c r="F809" s="123">
        <v>69.510000000000005</v>
      </c>
      <c r="G809" s="123">
        <v>80</v>
      </c>
      <c r="H809" s="208">
        <v>80</v>
      </c>
      <c r="I809" s="215"/>
      <c r="J809" s="215">
        <v>0</v>
      </c>
      <c r="K809" s="215">
        <v>80</v>
      </c>
      <c r="L809" s="216">
        <v>69.510000000000005</v>
      </c>
    </row>
    <row r="810" spans="1:12" hidden="1">
      <c r="A810" s="209" t="s">
        <v>3887</v>
      </c>
      <c r="B810" s="69" t="s">
        <v>2230</v>
      </c>
      <c r="C810" s="69" t="s">
        <v>4386</v>
      </c>
      <c r="D810" s="96" t="s">
        <v>2231</v>
      </c>
      <c r="E810" s="69">
        <v>1</v>
      </c>
      <c r="F810" s="123">
        <v>9.5</v>
      </c>
      <c r="G810" s="123">
        <v>11</v>
      </c>
      <c r="H810" s="208">
        <v>11</v>
      </c>
      <c r="I810" s="215"/>
      <c r="J810" s="215">
        <v>0</v>
      </c>
      <c r="K810" s="215">
        <v>11</v>
      </c>
      <c r="L810" s="216">
        <v>9.5</v>
      </c>
    </row>
    <row r="811" spans="1:12" hidden="1">
      <c r="A811" s="209" t="s">
        <v>3887</v>
      </c>
      <c r="B811" s="69" t="s">
        <v>615</v>
      </c>
      <c r="C811" s="69" t="s">
        <v>4387</v>
      </c>
      <c r="D811" s="96" t="s">
        <v>616</v>
      </c>
      <c r="E811" s="69">
        <v>1</v>
      </c>
      <c r="F811" s="123">
        <v>59.51</v>
      </c>
      <c r="G811" s="123">
        <v>68.5</v>
      </c>
      <c r="H811" s="208">
        <v>68.5</v>
      </c>
      <c r="I811" s="215"/>
      <c r="J811" s="215">
        <v>0</v>
      </c>
      <c r="K811" s="215">
        <v>68.5</v>
      </c>
      <c r="L811" s="216">
        <v>59.51</v>
      </c>
    </row>
    <row r="812" spans="1:12" hidden="1">
      <c r="A812" s="209" t="s">
        <v>3893</v>
      </c>
      <c r="B812" s="69" t="s">
        <v>379</v>
      </c>
      <c r="C812" s="69" t="s">
        <v>4388</v>
      </c>
      <c r="D812" s="96" t="s">
        <v>380</v>
      </c>
      <c r="E812" s="69">
        <v>1</v>
      </c>
      <c r="F812" s="123">
        <v>61.5</v>
      </c>
      <c r="G812" s="123">
        <v>70.75</v>
      </c>
      <c r="H812" s="208">
        <v>70.75</v>
      </c>
      <c r="I812" s="215"/>
      <c r="J812" s="215">
        <v>0</v>
      </c>
      <c r="K812" s="215">
        <v>70.75</v>
      </c>
      <c r="L812" s="216">
        <v>61.5</v>
      </c>
    </row>
    <row r="813" spans="1:12" hidden="1">
      <c r="A813" s="209" t="s">
        <v>3893</v>
      </c>
      <c r="B813" s="69" t="s">
        <v>68</v>
      </c>
      <c r="C813" s="69" t="s">
        <v>4388</v>
      </c>
      <c r="D813" s="96" t="s">
        <v>69</v>
      </c>
      <c r="E813" s="69">
        <v>1</v>
      </c>
      <c r="F813" s="123">
        <v>18.53</v>
      </c>
      <c r="G813" s="123">
        <v>21.5</v>
      </c>
      <c r="H813" s="208">
        <v>21.5</v>
      </c>
      <c r="I813" s="215"/>
      <c r="J813" s="215">
        <v>0</v>
      </c>
      <c r="K813" s="215">
        <v>21.5</v>
      </c>
      <c r="L813" s="216">
        <v>18.53</v>
      </c>
    </row>
    <row r="814" spans="1:12" hidden="1">
      <c r="A814" s="209" t="s">
        <v>3893</v>
      </c>
      <c r="B814" s="69" t="s">
        <v>3715</v>
      </c>
      <c r="C814" s="69" t="s">
        <v>4388</v>
      </c>
      <c r="D814" s="96" t="s">
        <v>52</v>
      </c>
      <c r="E814" s="69">
        <v>1</v>
      </c>
      <c r="F814" s="123">
        <v>16.03</v>
      </c>
      <c r="G814" s="123">
        <v>18.5</v>
      </c>
      <c r="H814" s="208">
        <v>18.5</v>
      </c>
      <c r="I814" s="215"/>
      <c r="J814" s="215">
        <v>0</v>
      </c>
      <c r="K814" s="215">
        <v>18.5</v>
      </c>
      <c r="L814" s="216">
        <v>16.03</v>
      </c>
    </row>
    <row r="815" spans="1:12" hidden="1">
      <c r="A815" s="209" t="s">
        <v>3893</v>
      </c>
      <c r="B815" s="69" t="s">
        <v>2070</v>
      </c>
      <c r="C815" s="69" t="s">
        <v>4388</v>
      </c>
      <c r="D815" s="96" t="s">
        <v>2071</v>
      </c>
      <c r="E815" s="69">
        <v>1</v>
      </c>
      <c r="F815" s="123">
        <v>37.25</v>
      </c>
      <c r="G815" s="123">
        <v>43</v>
      </c>
      <c r="H815" s="208">
        <v>43</v>
      </c>
      <c r="I815" s="215"/>
      <c r="J815" s="215">
        <v>0</v>
      </c>
      <c r="K815" s="215">
        <v>43</v>
      </c>
      <c r="L815" s="216">
        <v>37.25</v>
      </c>
    </row>
    <row r="816" spans="1:12" hidden="1">
      <c r="A816" s="209" t="s">
        <v>3893</v>
      </c>
      <c r="B816" s="69" t="s">
        <v>2237</v>
      </c>
      <c r="C816" s="69" t="s">
        <v>4388</v>
      </c>
      <c r="D816" s="96" t="s">
        <v>2238</v>
      </c>
      <c r="E816" s="69">
        <v>1</v>
      </c>
      <c r="F816" s="123">
        <v>47.5</v>
      </c>
      <c r="G816" s="123">
        <v>54.75</v>
      </c>
      <c r="H816" s="208">
        <v>54.75</v>
      </c>
      <c r="I816" s="215"/>
      <c r="J816" s="215">
        <v>0</v>
      </c>
      <c r="K816" s="215">
        <v>54.75</v>
      </c>
      <c r="L816" s="216">
        <v>47.5</v>
      </c>
    </row>
    <row r="817" spans="1:12" hidden="1">
      <c r="A817" s="209" t="s">
        <v>3893</v>
      </c>
      <c r="B817" s="69" t="s">
        <v>975</v>
      </c>
      <c r="C817" s="69" t="s">
        <v>4388</v>
      </c>
      <c r="D817" s="96" t="s">
        <v>976</v>
      </c>
      <c r="E817" s="69">
        <v>1</v>
      </c>
      <c r="F817" s="123">
        <v>100.03</v>
      </c>
      <c r="G817" s="123">
        <v>115.25</v>
      </c>
      <c r="H817" s="208">
        <v>115.25</v>
      </c>
      <c r="I817" s="215"/>
      <c r="J817" s="215">
        <v>0</v>
      </c>
      <c r="K817" s="215">
        <v>115.25</v>
      </c>
      <c r="L817" s="216">
        <v>100.03</v>
      </c>
    </row>
    <row r="818" spans="1:12" hidden="1">
      <c r="A818" s="209" t="s">
        <v>3893</v>
      </c>
      <c r="B818" s="69" t="s">
        <v>53</v>
      </c>
      <c r="C818" s="69" t="s">
        <v>4389</v>
      </c>
      <c r="D818" s="96" t="s">
        <v>54</v>
      </c>
      <c r="E818" s="69">
        <v>1</v>
      </c>
      <c r="F818" s="123">
        <v>16.03</v>
      </c>
      <c r="G818" s="123">
        <v>18.5</v>
      </c>
      <c r="H818" s="208">
        <v>18.5</v>
      </c>
      <c r="I818" s="215"/>
      <c r="J818" s="215">
        <v>0</v>
      </c>
      <c r="K818" s="215">
        <v>18.5</v>
      </c>
      <c r="L818" s="216">
        <v>16.03</v>
      </c>
    </row>
    <row r="819" spans="1:12" hidden="1">
      <c r="A819" s="209" t="s">
        <v>3893</v>
      </c>
      <c r="B819" s="69" t="s">
        <v>2571</v>
      </c>
      <c r="C819" s="69" t="s">
        <v>4390</v>
      </c>
      <c r="D819" s="96" t="s">
        <v>2572</v>
      </c>
      <c r="E819" s="69">
        <v>2</v>
      </c>
      <c r="F819" s="123">
        <v>11.17</v>
      </c>
      <c r="G819" s="123">
        <v>13</v>
      </c>
      <c r="H819" s="208">
        <v>26</v>
      </c>
      <c r="I819" s="215"/>
      <c r="J819" s="215">
        <v>0</v>
      </c>
      <c r="K819" s="215">
        <v>26</v>
      </c>
      <c r="L819" s="216">
        <v>22.34</v>
      </c>
    </row>
    <row r="820" spans="1:12" hidden="1">
      <c r="A820" s="209" t="s">
        <v>3893</v>
      </c>
      <c r="B820" s="69" t="s">
        <v>59</v>
      </c>
      <c r="C820" s="69" t="s">
        <v>4391</v>
      </c>
      <c r="D820" s="96" t="s">
        <v>60</v>
      </c>
      <c r="E820" s="69">
        <v>1</v>
      </c>
      <c r="F820" s="123">
        <v>18.88</v>
      </c>
      <c r="G820" s="123">
        <v>21.75</v>
      </c>
      <c r="H820" s="208">
        <v>21.75</v>
      </c>
      <c r="I820" s="215"/>
      <c r="J820" s="215">
        <v>0</v>
      </c>
      <c r="K820" s="215">
        <v>21.75</v>
      </c>
      <c r="L820" s="216">
        <v>18.88</v>
      </c>
    </row>
    <row r="821" spans="1:12" hidden="1">
      <c r="A821" s="209" t="s">
        <v>3893</v>
      </c>
      <c r="B821" s="69" t="s">
        <v>375</v>
      </c>
      <c r="C821" s="69" t="s">
        <v>4392</v>
      </c>
      <c r="D821" s="96" t="s">
        <v>376</v>
      </c>
      <c r="E821" s="69">
        <v>1</v>
      </c>
      <c r="F821" s="123">
        <v>44.8</v>
      </c>
      <c r="G821" s="123">
        <v>51.75</v>
      </c>
      <c r="H821" s="208">
        <v>51.75</v>
      </c>
      <c r="I821" s="215"/>
      <c r="J821" s="215">
        <v>0</v>
      </c>
      <c r="K821" s="215">
        <v>51.75</v>
      </c>
      <c r="L821" s="216">
        <v>44.8</v>
      </c>
    </row>
    <row r="822" spans="1:12" hidden="1">
      <c r="A822" s="209" t="s">
        <v>3893</v>
      </c>
      <c r="B822" s="69" t="s">
        <v>404</v>
      </c>
      <c r="C822" s="69" t="s">
        <v>4392</v>
      </c>
      <c r="D822" s="96" t="s">
        <v>405</v>
      </c>
      <c r="E822" s="69">
        <v>1</v>
      </c>
      <c r="F822" s="123">
        <v>68.540000000000006</v>
      </c>
      <c r="G822" s="123">
        <v>79</v>
      </c>
      <c r="H822" s="208">
        <v>79</v>
      </c>
      <c r="I822" s="215"/>
      <c r="J822" s="215">
        <v>0</v>
      </c>
      <c r="K822" s="215">
        <v>79</v>
      </c>
      <c r="L822" s="216">
        <v>68.540000000000006</v>
      </c>
    </row>
    <row r="823" spans="1:12" hidden="1">
      <c r="A823" s="209" t="s">
        <v>3893</v>
      </c>
      <c r="B823" s="69" t="s">
        <v>3336</v>
      </c>
      <c r="C823" s="69" t="s">
        <v>4393</v>
      </c>
      <c r="D823" s="96" t="s">
        <v>3337</v>
      </c>
      <c r="E823" s="69">
        <v>6</v>
      </c>
      <c r="F823" s="123">
        <v>3.6</v>
      </c>
      <c r="G823" s="123">
        <v>4.25</v>
      </c>
      <c r="H823" s="208">
        <v>25.5</v>
      </c>
      <c r="I823" s="215"/>
      <c r="J823" s="215">
        <v>0</v>
      </c>
      <c r="K823" s="215">
        <v>25.5</v>
      </c>
      <c r="L823" s="216">
        <v>21.6</v>
      </c>
    </row>
    <row r="824" spans="1:12" hidden="1">
      <c r="A824" s="209" t="s">
        <v>3893</v>
      </c>
      <c r="B824" s="69" t="s">
        <v>1596</v>
      </c>
      <c r="C824" s="69" t="s">
        <v>4394</v>
      </c>
      <c r="D824" s="96" t="s">
        <v>1597</v>
      </c>
      <c r="E824" s="69">
        <v>1</v>
      </c>
      <c r="F824" s="123">
        <v>13.92</v>
      </c>
      <c r="G824" s="123">
        <v>22</v>
      </c>
      <c r="H824" s="208">
        <v>22</v>
      </c>
      <c r="I824" s="215"/>
      <c r="J824" s="215">
        <v>0</v>
      </c>
      <c r="K824" s="215">
        <v>22</v>
      </c>
      <c r="L824" s="216">
        <v>13.92</v>
      </c>
    </row>
    <row r="825" spans="1:12" hidden="1">
      <c r="A825" s="209" t="s">
        <v>3893</v>
      </c>
      <c r="B825" s="69" t="s">
        <v>1003</v>
      </c>
      <c r="C825" s="69" t="s">
        <v>4394</v>
      </c>
      <c r="D825" s="96" t="s">
        <v>1004</v>
      </c>
      <c r="E825" s="69">
        <v>1</v>
      </c>
      <c r="F825" s="123">
        <v>237.14</v>
      </c>
      <c r="G825" s="123">
        <v>272.75</v>
      </c>
      <c r="H825" s="208">
        <v>272.75</v>
      </c>
      <c r="I825" s="215"/>
      <c r="J825" s="215">
        <v>0</v>
      </c>
      <c r="K825" s="215">
        <v>272.75</v>
      </c>
      <c r="L825" s="216">
        <v>237.14</v>
      </c>
    </row>
    <row r="826" spans="1:12" hidden="1">
      <c r="A826" s="209" t="s">
        <v>3893</v>
      </c>
      <c r="B826" s="69" t="s">
        <v>361</v>
      </c>
      <c r="C826" s="69" t="s">
        <v>4395</v>
      </c>
      <c r="D826" s="96" t="s">
        <v>362</v>
      </c>
      <c r="E826" s="69">
        <v>1</v>
      </c>
      <c r="F826" s="123">
        <v>59.5</v>
      </c>
      <c r="G826" s="123">
        <v>68.5</v>
      </c>
      <c r="H826" s="208">
        <v>68.5</v>
      </c>
      <c r="I826" s="215"/>
      <c r="J826" s="215">
        <v>0</v>
      </c>
      <c r="K826" s="215">
        <v>68.5</v>
      </c>
      <c r="L826" s="216">
        <v>59.5</v>
      </c>
    </row>
    <row r="827" spans="1:12" hidden="1">
      <c r="A827" s="209" t="s">
        <v>3893</v>
      </c>
      <c r="B827" s="69" t="s">
        <v>981</v>
      </c>
      <c r="C827" s="69" t="s">
        <v>4396</v>
      </c>
      <c r="D827" s="96" t="s">
        <v>982</v>
      </c>
      <c r="E827" s="69">
        <v>1</v>
      </c>
      <c r="F827" s="123">
        <v>13.32</v>
      </c>
      <c r="G827" s="123">
        <v>15.5</v>
      </c>
      <c r="H827" s="208">
        <v>15.5</v>
      </c>
      <c r="I827" s="215"/>
      <c r="J827" s="215">
        <v>0</v>
      </c>
      <c r="K827" s="215">
        <v>15.5</v>
      </c>
      <c r="L827" s="216">
        <v>13.32</v>
      </c>
    </row>
    <row r="828" spans="1:12" hidden="1">
      <c r="A828" s="209" t="s">
        <v>3893</v>
      </c>
      <c r="B828" s="69" t="s">
        <v>1092</v>
      </c>
      <c r="C828" s="69" t="s">
        <v>4396</v>
      </c>
      <c r="D828" s="96" t="s">
        <v>1093</v>
      </c>
      <c r="E828" s="69">
        <v>1</v>
      </c>
      <c r="F828" s="123">
        <v>9</v>
      </c>
      <c r="G828" s="123">
        <v>10.5</v>
      </c>
      <c r="H828" s="208">
        <v>10.5</v>
      </c>
      <c r="I828" s="215"/>
      <c r="J828" s="215">
        <v>0</v>
      </c>
      <c r="K828" s="215">
        <v>10.5</v>
      </c>
      <c r="L828" s="216">
        <v>9</v>
      </c>
    </row>
    <row r="829" spans="1:12" hidden="1">
      <c r="A829" s="209" t="s">
        <v>3893</v>
      </c>
      <c r="B829" s="69" t="s">
        <v>1925</v>
      </c>
      <c r="C829" s="69" t="s">
        <v>4397</v>
      </c>
      <c r="D829" s="96" t="s">
        <v>1926</v>
      </c>
      <c r="E829" s="69">
        <v>1</v>
      </c>
      <c r="F829" s="123">
        <v>51.55</v>
      </c>
      <c r="G829" s="123">
        <v>60</v>
      </c>
      <c r="H829" s="208">
        <v>60</v>
      </c>
      <c r="I829" s="215"/>
      <c r="J829" s="215">
        <v>0</v>
      </c>
      <c r="K829" s="215">
        <v>60</v>
      </c>
      <c r="L829" s="216">
        <v>51.55</v>
      </c>
    </row>
    <row r="830" spans="1:12" hidden="1">
      <c r="A830" s="209" t="s">
        <v>3893</v>
      </c>
      <c r="B830" s="69" t="s">
        <v>205</v>
      </c>
      <c r="C830" s="69" t="s">
        <v>4398</v>
      </c>
      <c r="D830" s="96" t="s">
        <v>206</v>
      </c>
      <c r="E830" s="69">
        <v>1</v>
      </c>
      <c r="F830" s="123">
        <v>33.1</v>
      </c>
      <c r="G830" s="123">
        <v>38.25</v>
      </c>
      <c r="H830" s="208">
        <v>38.25</v>
      </c>
      <c r="I830" s="215"/>
      <c r="J830" s="215">
        <v>0</v>
      </c>
      <c r="K830" s="215">
        <v>38.25</v>
      </c>
      <c r="L830" s="216">
        <v>33.1</v>
      </c>
    </row>
    <row r="831" spans="1:12" hidden="1">
      <c r="A831" s="209" t="s">
        <v>3893</v>
      </c>
      <c r="B831" s="69" t="s">
        <v>1024</v>
      </c>
      <c r="C831" s="69" t="s">
        <v>4398</v>
      </c>
      <c r="D831" s="96" t="s">
        <v>1025</v>
      </c>
      <c r="E831" s="69">
        <v>1</v>
      </c>
      <c r="F831" s="123">
        <v>8.58</v>
      </c>
      <c r="G831" s="123">
        <v>10</v>
      </c>
      <c r="H831" s="208">
        <v>10</v>
      </c>
      <c r="I831" s="215"/>
      <c r="J831" s="215">
        <v>0</v>
      </c>
      <c r="K831" s="215">
        <v>10</v>
      </c>
      <c r="L831" s="216">
        <v>8.58</v>
      </c>
    </row>
    <row r="832" spans="1:12" hidden="1">
      <c r="A832" s="209" t="s">
        <v>3893</v>
      </c>
      <c r="B832" s="69" t="s">
        <v>874</v>
      </c>
      <c r="C832" s="69" t="s">
        <v>4398</v>
      </c>
      <c r="D832" s="96" t="s">
        <v>875</v>
      </c>
      <c r="E832" s="69">
        <v>1</v>
      </c>
      <c r="F832" s="123">
        <v>8.1999999999999993</v>
      </c>
      <c r="G832" s="123">
        <v>9.5</v>
      </c>
      <c r="H832" s="208">
        <v>9.5</v>
      </c>
      <c r="I832" s="215"/>
      <c r="J832" s="215">
        <v>0</v>
      </c>
      <c r="K832" s="215">
        <v>9.5</v>
      </c>
      <c r="L832" s="216">
        <v>8.1999999999999993</v>
      </c>
    </row>
    <row r="833" spans="1:12" hidden="1">
      <c r="A833" s="209" t="s">
        <v>3893</v>
      </c>
      <c r="B833" s="69" t="s">
        <v>355</v>
      </c>
      <c r="C833" s="69" t="s">
        <v>4398</v>
      </c>
      <c r="D833" s="96" t="s">
        <v>356</v>
      </c>
      <c r="E833" s="69">
        <v>2</v>
      </c>
      <c r="F833" s="123">
        <v>7.48</v>
      </c>
      <c r="G833" s="123">
        <v>8.75</v>
      </c>
      <c r="H833" s="208">
        <v>17.5</v>
      </c>
      <c r="I833" s="215"/>
      <c r="J833" s="215">
        <v>0</v>
      </c>
      <c r="K833" s="215">
        <v>17.5</v>
      </c>
      <c r="L833" s="216">
        <v>14.96</v>
      </c>
    </row>
    <row r="834" spans="1:12" hidden="1">
      <c r="A834" s="209" t="s">
        <v>3893</v>
      </c>
      <c r="B834" s="69" t="s">
        <v>3894</v>
      </c>
      <c r="C834" s="69" t="s">
        <v>4399</v>
      </c>
      <c r="D834" s="96" t="s">
        <v>4400</v>
      </c>
      <c r="E834" s="69">
        <v>1</v>
      </c>
      <c r="F834" s="123">
        <v>5.61</v>
      </c>
      <c r="G834" s="123">
        <v>6.5</v>
      </c>
      <c r="H834" s="208">
        <v>6.5</v>
      </c>
      <c r="I834" s="215"/>
      <c r="J834" s="215">
        <v>0</v>
      </c>
      <c r="K834" s="215">
        <v>6.5</v>
      </c>
      <c r="L834" s="216">
        <v>5.61</v>
      </c>
    </row>
    <row r="835" spans="1:12" hidden="1">
      <c r="A835" s="209" t="s">
        <v>3893</v>
      </c>
      <c r="B835" s="69" t="s">
        <v>271</v>
      </c>
      <c r="C835" s="69" t="s">
        <v>4401</v>
      </c>
      <c r="D835" s="96" t="s">
        <v>272</v>
      </c>
      <c r="E835" s="69">
        <v>2</v>
      </c>
      <c r="F835" s="123">
        <v>31.6</v>
      </c>
      <c r="G835" s="123">
        <v>36.33</v>
      </c>
      <c r="H835" s="208">
        <v>72.66</v>
      </c>
      <c r="I835" s="215"/>
      <c r="J835" s="215">
        <v>0</v>
      </c>
      <c r="K835" s="215">
        <v>72.66</v>
      </c>
      <c r="L835" s="216">
        <v>63.2</v>
      </c>
    </row>
    <row r="836" spans="1:12" hidden="1">
      <c r="A836" s="209" t="s">
        <v>3893</v>
      </c>
      <c r="B836" s="69" t="s">
        <v>205</v>
      </c>
      <c r="C836" s="69" t="s">
        <v>4401</v>
      </c>
      <c r="D836" s="96" t="s">
        <v>206</v>
      </c>
      <c r="E836" s="69">
        <v>2</v>
      </c>
      <c r="F836" s="123">
        <v>33.1</v>
      </c>
      <c r="G836" s="123">
        <v>38.25</v>
      </c>
      <c r="H836" s="208">
        <v>76.5</v>
      </c>
      <c r="I836" s="215"/>
      <c r="J836" s="215">
        <v>0</v>
      </c>
      <c r="K836" s="215">
        <v>76.5</v>
      </c>
      <c r="L836" s="216">
        <v>66.2</v>
      </c>
    </row>
    <row r="837" spans="1:12" hidden="1">
      <c r="A837" s="209" t="s">
        <v>3893</v>
      </c>
      <c r="B837" s="69" t="s">
        <v>404</v>
      </c>
      <c r="C837" s="69" t="s">
        <v>4401</v>
      </c>
      <c r="D837" s="96" t="s">
        <v>405</v>
      </c>
      <c r="E837" s="69">
        <v>1</v>
      </c>
      <c r="F837" s="123">
        <v>68.540000000000006</v>
      </c>
      <c r="G837" s="123">
        <v>79</v>
      </c>
      <c r="H837" s="208">
        <v>79</v>
      </c>
      <c r="I837" s="215"/>
      <c r="J837" s="215">
        <v>0</v>
      </c>
      <c r="K837" s="215">
        <v>79</v>
      </c>
      <c r="L837" s="216">
        <v>68.540000000000006</v>
      </c>
    </row>
    <row r="838" spans="1:12" hidden="1">
      <c r="A838" s="209" t="s">
        <v>3893</v>
      </c>
      <c r="B838" s="69" t="s">
        <v>831</v>
      </c>
      <c r="C838" s="69" t="s">
        <v>4401</v>
      </c>
      <c r="D838" s="96" t="s">
        <v>832</v>
      </c>
      <c r="E838" s="69">
        <v>1</v>
      </c>
      <c r="F838" s="123">
        <v>42</v>
      </c>
      <c r="G838" s="123">
        <v>48.5</v>
      </c>
      <c r="H838" s="208">
        <v>48.5</v>
      </c>
      <c r="I838" s="215"/>
      <c r="J838" s="215">
        <v>0</v>
      </c>
      <c r="K838" s="215">
        <v>48.5</v>
      </c>
      <c r="L838" s="216">
        <v>42</v>
      </c>
    </row>
    <row r="839" spans="1:12" hidden="1">
      <c r="A839" s="209" t="s">
        <v>3893</v>
      </c>
      <c r="B839" s="69" t="s">
        <v>2211</v>
      </c>
      <c r="C839" s="69" t="s">
        <v>4401</v>
      </c>
      <c r="D839" s="96" t="s">
        <v>2212</v>
      </c>
      <c r="E839" s="69">
        <v>1</v>
      </c>
      <c r="F839" s="123">
        <v>17.059999999999999</v>
      </c>
      <c r="G839" s="123">
        <v>19.75</v>
      </c>
      <c r="H839" s="208">
        <v>19.75</v>
      </c>
      <c r="I839" s="215"/>
      <c r="J839" s="215">
        <v>0</v>
      </c>
      <c r="K839" s="215">
        <v>19.75</v>
      </c>
      <c r="L839" s="216">
        <v>17.059999999999999</v>
      </c>
    </row>
    <row r="840" spans="1:12" hidden="1">
      <c r="A840" s="209" t="s">
        <v>3893</v>
      </c>
      <c r="B840" s="69" t="s">
        <v>1954</v>
      </c>
      <c r="C840" s="69" t="s">
        <v>4401</v>
      </c>
      <c r="D840" s="96" t="s">
        <v>1955</v>
      </c>
      <c r="E840" s="69">
        <v>3</v>
      </c>
      <c r="F840" s="123">
        <v>6.92</v>
      </c>
      <c r="G840" s="123">
        <v>7.75</v>
      </c>
      <c r="H840" s="208">
        <v>23.25</v>
      </c>
      <c r="I840" s="215"/>
      <c r="J840" s="215">
        <v>0</v>
      </c>
      <c r="K840" s="215">
        <v>23.25</v>
      </c>
      <c r="L840" s="216">
        <v>20.759999999999998</v>
      </c>
    </row>
    <row r="841" spans="1:12" hidden="1">
      <c r="A841" s="209" t="s">
        <v>3893</v>
      </c>
      <c r="B841" s="69" t="s">
        <v>3658</v>
      </c>
      <c r="C841" s="69" t="s">
        <v>4401</v>
      </c>
      <c r="D841" s="96" t="s">
        <v>3659</v>
      </c>
      <c r="E841" s="69">
        <v>1</v>
      </c>
      <c r="F841" s="123">
        <v>13.12</v>
      </c>
      <c r="G841" s="123">
        <v>15.25</v>
      </c>
      <c r="H841" s="208">
        <v>15.25</v>
      </c>
      <c r="I841" s="215"/>
      <c r="J841" s="215">
        <v>0</v>
      </c>
      <c r="K841" s="215">
        <v>15.25</v>
      </c>
      <c r="L841" s="216">
        <v>13.12</v>
      </c>
    </row>
    <row r="842" spans="1:12" hidden="1">
      <c r="A842" s="209" t="s">
        <v>3893</v>
      </c>
      <c r="B842" s="69" t="s">
        <v>2305</v>
      </c>
      <c r="C842" s="69" t="s">
        <v>4401</v>
      </c>
      <c r="D842" s="96" t="s">
        <v>2306</v>
      </c>
      <c r="E842" s="69">
        <v>4</v>
      </c>
      <c r="F842" s="123">
        <v>5.15</v>
      </c>
      <c r="G842" s="123">
        <v>6</v>
      </c>
      <c r="H842" s="208">
        <v>24</v>
      </c>
      <c r="I842" s="215"/>
      <c r="J842" s="215">
        <v>0</v>
      </c>
      <c r="K842" s="215">
        <v>24</v>
      </c>
      <c r="L842" s="216">
        <v>20.6</v>
      </c>
    </row>
    <row r="843" spans="1:12" hidden="1">
      <c r="A843" s="209" t="s">
        <v>3893</v>
      </c>
      <c r="B843" s="69" t="s">
        <v>1913</v>
      </c>
      <c r="C843" s="69" t="s">
        <v>4402</v>
      </c>
      <c r="D843" s="96" t="s">
        <v>1914</v>
      </c>
      <c r="E843" s="69">
        <v>1</v>
      </c>
      <c r="F843" s="123">
        <v>54.38</v>
      </c>
      <c r="G843" s="123">
        <v>62.75</v>
      </c>
      <c r="H843" s="208">
        <v>62.75</v>
      </c>
      <c r="I843" s="215"/>
      <c r="J843" s="215">
        <v>0</v>
      </c>
      <c r="K843" s="215">
        <v>62.75</v>
      </c>
      <c r="L843" s="216">
        <v>54.38</v>
      </c>
    </row>
    <row r="844" spans="1:12" hidden="1">
      <c r="A844" s="209" t="s">
        <v>3893</v>
      </c>
      <c r="B844" s="69" t="s">
        <v>1782</v>
      </c>
      <c r="C844" s="69" t="s">
        <v>4402</v>
      </c>
      <c r="D844" s="96" t="s">
        <v>1783</v>
      </c>
      <c r="E844" s="69">
        <v>1</v>
      </c>
      <c r="F844" s="123">
        <v>7.75</v>
      </c>
      <c r="G844" s="123">
        <v>9</v>
      </c>
      <c r="H844" s="208">
        <v>9</v>
      </c>
      <c r="I844" s="215"/>
      <c r="J844" s="215">
        <v>0</v>
      </c>
      <c r="K844" s="215">
        <v>9</v>
      </c>
      <c r="L844" s="216">
        <v>7.75</v>
      </c>
    </row>
    <row r="845" spans="1:12" hidden="1">
      <c r="A845" s="209" t="s">
        <v>3893</v>
      </c>
      <c r="B845" s="69" t="s">
        <v>2589</v>
      </c>
      <c r="C845" s="69" t="s">
        <v>4403</v>
      </c>
      <c r="D845" s="96" t="s">
        <v>2590</v>
      </c>
      <c r="E845" s="69">
        <v>15</v>
      </c>
      <c r="F845" s="123">
        <v>5.41</v>
      </c>
      <c r="G845" s="123">
        <v>6.25</v>
      </c>
      <c r="H845" s="208">
        <v>93.75</v>
      </c>
      <c r="I845" s="215"/>
      <c r="J845" s="215">
        <v>0</v>
      </c>
      <c r="K845" s="215">
        <v>93.75</v>
      </c>
      <c r="L845" s="216">
        <v>81.150000000000006</v>
      </c>
    </row>
    <row r="846" spans="1:12" hidden="1">
      <c r="A846" s="209" t="s">
        <v>3893</v>
      </c>
      <c r="B846" s="69" t="s">
        <v>874</v>
      </c>
      <c r="C846" s="69" t="s">
        <v>4404</v>
      </c>
      <c r="D846" s="96" t="s">
        <v>875</v>
      </c>
      <c r="E846" s="69">
        <v>1</v>
      </c>
      <c r="F846" s="123">
        <v>8.1999999999999993</v>
      </c>
      <c r="G846" s="123">
        <v>9.5</v>
      </c>
      <c r="H846" s="208">
        <v>9.5</v>
      </c>
      <c r="I846" s="215"/>
      <c r="J846" s="215">
        <v>0</v>
      </c>
      <c r="K846" s="215">
        <v>9.5</v>
      </c>
      <c r="L846" s="216">
        <v>8.1999999999999993</v>
      </c>
    </row>
    <row r="847" spans="1:12" hidden="1">
      <c r="A847" s="209" t="s">
        <v>3893</v>
      </c>
      <c r="B847" s="69" t="s">
        <v>3342</v>
      </c>
      <c r="C847" s="69" t="s">
        <v>4405</v>
      </c>
      <c r="D847" s="96" t="s">
        <v>3343</v>
      </c>
      <c r="E847" s="69">
        <v>4</v>
      </c>
      <c r="F847" s="123">
        <v>0.76</v>
      </c>
      <c r="G847" s="123">
        <v>1</v>
      </c>
      <c r="H847" s="208">
        <v>4</v>
      </c>
      <c r="I847" s="215"/>
      <c r="J847" s="215">
        <v>0</v>
      </c>
      <c r="K847" s="215">
        <v>4</v>
      </c>
      <c r="L847" s="216">
        <v>3.04</v>
      </c>
    </row>
    <row r="848" spans="1:12" hidden="1">
      <c r="A848" s="209" t="s">
        <v>3893</v>
      </c>
      <c r="B848" s="69" t="s">
        <v>742</v>
      </c>
      <c r="C848" s="69" t="s">
        <v>4406</v>
      </c>
      <c r="D848" s="96" t="s">
        <v>743</v>
      </c>
      <c r="E848" s="69">
        <v>1</v>
      </c>
      <c r="F848" s="123">
        <v>22.19</v>
      </c>
      <c r="G848" s="123">
        <v>25.75</v>
      </c>
      <c r="H848" s="208">
        <v>25.75</v>
      </c>
      <c r="I848" s="215"/>
      <c r="J848" s="215">
        <v>0</v>
      </c>
      <c r="K848" s="215">
        <v>25.75</v>
      </c>
      <c r="L848" s="216">
        <v>22.19</v>
      </c>
    </row>
    <row r="849" spans="1:12" hidden="1">
      <c r="A849" s="209" t="s">
        <v>3893</v>
      </c>
      <c r="B849" s="69" t="s">
        <v>3735</v>
      </c>
      <c r="C849" s="69" t="s">
        <v>4406</v>
      </c>
      <c r="D849" s="96" t="s">
        <v>3736</v>
      </c>
      <c r="E849" s="69">
        <v>1</v>
      </c>
      <c r="F849" s="123">
        <v>22.19</v>
      </c>
      <c r="G849" s="123">
        <v>25.75</v>
      </c>
      <c r="H849" s="208">
        <v>25.75</v>
      </c>
      <c r="I849" s="215"/>
      <c r="J849" s="215">
        <v>0</v>
      </c>
      <c r="K849" s="215">
        <v>25.75</v>
      </c>
      <c r="L849" s="216">
        <v>22.19</v>
      </c>
    </row>
    <row r="850" spans="1:12" hidden="1">
      <c r="A850" s="209" t="s">
        <v>3893</v>
      </c>
      <c r="B850" s="69" t="s">
        <v>2219</v>
      </c>
      <c r="C850" s="69" t="s">
        <v>4407</v>
      </c>
      <c r="D850" s="96" t="s">
        <v>2220</v>
      </c>
      <c r="E850" s="69">
        <v>1</v>
      </c>
      <c r="F850" s="123">
        <v>30</v>
      </c>
      <c r="G850" s="123">
        <v>34.5</v>
      </c>
      <c r="H850" s="208">
        <v>34.5</v>
      </c>
      <c r="I850" s="215"/>
      <c r="J850" s="215">
        <v>0</v>
      </c>
      <c r="K850" s="215">
        <v>34.5</v>
      </c>
      <c r="L850" s="216">
        <v>30</v>
      </c>
    </row>
    <row r="851" spans="1:12" hidden="1">
      <c r="A851" s="209" t="s">
        <v>3893</v>
      </c>
      <c r="B851" s="69" t="s">
        <v>1790</v>
      </c>
      <c r="C851" s="69" t="s">
        <v>4407</v>
      </c>
      <c r="D851" s="96" t="s">
        <v>1791</v>
      </c>
      <c r="E851" s="69">
        <v>1</v>
      </c>
      <c r="F851" s="123">
        <v>9.17</v>
      </c>
      <c r="G851" s="123">
        <v>10.75</v>
      </c>
      <c r="H851" s="208">
        <v>10.75</v>
      </c>
      <c r="I851" s="215"/>
      <c r="J851" s="215">
        <v>0</v>
      </c>
      <c r="K851" s="215">
        <v>10.75</v>
      </c>
      <c r="L851" s="216">
        <v>9.17</v>
      </c>
    </row>
    <row r="852" spans="1:12" hidden="1">
      <c r="A852" s="209" t="s">
        <v>3893</v>
      </c>
      <c r="B852" s="69" t="s">
        <v>1018</v>
      </c>
      <c r="C852" s="69" t="s">
        <v>4408</v>
      </c>
      <c r="D852" s="96" t="s">
        <v>1019</v>
      </c>
      <c r="E852" s="69">
        <v>2</v>
      </c>
      <c r="F852" s="123">
        <v>109.57</v>
      </c>
      <c r="G852" s="123">
        <v>136.5</v>
      </c>
      <c r="H852" s="208">
        <v>273</v>
      </c>
      <c r="I852" s="215"/>
      <c r="J852" s="215">
        <v>0</v>
      </c>
      <c r="K852" s="215">
        <v>273</v>
      </c>
      <c r="L852" s="216">
        <v>219.14</v>
      </c>
    </row>
    <row r="853" spans="1:12" hidden="1">
      <c r="A853" s="209" t="s">
        <v>3893</v>
      </c>
      <c r="B853" s="69" t="s">
        <v>965</v>
      </c>
      <c r="C853" s="69" t="s">
        <v>4408</v>
      </c>
      <c r="D853" s="96" t="s">
        <v>966</v>
      </c>
      <c r="E853" s="69">
        <v>2</v>
      </c>
      <c r="F853" s="123">
        <v>200.03</v>
      </c>
      <c r="G853" s="123">
        <v>230</v>
      </c>
      <c r="H853" s="208">
        <v>460</v>
      </c>
      <c r="I853" s="215"/>
      <c r="J853" s="215">
        <v>0</v>
      </c>
      <c r="K853" s="215">
        <v>460</v>
      </c>
      <c r="L853" s="216">
        <v>400.06</v>
      </c>
    </row>
    <row r="854" spans="1:12">
      <c r="A854" s="209" t="s">
        <v>3893</v>
      </c>
      <c r="B854" s="69" t="s">
        <v>1594</v>
      </c>
      <c r="C854" s="69" t="s">
        <v>4408</v>
      </c>
      <c r="D854" s="96" t="s">
        <v>1595</v>
      </c>
      <c r="E854" s="69">
        <v>4</v>
      </c>
      <c r="F854" s="123">
        <v>27.84</v>
      </c>
      <c r="G854" s="123">
        <v>45</v>
      </c>
      <c r="H854" s="208">
        <v>180</v>
      </c>
      <c r="I854" s="215"/>
      <c r="J854" s="215">
        <v>0</v>
      </c>
      <c r="K854" s="215">
        <v>180</v>
      </c>
      <c r="L854" s="216">
        <v>111.36</v>
      </c>
    </row>
    <row r="855" spans="1:12" hidden="1">
      <c r="A855" s="209" t="s">
        <v>3893</v>
      </c>
      <c r="B855" s="69" t="s">
        <v>2205</v>
      </c>
      <c r="C855" s="69" t="s">
        <v>4409</v>
      </c>
      <c r="D855" s="96" t="s">
        <v>2206</v>
      </c>
      <c r="E855" s="69">
        <v>4</v>
      </c>
      <c r="F855" s="123">
        <v>302.13</v>
      </c>
      <c r="G855" s="123">
        <v>362.75</v>
      </c>
      <c r="H855" s="208">
        <v>1451</v>
      </c>
      <c r="I855" s="215"/>
      <c r="J855" s="215">
        <v>0</v>
      </c>
      <c r="K855" s="215">
        <v>1451</v>
      </c>
      <c r="L855" s="216">
        <v>1208.52</v>
      </c>
    </row>
    <row r="856" spans="1:12" hidden="1">
      <c r="A856" s="209" t="s">
        <v>3893</v>
      </c>
      <c r="B856" s="69" t="s">
        <v>205</v>
      </c>
      <c r="C856" s="69" t="s">
        <v>4410</v>
      </c>
      <c r="D856" s="96" t="s">
        <v>206</v>
      </c>
      <c r="E856" s="69">
        <v>1</v>
      </c>
      <c r="F856" s="123">
        <v>33.1</v>
      </c>
      <c r="G856" s="123">
        <v>38.25</v>
      </c>
      <c r="H856" s="208">
        <v>38.25</v>
      </c>
      <c r="I856" s="215"/>
      <c r="J856" s="215">
        <v>0</v>
      </c>
      <c r="K856" s="215">
        <v>38.25</v>
      </c>
      <c r="L856" s="216">
        <v>33.1</v>
      </c>
    </row>
    <row r="857" spans="1:12" hidden="1">
      <c r="A857" s="209" t="s">
        <v>3893</v>
      </c>
      <c r="B857" s="69" t="s">
        <v>3733</v>
      </c>
      <c r="C857" s="69" t="s">
        <v>4411</v>
      </c>
      <c r="D857" s="96" t="s">
        <v>3734</v>
      </c>
      <c r="E857" s="69">
        <v>1</v>
      </c>
      <c r="F857" s="123">
        <v>20.399999999999999</v>
      </c>
      <c r="G857" s="123">
        <v>23.46</v>
      </c>
      <c r="H857" s="208">
        <v>23.46</v>
      </c>
      <c r="I857" s="215"/>
      <c r="J857" s="215">
        <v>0</v>
      </c>
      <c r="K857" s="215">
        <v>23.46</v>
      </c>
      <c r="L857" s="216">
        <v>20.399999999999999</v>
      </c>
    </row>
    <row r="858" spans="1:12" hidden="1">
      <c r="A858" s="209" t="s">
        <v>3893</v>
      </c>
      <c r="B858" s="69" t="s">
        <v>3366</v>
      </c>
      <c r="C858" s="69" t="s">
        <v>4411</v>
      </c>
      <c r="D858" s="96" t="s">
        <v>3367</v>
      </c>
      <c r="E858" s="69">
        <v>3</v>
      </c>
      <c r="F858" s="123">
        <v>0.81</v>
      </c>
      <c r="G858" s="123">
        <v>1</v>
      </c>
      <c r="H858" s="208">
        <v>3</v>
      </c>
      <c r="I858" s="215"/>
      <c r="J858" s="215">
        <v>0</v>
      </c>
      <c r="K858" s="215">
        <v>3</v>
      </c>
      <c r="L858" s="216">
        <v>2.4300000000000002</v>
      </c>
    </row>
    <row r="859" spans="1:12" hidden="1">
      <c r="A859" s="209" t="s">
        <v>3893</v>
      </c>
      <c r="B859" s="69" t="s">
        <v>3342</v>
      </c>
      <c r="C859" s="69" t="s">
        <v>4412</v>
      </c>
      <c r="D859" s="96" t="s">
        <v>3343</v>
      </c>
      <c r="E859" s="69">
        <v>10</v>
      </c>
      <c r="F859" s="123">
        <v>0.76</v>
      </c>
      <c r="G859" s="123">
        <v>1</v>
      </c>
      <c r="H859" s="208">
        <v>10</v>
      </c>
      <c r="I859" s="215"/>
      <c r="J859" s="215">
        <v>0</v>
      </c>
      <c r="K859" s="215">
        <v>10</v>
      </c>
      <c r="L859" s="216">
        <v>7.6</v>
      </c>
    </row>
    <row r="860" spans="1:12" hidden="1">
      <c r="A860" s="209" t="s">
        <v>3893</v>
      </c>
      <c r="B860" s="69" t="s">
        <v>446</v>
      </c>
      <c r="C860" s="69" t="s">
        <v>4413</v>
      </c>
      <c r="D860" s="96" t="s">
        <v>447</v>
      </c>
      <c r="E860" s="69">
        <v>1</v>
      </c>
      <c r="F860" s="123">
        <v>65</v>
      </c>
      <c r="G860" s="123">
        <v>71.5</v>
      </c>
      <c r="H860" s="208">
        <v>71.5</v>
      </c>
      <c r="I860" s="215"/>
      <c r="J860" s="215">
        <v>0</v>
      </c>
      <c r="K860" s="215">
        <v>71.5</v>
      </c>
      <c r="L860" s="216">
        <v>65</v>
      </c>
    </row>
    <row r="861" spans="1:12" hidden="1">
      <c r="A861" s="209" t="s">
        <v>3893</v>
      </c>
      <c r="B861" s="69" t="s">
        <v>3233</v>
      </c>
      <c r="C861" s="69" t="s">
        <v>4413</v>
      </c>
      <c r="D861" s="96" t="s">
        <v>3234</v>
      </c>
      <c r="E861" s="69">
        <v>1</v>
      </c>
      <c r="F861" s="123">
        <v>30.79</v>
      </c>
      <c r="G861" s="123">
        <v>36.75</v>
      </c>
      <c r="H861" s="208">
        <v>36.75</v>
      </c>
      <c r="I861" s="215"/>
      <c r="J861" s="215">
        <v>0</v>
      </c>
      <c r="K861" s="215">
        <v>36.75</v>
      </c>
      <c r="L861" s="216">
        <v>30.79</v>
      </c>
    </row>
    <row r="862" spans="1:12" hidden="1">
      <c r="A862" s="209" t="s">
        <v>3893</v>
      </c>
      <c r="B862" s="69" t="s">
        <v>75</v>
      </c>
      <c r="C862" s="69" t="s">
        <v>4414</v>
      </c>
      <c r="D862" s="96" t="s">
        <v>76</v>
      </c>
      <c r="E862" s="69">
        <v>1</v>
      </c>
      <c r="F862" s="123">
        <v>7.75</v>
      </c>
      <c r="G862" s="123">
        <v>9</v>
      </c>
      <c r="H862" s="208">
        <v>9</v>
      </c>
      <c r="I862" s="215"/>
      <c r="J862" s="215">
        <v>0</v>
      </c>
      <c r="K862" s="215">
        <v>9</v>
      </c>
      <c r="L862" s="216">
        <v>7.75</v>
      </c>
    </row>
    <row r="863" spans="1:12" hidden="1">
      <c r="A863" s="209" t="s">
        <v>3893</v>
      </c>
      <c r="B863" s="69" t="s">
        <v>3875</v>
      </c>
      <c r="C863" s="69" t="s">
        <v>4415</v>
      </c>
      <c r="D863" s="96" t="s">
        <v>4205</v>
      </c>
      <c r="E863" s="69">
        <v>1</v>
      </c>
      <c r="F863" s="123">
        <v>5.85</v>
      </c>
      <c r="G863" s="123">
        <v>7</v>
      </c>
      <c r="H863" s="208">
        <v>7</v>
      </c>
      <c r="I863" s="215"/>
      <c r="J863" s="215">
        <v>0</v>
      </c>
      <c r="K863" s="215">
        <v>7</v>
      </c>
      <c r="L863" s="216">
        <v>5.85</v>
      </c>
    </row>
    <row r="864" spans="1:12" hidden="1">
      <c r="A864" s="209" t="s">
        <v>3893</v>
      </c>
      <c r="B864" s="69" t="s">
        <v>1162</v>
      </c>
      <c r="C864" s="69" t="s">
        <v>4415</v>
      </c>
      <c r="D864" s="96" t="s">
        <v>1163</v>
      </c>
      <c r="E864" s="69">
        <v>1</v>
      </c>
      <c r="F864" s="123">
        <v>21.88</v>
      </c>
      <c r="G864" s="123">
        <v>25.25</v>
      </c>
      <c r="H864" s="208">
        <v>25.25</v>
      </c>
      <c r="I864" s="215"/>
      <c r="J864" s="215">
        <v>0</v>
      </c>
      <c r="K864" s="215">
        <v>25.25</v>
      </c>
      <c r="L864" s="216">
        <v>21.88</v>
      </c>
    </row>
    <row r="865" spans="1:12" hidden="1">
      <c r="A865" s="209" t="s">
        <v>3893</v>
      </c>
      <c r="B865" s="69" t="s">
        <v>3871</v>
      </c>
      <c r="C865" s="69" t="s">
        <v>4415</v>
      </c>
      <c r="D865" s="96" t="s">
        <v>4149</v>
      </c>
      <c r="E865" s="69">
        <v>1</v>
      </c>
      <c r="F865" s="123">
        <v>30</v>
      </c>
      <c r="G865" s="123">
        <v>40</v>
      </c>
      <c r="H865" s="208">
        <v>40</v>
      </c>
      <c r="I865" s="215"/>
      <c r="J865" s="215">
        <v>2.25</v>
      </c>
      <c r="K865" s="215">
        <v>37.75</v>
      </c>
      <c r="L865" s="216">
        <v>30</v>
      </c>
    </row>
    <row r="866" spans="1:12" hidden="1">
      <c r="A866" s="209" t="s">
        <v>3893</v>
      </c>
      <c r="B866" s="69" t="s">
        <v>858</v>
      </c>
      <c r="C866" s="69" t="s">
        <v>4416</v>
      </c>
      <c r="D866" s="96" t="s">
        <v>859</v>
      </c>
      <c r="E866" s="69">
        <v>1</v>
      </c>
      <c r="F866" s="123">
        <v>7.85</v>
      </c>
      <c r="G866" s="123">
        <v>12</v>
      </c>
      <c r="H866" s="208">
        <v>12</v>
      </c>
      <c r="I866" s="215"/>
      <c r="J866" s="215">
        <v>0</v>
      </c>
      <c r="K866" s="215">
        <v>12</v>
      </c>
      <c r="L866" s="216">
        <v>7.85</v>
      </c>
    </row>
    <row r="867" spans="1:12" hidden="1">
      <c r="A867" s="209" t="s">
        <v>3893</v>
      </c>
      <c r="B867" s="69" t="s">
        <v>50</v>
      </c>
      <c r="C867" s="69" t="s">
        <v>4416</v>
      </c>
      <c r="D867" s="96" t="s">
        <v>51</v>
      </c>
      <c r="E867" s="69">
        <v>1</v>
      </c>
      <c r="F867" s="123">
        <v>19.100000000000001</v>
      </c>
      <c r="G867" s="123">
        <v>22</v>
      </c>
      <c r="H867" s="208">
        <v>22</v>
      </c>
      <c r="I867" s="215"/>
      <c r="J867" s="215">
        <v>0</v>
      </c>
      <c r="K867" s="215">
        <v>22</v>
      </c>
      <c r="L867" s="216">
        <v>19.100000000000001</v>
      </c>
    </row>
    <row r="868" spans="1:12" hidden="1">
      <c r="A868" s="209" t="s">
        <v>3893</v>
      </c>
      <c r="B868" s="69" t="s">
        <v>3894</v>
      </c>
      <c r="C868" s="69" t="s">
        <v>4416</v>
      </c>
      <c r="D868" s="96" t="s">
        <v>4400</v>
      </c>
      <c r="E868" s="69">
        <v>1</v>
      </c>
      <c r="F868" s="123">
        <v>5.61</v>
      </c>
      <c r="G868" s="123">
        <v>6.5</v>
      </c>
      <c r="H868" s="208">
        <v>6.5</v>
      </c>
      <c r="I868" s="215"/>
      <c r="J868" s="215">
        <v>0</v>
      </c>
      <c r="K868" s="215">
        <v>6.5</v>
      </c>
      <c r="L868" s="216">
        <v>5.61</v>
      </c>
    </row>
    <row r="869" spans="1:12" hidden="1">
      <c r="A869" s="209" t="s">
        <v>3893</v>
      </c>
      <c r="B869" s="69" t="s">
        <v>3889</v>
      </c>
      <c r="C869" s="69" t="s">
        <v>4416</v>
      </c>
      <c r="D869" s="96" t="s">
        <v>4372</v>
      </c>
      <c r="E869" s="69">
        <v>1</v>
      </c>
      <c r="F869" s="123">
        <v>5.61</v>
      </c>
      <c r="G869" s="123">
        <v>6.5</v>
      </c>
      <c r="H869" s="208">
        <v>6.5</v>
      </c>
      <c r="I869" s="215"/>
      <c r="J869" s="215">
        <v>0</v>
      </c>
      <c r="K869" s="215">
        <v>6.5</v>
      </c>
      <c r="L869" s="216">
        <v>5.61</v>
      </c>
    </row>
    <row r="870" spans="1:12" hidden="1">
      <c r="A870" s="209" t="s">
        <v>3893</v>
      </c>
      <c r="B870" s="69" t="s">
        <v>296</v>
      </c>
      <c r="C870" s="69" t="s">
        <v>4417</v>
      </c>
      <c r="D870" s="96" t="s">
        <v>297</v>
      </c>
      <c r="E870" s="69">
        <v>1</v>
      </c>
      <c r="F870" s="123">
        <v>7.06</v>
      </c>
      <c r="G870" s="123">
        <v>8.25</v>
      </c>
      <c r="H870" s="208">
        <v>8.25</v>
      </c>
      <c r="I870" s="215"/>
      <c r="J870" s="215">
        <v>0</v>
      </c>
      <c r="K870" s="215">
        <v>8.25</v>
      </c>
      <c r="L870" s="216">
        <v>7.06</v>
      </c>
    </row>
    <row r="871" spans="1:12" hidden="1">
      <c r="A871" s="209" t="s">
        <v>3895</v>
      </c>
      <c r="B871" s="69" t="s">
        <v>3889</v>
      </c>
      <c r="C871" s="69" t="s">
        <v>4418</v>
      </c>
      <c r="D871" s="96" t="s">
        <v>4372</v>
      </c>
      <c r="E871" s="69">
        <v>1</v>
      </c>
      <c r="F871" s="123">
        <v>5.61</v>
      </c>
      <c r="G871" s="123">
        <v>6.5</v>
      </c>
      <c r="H871" s="208">
        <v>6.5</v>
      </c>
      <c r="I871" s="215"/>
      <c r="J871" s="215">
        <v>0</v>
      </c>
      <c r="K871" s="215">
        <v>6.5</v>
      </c>
      <c r="L871" s="216">
        <v>5.61</v>
      </c>
    </row>
    <row r="872" spans="1:12" hidden="1">
      <c r="A872" s="209" t="s">
        <v>3895</v>
      </c>
      <c r="B872" s="69" t="s">
        <v>919</v>
      </c>
      <c r="C872" s="69" t="s">
        <v>4419</v>
      </c>
      <c r="D872" s="96" t="s">
        <v>920</v>
      </c>
      <c r="E872" s="69">
        <v>1</v>
      </c>
      <c r="F872" s="123">
        <v>12.66</v>
      </c>
      <c r="G872" s="123">
        <v>14.25</v>
      </c>
      <c r="H872" s="208">
        <v>14.25</v>
      </c>
      <c r="I872" s="215"/>
      <c r="J872" s="215">
        <v>0</v>
      </c>
      <c r="K872" s="215">
        <v>14.25</v>
      </c>
      <c r="L872" s="216">
        <v>12.66</v>
      </c>
    </row>
    <row r="873" spans="1:12" hidden="1">
      <c r="A873" s="209" t="s">
        <v>3895</v>
      </c>
      <c r="B873" s="69" t="s">
        <v>59</v>
      </c>
      <c r="C873" s="69" t="s">
        <v>4420</v>
      </c>
      <c r="D873" s="96" t="s">
        <v>60</v>
      </c>
      <c r="E873" s="69">
        <v>1</v>
      </c>
      <c r="F873" s="123">
        <v>18.88</v>
      </c>
      <c r="G873" s="123">
        <v>21.75</v>
      </c>
      <c r="H873" s="208">
        <v>21.75</v>
      </c>
      <c r="I873" s="215"/>
      <c r="J873" s="215">
        <v>0</v>
      </c>
      <c r="K873" s="215">
        <v>21.75</v>
      </c>
      <c r="L873" s="216">
        <v>18.88</v>
      </c>
    </row>
    <row r="874" spans="1:12" hidden="1">
      <c r="A874" s="209" t="s">
        <v>3895</v>
      </c>
      <c r="B874" s="69" t="s">
        <v>68</v>
      </c>
      <c r="C874" s="69" t="s">
        <v>4420</v>
      </c>
      <c r="D874" s="96" t="s">
        <v>69</v>
      </c>
      <c r="E874" s="69">
        <v>1</v>
      </c>
      <c r="F874" s="123">
        <v>18.53</v>
      </c>
      <c r="G874" s="123">
        <v>21.5</v>
      </c>
      <c r="H874" s="208">
        <v>21.5</v>
      </c>
      <c r="I874" s="215"/>
      <c r="J874" s="215">
        <v>0</v>
      </c>
      <c r="K874" s="215">
        <v>21.5</v>
      </c>
      <c r="L874" s="216">
        <v>18.53</v>
      </c>
    </row>
    <row r="875" spans="1:12" hidden="1">
      <c r="A875" s="209" t="s">
        <v>3895</v>
      </c>
      <c r="B875" s="69" t="s">
        <v>50</v>
      </c>
      <c r="C875" s="69" t="s">
        <v>4420</v>
      </c>
      <c r="D875" s="96" t="s">
        <v>51</v>
      </c>
      <c r="E875" s="69">
        <v>1</v>
      </c>
      <c r="F875" s="123">
        <v>19.100000000000001</v>
      </c>
      <c r="G875" s="123">
        <v>22</v>
      </c>
      <c r="H875" s="208">
        <v>22</v>
      </c>
      <c r="I875" s="215"/>
      <c r="J875" s="215">
        <v>0</v>
      </c>
      <c r="K875" s="215">
        <v>22</v>
      </c>
      <c r="L875" s="216">
        <v>19.100000000000001</v>
      </c>
    </row>
    <row r="876" spans="1:12" hidden="1">
      <c r="A876" s="209" t="s">
        <v>3895</v>
      </c>
      <c r="B876" s="69" t="s">
        <v>3890</v>
      </c>
      <c r="C876" s="69" t="s">
        <v>4420</v>
      </c>
      <c r="D876" s="96" t="s">
        <v>4377</v>
      </c>
      <c r="E876" s="69">
        <v>2</v>
      </c>
      <c r="F876" s="123">
        <v>6.82</v>
      </c>
      <c r="G876" s="123">
        <v>8</v>
      </c>
      <c r="H876" s="208">
        <v>16</v>
      </c>
      <c r="I876" s="215"/>
      <c r="J876" s="215">
        <v>0</v>
      </c>
      <c r="K876" s="215">
        <v>16</v>
      </c>
      <c r="L876" s="216">
        <v>13.64</v>
      </c>
    </row>
    <row r="877" spans="1:12" hidden="1">
      <c r="A877" s="209" t="s">
        <v>3895</v>
      </c>
      <c r="B877" s="69" t="s">
        <v>3082</v>
      </c>
      <c r="C877" s="69" t="s">
        <v>4421</v>
      </c>
      <c r="D877" s="96" t="s">
        <v>3083</v>
      </c>
      <c r="E877" s="69">
        <v>1</v>
      </c>
      <c r="F877" s="123">
        <v>20.399999999999999</v>
      </c>
      <c r="G877" s="123">
        <v>24</v>
      </c>
      <c r="H877" s="208">
        <v>24</v>
      </c>
      <c r="I877" s="215"/>
      <c r="J877" s="215">
        <v>0</v>
      </c>
      <c r="K877" s="215">
        <v>24</v>
      </c>
      <c r="L877" s="216">
        <v>20.399999999999999</v>
      </c>
    </row>
    <row r="878" spans="1:12" hidden="1">
      <c r="A878" s="209" t="s">
        <v>3895</v>
      </c>
      <c r="B878" s="69" t="s">
        <v>53</v>
      </c>
      <c r="C878" s="69" t="s">
        <v>4422</v>
      </c>
      <c r="D878" s="96" t="s">
        <v>54</v>
      </c>
      <c r="E878" s="69">
        <v>1</v>
      </c>
      <c r="F878" s="123">
        <v>16.03</v>
      </c>
      <c r="G878" s="123">
        <v>18.5</v>
      </c>
      <c r="H878" s="208">
        <v>18.5</v>
      </c>
      <c r="I878" s="215"/>
      <c r="J878" s="215">
        <v>0</v>
      </c>
      <c r="K878" s="215">
        <v>18.5</v>
      </c>
      <c r="L878" s="216">
        <v>16.03</v>
      </c>
    </row>
    <row r="879" spans="1:12" hidden="1">
      <c r="A879" s="209" t="s">
        <v>3895</v>
      </c>
      <c r="B879" s="69" t="s">
        <v>116</v>
      </c>
      <c r="C879" s="69" t="s">
        <v>4422</v>
      </c>
      <c r="D879" s="96" t="s">
        <v>117</v>
      </c>
      <c r="E879" s="69">
        <v>1</v>
      </c>
      <c r="F879" s="123">
        <v>7.75</v>
      </c>
      <c r="G879" s="123">
        <v>9</v>
      </c>
      <c r="H879" s="208">
        <v>9</v>
      </c>
      <c r="I879" s="215"/>
      <c r="J879" s="215">
        <v>0</v>
      </c>
      <c r="K879" s="215">
        <v>9</v>
      </c>
      <c r="L879" s="216">
        <v>7.75</v>
      </c>
    </row>
    <row r="880" spans="1:12" hidden="1">
      <c r="A880" s="209" t="s">
        <v>3895</v>
      </c>
      <c r="B880" s="69" t="s">
        <v>965</v>
      </c>
      <c r="C880" s="69" t="s">
        <v>4423</v>
      </c>
      <c r="D880" s="96" t="s">
        <v>966</v>
      </c>
      <c r="E880" s="69">
        <v>1</v>
      </c>
      <c r="F880" s="123">
        <v>200.03</v>
      </c>
      <c r="G880" s="123">
        <v>230</v>
      </c>
      <c r="H880" s="208">
        <v>230</v>
      </c>
      <c r="I880" s="215"/>
      <c r="J880" s="215">
        <v>0</v>
      </c>
      <c r="K880" s="215">
        <v>230</v>
      </c>
      <c r="L880" s="216">
        <v>200.03</v>
      </c>
    </row>
    <row r="881" spans="1:12" hidden="1">
      <c r="A881" s="209" t="s">
        <v>3895</v>
      </c>
      <c r="B881" s="69" t="s">
        <v>1596</v>
      </c>
      <c r="C881" s="69" t="s">
        <v>4423</v>
      </c>
      <c r="D881" s="96" t="s">
        <v>1597</v>
      </c>
      <c r="E881" s="69">
        <v>4</v>
      </c>
      <c r="F881" s="123">
        <v>13.92</v>
      </c>
      <c r="G881" s="123">
        <v>22</v>
      </c>
      <c r="H881" s="208">
        <v>88</v>
      </c>
      <c r="I881" s="215"/>
      <c r="J881" s="215">
        <v>0</v>
      </c>
      <c r="K881" s="215">
        <v>88</v>
      </c>
      <c r="L881" s="216">
        <v>55.68</v>
      </c>
    </row>
    <row r="882" spans="1:12" hidden="1">
      <c r="A882" s="209" t="s">
        <v>3895</v>
      </c>
      <c r="B882" s="69" t="s">
        <v>1024</v>
      </c>
      <c r="C882" s="69" t="s">
        <v>4423</v>
      </c>
      <c r="D882" s="96" t="s">
        <v>1025</v>
      </c>
      <c r="E882" s="69">
        <v>12</v>
      </c>
      <c r="F882" s="123">
        <v>8.58</v>
      </c>
      <c r="G882" s="123">
        <v>10</v>
      </c>
      <c r="H882" s="208">
        <v>120</v>
      </c>
      <c r="I882" s="215"/>
      <c r="J882" s="215">
        <v>0</v>
      </c>
      <c r="K882" s="215">
        <v>120</v>
      </c>
      <c r="L882" s="216">
        <v>102.96000000000001</v>
      </c>
    </row>
    <row r="883" spans="1:12" hidden="1">
      <c r="A883" s="209" t="s">
        <v>3895</v>
      </c>
      <c r="B883" s="69" t="s">
        <v>3672</v>
      </c>
      <c r="C883" s="69" t="s">
        <v>4424</v>
      </c>
      <c r="D883" s="96" t="s">
        <v>3673</v>
      </c>
      <c r="E883" s="69">
        <v>1</v>
      </c>
      <c r="F883" s="123">
        <v>28.85</v>
      </c>
      <c r="G883" s="123">
        <v>33.25</v>
      </c>
      <c r="H883" s="208">
        <v>33.25</v>
      </c>
      <c r="I883" s="215"/>
      <c r="J883" s="215">
        <v>0</v>
      </c>
      <c r="K883" s="215">
        <v>33.25</v>
      </c>
      <c r="L883" s="216">
        <v>28.85</v>
      </c>
    </row>
    <row r="884" spans="1:12" hidden="1">
      <c r="A884" s="209" t="s">
        <v>3895</v>
      </c>
      <c r="B884" s="69" t="s">
        <v>388</v>
      </c>
      <c r="C884" s="69" t="s">
        <v>4424</v>
      </c>
      <c r="D884" s="96" t="s">
        <v>389</v>
      </c>
      <c r="E884" s="69">
        <v>1</v>
      </c>
      <c r="F884" s="123">
        <v>68.47</v>
      </c>
      <c r="G884" s="123">
        <v>79</v>
      </c>
      <c r="H884" s="208">
        <v>79</v>
      </c>
      <c r="I884" s="215"/>
      <c r="J884" s="215">
        <v>0</v>
      </c>
      <c r="K884" s="215">
        <v>79</v>
      </c>
      <c r="L884" s="216">
        <v>68.47</v>
      </c>
    </row>
    <row r="885" spans="1:12" hidden="1">
      <c r="A885" s="209" t="s">
        <v>3895</v>
      </c>
      <c r="B885" s="69" t="s">
        <v>827</v>
      </c>
      <c r="C885" s="69" t="s">
        <v>4424</v>
      </c>
      <c r="D885" s="96" t="s">
        <v>828</v>
      </c>
      <c r="E885" s="69">
        <v>2</v>
      </c>
      <c r="F885" s="123">
        <v>14.31</v>
      </c>
      <c r="G885" s="123">
        <v>16.5</v>
      </c>
      <c r="H885" s="208">
        <v>33</v>
      </c>
      <c r="I885" s="215"/>
      <c r="J885" s="215">
        <v>0</v>
      </c>
      <c r="K885" s="215">
        <v>33</v>
      </c>
      <c r="L885" s="216">
        <v>28.62</v>
      </c>
    </row>
    <row r="886" spans="1:12" hidden="1">
      <c r="A886" s="209" t="s">
        <v>3895</v>
      </c>
      <c r="B886" s="69" t="s">
        <v>452</v>
      </c>
      <c r="C886" s="69" t="s">
        <v>4425</v>
      </c>
      <c r="D886" s="96" t="s">
        <v>453</v>
      </c>
      <c r="E886" s="69">
        <v>1</v>
      </c>
      <c r="F886" s="123">
        <v>58.45</v>
      </c>
      <c r="G886" s="123">
        <v>65</v>
      </c>
      <c r="H886" s="208">
        <v>65</v>
      </c>
      <c r="I886" s="215"/>
      <c r="J886" s="215">
        <v>0</v>
      </c>
      <c r="K886" s="215">
        <v>65</v>
      </c>
      <c r="L886" s="216">
        <v>58.45</v>
      </c>
    </row>
    <row r="887" spans="1:12" hidden="1">
      <c r="A887" s="209" t="s">
        <v>3895</v>
      </c>
      <c r="B887" s="69" t="s">
        <v>3854</v>
      </c>
      <c r="C887" s="69" t="s">
        <v>4426</v>
      </c>
      <c r="D887" s="96" t="s">
        <v>4053</v>
      </c>
      <c r="E887" s="69">
        <v>4</v>
      </c>
      <c r="F887" s="123">
        <v>5.8</v>
      </c>
      <c r="G887" s="123">
        <v>7</v>
      </c>
      <c r="H887" s="208">
        <v>28</v>
      </c>
      <c r="I887" s="215"/>
      <c r="J887" s="215">
        <v>0</v>
      </c>
      <c r="K887" s="215">
        <v>28</v>
      </c>
      <c r="L887" s="216">
        <v>23.2</v>
      </c>
    </row>
    <row r="888" spans="1:12" hidden="1">
      <c r="A888" s="209" t="s">
        <v>3895</v>
      </c>
      <c r="B888" s="69" t="s">
        <v>1260</v>
      </c>
      <c r="C888" s="69" t="s">
        <v>4427</v>
      </c>
      <c r="D888" s="96" t="s">
        <v>1261</v>
      </c>
      <c r="E888" s="69">
        <v>1</v>
      </c>
      <c r="F888" s="123">
        <v>38.39</v>
      </c>
      <c r="G888" s="123">
        <v>44.25</v>
      </c>
      <c r="H888" s="208">
        <v>44.25</v>
      </c>
      <c r="I888" s="215"/>
      <c r="J888" s="215">
        <v>0</v>
      </c>
      <c r="K888" s="215">
        <v>44.25</v>
      </c>
      <c r="L888" s="216">
        <v>38.39</v>
      </c>
    </row>
    <row r="889" spans="1:12" hidden="1">
      <c r="A889" s="209" t="s">
        <v>3895</v>
      </c>
      <c r="B889" s="69" t="s">
        <v>285</v>
      </c>
      <c r="C889" s="69" t="s">
        <v>4427</v>
      </c>
      <c r="D889" s="96" t="s">
        <v>286</v>
      </c>
      <c r="E889" s="69">
        <v>1</v>
      </c>
      <c r="F889" s="123">
        <v>15.65</v>
      </c>
      <c r="G889" s="123">
        <v>18</v>
      </c>
      <c r="H889" s="208">
        <v>18</v>
      </c>
      <c r="I889" s="215"/>
      <c r="J889" s="215">
        <v>0</v>
      </c>
      <c r="K889" s="215">
        <v>18</v>
      </c>
      <c r="L889" s="216">
        <v>15.65</v>
      </c>
    </row>
    <row r="890" spans="1:12" hidden="1">
      <c r="A890" s="209" t="s">
        <v>3895</v>
      </c>
      <c r="B890" s="69" t="s">
        <v>55</v>
      </c>
      <c r="C890" s="69" t="s">
        <v>4428</v>
      </c>
      <c r="D890" s="96" t="s">
        <v>56</v>
      </c>
      <c r="E890" s="69">
        <v>1</v>
      </c>
      <c r="F890" s="123">
        <v>16.84</v>
      </c>
      <c r="G890" s="123">
        <v>19.5</v>
      </c>
      <c r="H890" s="208">
        <v>19.5</v>
      </c>
      <c r="I890" s="215"/>
      <c r="J890" s="215">
        <v>0</v>
      </c>
      <c r="K890" s="215">
        <v>19.5</v>
      </c>
      <c r="L890" s="216">
        <v>16.84</v>
      </c>
    </row>
    <row r="891" spans="1:12" hidden="1">
      <c r="A891" s="209" t="s">
        <v>3895</v>
      </c>
      <c r="B891" s="69" t="s">
        <v>919</v>
      </c>
      <c r="C891" s="69" t="s">
        <v>4429</v>
      </c>
      <c r="D891" s="96" t="s">
        <v>920</v>
      </c>
      <c r="E891" s="69">
        <v>1</v>
      </c>
      <c r="F891" s="123">
        <v>12.66</v>
      </c>
      <c r="G891" s="123">
        <v>14.25</v>
      </c>
      <c r="H891" s="208">
        <v>14.25</v>
      </c>
      <c r="I891" s="215"/>
      <c r="J891" s="215">
        <v>0</v>
      </c>
      <c r="K891" s="215">
        <v>14.25</v>
      </c>
      <c r="L891" s="216">
        <v>12.66</v>
      </c>
    </row>
    <row r="892" spans="1:12" hidden="1">
      <c r="A892" s="209" t="s">
        <v>3895</v>
      </c>
      <c r="B892" s="69" t="s">
        <v>718</v>
      </c>
      <c r="C892" s="69" t="s">
        <v>4430</v>
      </c>
      <c r="D892" s="96" t="s">
        <v>719</v>
      </c>
      <c r="E892" s="69">
        <v>1</v>
      </c>
      <c r="F892" s="123">
        <v>38</v>
      </c>
      <c r="G892" s="123">
        <v>43.75</v>
      </c>
      <c r="H892" s="208">
        <v>43.75</v>
      </c>
      <c r="I892" s="215"/>
      <c r="J892" s="215">
        <v>0</v>
      </c>
      <c r="K892" s="215">
        <v>43.75</v>
      </c>
      <c r="L892" s="216">
        <v>38</v>
      </c>
    </row>
    <row r="893" spans="1:12" hidden="1">
      <c r="A893" s="209" t="s">
        <v>3895</v>
      </c>
      <c r="B893" s="69" t="s">
        <v>497</v>
      </c>
      <c r="C893" s="69" t="s">
        <v>4431</v>
      </c>
      <c r="D893" s="96" t="s">
        <v>498</v>
      </c>
      <c r="E893" s="69">
        <v>1</v>
      </c>
      <c r="F893" s="123">
        <v>57.4</v>
      </c>
      <c r="G893" s="123">
        <v>66</v>
      </c>
      <c r="H893" s="208">
        <v>66</v>
      </c>
      <c r="I893" s="215"/>
      <c r="J893" s="215">
        <v>0</v>
      </c>
      <c r="K893" s="215">
        <v>66</v>
      </c>
      <c r="L893" s="216">
        <v>57.4</v>
      </c>
    </row>
    <row r="894" spans="1:12" hidden="1">
      <c r="A894" s="209" t="s">
        <v>3895</v>
      </c>
      <c r="B894" s="69" t="s">
        <v>3636</v>
      </c>
      <c r="C894" s="69" t="s">
        <v>4432</v>
      </c>
      <c r="D894" s="96" t="s">
        <v>3637</v>
      </c>
      <c r="E894" s="69">
        <v>5</v>
      </c>
      <c r="F894" s="123">
        <v>0.76</v>
      </c>
      <c r="G894" s="123">
        <v>1</v>
      </c>
      <c r="H894" s="208">
        <v>5</v>
      </c>
      <c r="I894" s="215"/>
      <c r="J894" s="215">
        <v>0</v>
      </c>
      <c r="K894" s="215">
        <v>5</v>
      </c>
      <c r="L894" s="216">
        <v>3.8</v>
      </c>
    </row>
    <row r="895" spans="1:12" hidden="1">
      <c r="A895" s="209" t="s">
        <v>3895</v>
      </c>
      <c r="B895" s="69" t="s">
        <v>1790</v>
      </c>
      <c r="C895" s="69" t="s">
        <v>4433</v>
      </c>
      <c r="D895" s="96" t="s">
        <v>1791</v>
      </c>
      <c r="E895" s="69">
        <v>1</v>
      </c>
      <c r="F895" s="123">
        <v>9.17</v>
      </c>
      <c r="G895" s="123">
        <v>10.75</v>
      </c>
      <c r="H895" s="208">
        <v>10.75</v>
      </c>
      <c r="I895" s="215"/>
      <c r="J895" s="215">
        <v>0</v>
      </c>
      <c r="K895" s="215">
        <v>10.75</v>
      </c>
      <c r="L895" s="216">
        <v>9.17</v>
      </c>
    </row>
    <row r="896" spans="1:12" hidden="1">
      <c r="A896" s="209" t="s">
        <v>3895</v>
      </c>
      <c r="B896" s="69" t="s">
        <v>2961</v>
      </c>
      <c r="C896" s="69" t="s">
        <v>4434</v>
      </c>
      <c r="D896" s="96" t="s">
        <v>2962</v>
      </c>
      <c r="E896" s="69">
        <v>3</v>
      </c>
      <c r="F896" s="123">
        <v>90</v>
      </c>
      <c r="G896" s="123">
        <v>120</v>
      </c>
      <c r="H896" s="208">
        <v>360</v>
      </c>
      <c r="I896" s="215"/>
      <c r="J896" s="215">
        <v>0</v>
      </c>
      <c r="K896" s="215">
        <v>360</v>
      </c>
      <c r="L896" s="216">
        <v>270</v>
      </c>
    </row>
    <row r="897" spans="1:12" hidden="1">
      <c r="A897" s="209" t="s">
        <v>3895</v>
      </c>
      <c r="B897" s="69" t="s">
        <v>3761</v>
      </c>
      <c r="C897" s="69" t="s">
        <v>4435</v>
      </c>
      <c r="D897" s="96" t="s">
        <v>3762</v>
      </c>
      <c r="E897" s="69">
        <v>1</v>
      </c>
      <c r="F897" s="123">
        <v>79.95</v>
      </c>
      <c r="G897" s="123">
        <v>92</v>
      </c>
      <c r="H897" s="208">
        <v>92</v>
      </c>
      <c r="I897" s="215"/>
      <c r="J897" s="215">
        <v>0</v>
      </c>
      <c r="K897" s="215">
        <v>92</v>
      </c>
      <c r="L897" s="216">
        <v>79.95</v>
      </c>
    </row>
    <row r="898" spans="1:12" hidden="1">
      <c r="A898" s="209" t="s">
        <v>3895</v>
      </c>
      <c r="B898" s="69" t="s">
        <v>3890</v>
      </c>
      <c r="C898" s="69" t="s">
        <v>4436</v>
      </c>
      <c r="D898" s="96" t="s">
        <v>4377</v>
      </c>
      <c r="E898" s="69">
        <v>1</v>
      </c>
      <c r="F898" s="123">
        <v>6.82</v>
      </c>
      <c r="G898" s="123">
        <v>8</v>
      </c>
      <c r="H898" s="208">
        <v>8</v>
      </c>
      <c r="I898" s="215"/>
      <c r="J898" s="215">
        <v>0</v>
      </c>
      <c r="K898" s="215">
        <v>8</v>
      </c>
      <c r="L898" s="216">
        <v>6.82</v>
      </c>
    </row>
    <row r="899" spans="1:12" hidden="1">
      <c r="A899" s="209" t="s">
        <v>3895</v>
      </c>
      <c r="B899" s="69" t="s">
        <v>3342</v>
      </c>
      <c r="C899" s="69" t="s">
        <v>4436</v>
      </c>
      <c r="D899" s="96" t="s">
        <v>3343</v>
      </c>
      <c r="E899" s="69">
        <v>1</v>
      </c>
      <c r="F899" s="123">
        <v>0.76</v>
      </c>
      <c r="G899" s="123">
        <v>1</v>
      </c>
      <c r="H899" s="208">
        <v>1</v>
      </c>
      <c r="I899" s="215"/>
      <c r="J899" s="215">
        <v>0</v>
      </c>
      <c r="K899" s="215">
        <v>1</v>
      </c>
      <c r="L899" s="216">
        <v>0.76</v>
      </c>
    </row>
    <row r="900" spans="1:12" hidden="1">
      <c r="A900" s="209" t="s">
        <v>3895</v>
      </c>
      <c r="B900" s="69" t="s">
        <v>3625</v>
      </c>
      <c r="C900" s="69" t="s">
        <v>4437</v>
      </c>
      <c r="D900" s="96" t="s">
        <v>3626</v>
      </c>
      <c r="E900" s="69">
        <v>1</v>
      </c>
      <c r="F900" s="123">
        <v>759.98</v>
      </c>
      <c r="G900" s="123">
        <v>874</v>
      </c>
      <c r="H900" s="208">
        <v>874</v>
      </c>
      <c r="I900" s="215"/>
      <c r="J900" s="215">
        <v>0</v>
      </c>
      <c r="K900" s="215">
        <v>874</v>
      </c>
      <c r="L900" s="216">
        <v>759.98</v>
      </c>
    </row>
    <row r="901" spans="1:12">
      <c r="A901" s="209" t="s">
        <v>3895</v>
      </c>
      <c r="B901" s="69" t="s">
        <v>1594</v>
      </c>
      <c r="C901" s="69" t="s">
        <v>4437</v>
      </c>
      <c r="D901" s="96" t="s">
        <v>1595</v>
      </c>
      <c r="E901" s="69">
        <v>4</v>
      </c>
      <c r="F901" s="123">
        <v>27.84</v>
      </c>
      <c r="G901" s="123">
        <v>45</v>
      </c>
      <c r="H901" s="208">
        <v>180</v>
      </c>
      <c r="I901" s="215"/>
      <c r="J901" s="215">
        <v>0</v>
      </c>
      <c r="K901" s="215">
        <v>180</v>
      </c>
      <c r="L901" s="216">
        <v>111.36</v>
      </c>
    </row>
    <row r="902" spans="1:12" hidden="1">
      <c r="A902" s="209" t="s">
        <v>3895</v>
      </c>
      <c r="B902" s="69" t="s">
        <v>1475</v>
      </c>
      <c r="C902" s="69" t="s">
        <v>4437</v>
      </c>
      <c r="D902" s="96" t="s">
        <v>1476</v>
      </c>
      <c r="E902" s="69">
        <v>1</v>
      </c>
      <c r="F902" s="123">
        <v>110.5</v>
      </c>
      <c r="G902" s="123">
        <v>127.75</v>
      </c>
      <c r="H902" s="208">
        <v>127.75</v>
      </c>
      <c r="I902" s="215"/>
      <c r="J902" s="215">
        <v>0</v>
      </c>
      <c r="K902" s="215">
        <v>127.75</v>
      </c>
      <c r="L902" s="216">
        <v>110.5</v>
      </c>
    </row>
    <row r="903" spans="1:12" hidden="1">
      <c r="A903" s="209" t="s">
        <v>3895</v>
      </c>
      <c r="B903" s="69" t="s">
        <v>3896</v>
      </c>
      <c r="C903" s="69" t="s">
        <v>4437</v>
      </c>
      <c r="D903" s="96" t="s">
        <v>4438</v>
      </c>
      <c r="E903" s="69">
        <v>50</v>
      </c>
      <c r="F903" s="123">
        <v>2.76</v>
      </c>
      <c r="G903" s="123">
        <v>3.5</v>
      </c>
      <c r="H903" s="208">
        <v>175</v>
      </c>
      <c r="I903" s="215"/>
      <c r="J903" s="215">
        <v>0</v>
      </c>
      <c r="K903" s="215">
        <v>175</v>
      </c>
      <c r="L903" s="216">
        <v>138</v>
      </c>
    </row>
    <row r="904" spans="1:12" hidden="1">
      <c r="A904" s="209" t="s">
        <v>3895</v>
      </c>
      <c r="B904" s="69" t="s">
        <v>1011</v>
      </c>
      <c r="C904" s="69" t="s">
        <v>4439</v>
      </c>
      <c r="D904" s="96" t="s">
        <v>1012</v>
      </c>
      <c r="E904" s="69">
        <v>1</v>
      </c>
      <c r="F904" s="123">
        <v>202</v>
      </c>
      <c r="G904" s="123">
        <v>233.5</v>
      </c>
      <c r="H904" s="208">
        <v>233.5</v>
      </c>
      <c r="I904" s="215"/>
      <c r="J904" s="215">
        <v>0</v>
      </c>
      <c r="K904" s="215">
        <v>233.5</v>
      </c>
      <c r="L904" s="216">
        <v>202</v>
      </c>
    </row>
    <row r="905" spans="1:12" hidden="1">
      <c r="A905" s="209" t="s">
        <v>3895</v>
      </c>
      <c r="B905" s="69" t="s">
        <v>108</v>
      </c>
      <c r="C905" s="69" t="s">
        <v>4440</v>
      </c>
      <c r="D905" s="96" t="s">
        <v>109</v>
      </c>
      <c r="E905" s="69">
        <v>1</v>
      </c>
      <c r="F905" s="123">
        <v>6.83</v>
      </c>
      <c r="G905" s="123">
        <v>9.75</v>
      </c>
      <c r="H905" s="208">
        <v>9.75</v>
      </c>
      <c r="I905" s="215"/>
      <c r="J905" s="215">
        <v>0</v>
      </c>
      <c r="K905" s="215">
        <v>9.75</v>
      </c>
      <c r="L905" s="216">
        <v>6.83</v>
      </c>
    </row>
    <row r="906" spans="1:12" hidden="1">
      <c r="A906" s="209" t="s">
        <v>3895</v>
      </c>
      <c r="B906" s="69" t="s">
        <v>108</v>
      </c>
      <c r="C906" s="69" t="s">
        <v>4441</v>
      </c>
      <c r="D906" s="96" t="s">
        <v>109</v>
      </c>
      <c r="E906" s="69">
        <v>1</v>
      </c>
      <c r="F906" s="123">
        <v>6.83</v>
      </c>
      <c r="G906" s="123">
        <v>9.75</v>
      </c>
      <c r="H906" s="208">
        <v>9.75</v>
      </c>
      <c r="I906" s="215"/>
      <c r="J906" s="215">
        <v>0</v>
      </c>
      <c r="K906" s="215">
        <v>9.75</v>
      </c>
      <c r="L906" s="216">
        <v>6.83</v>
      </c>
    </row>
    <row r="907" spans="1:12" hidden="1">
      <c r="A907" s="209" t="s">
        <v>3895</v>
      </c>
      <c r="B907" s="69" t="s">
        <v>50</v>
      </c>
      <c r="C907" s="69" t="s">
        <v>4442</v>
      </c>
      <c r="D907" s="96" t="s">
        <v>51</v>
      </c>
      <c r="E907" s="69">
        <v>1</v>
      </c>
      <c r="F907" s="123">
        <v>19.100000000000001</v>
      </c>
      <c r="G907" s="123">
        <v>22</v>
      </c>
      <c r="H907" s="208">
        <v>22</v>
      </c>
      <c r="I907" s="215"/>
      <c r="J907" s="215">
        <v>0</v>
      </c>
      <c r="K907" s="215">
        <v>22</v>
      </c>
      <c r="L907" s="216">
        <v>19.100000000000001</v>
      </c>
    </row>
    <row r="908" spans="1:12" hidden="1">
      <c r="A908" s="209" t="s">
        <v>3897</v>
      </c>
      <c r="B908" s="69" t="s">
        <v>3617</v>
      </c>
      <c r="C908" s="69" t="s">
        <v>4443</v>
      </c>
      <c r="D908" s="96" t="s">
        <v>3618</v>
      </c>
      <c r="E908" s="69">
        <v>1</v>
      </c>
      <c r="F908" s="123">
        <v>1160.3499999999999</v>
      </c>
      <c r="G908" s="123">
        <v>1334.5</v>
      </c>
      <c r="H908" s="208">
        <v>1334.5</v>
      </c>
      <c r="I908" s="215"/>
      <c r="J908" s="215">
        <v>0</v>
      </c>
      <c r="K908" s="215">
        <v>1334.5</v>
      </c>
      <c r="L908" s="216">
        <v>1160.3499999999999</v>
      </c>
    </row>
    <row r="909" spans="1:12" hidden="1">
      <c r="A909" s="209" t="s">
        <v>3897</v>
      </c>
      <c r="B909" s="69" t="s">
        <v>1511</v>
      </c>
      <c r="C909" s="69" t="s">
        <v>4443</v>
      </c>
      <c r="D909" s="96" t="s">
        <v>1512</v>
      </c>
      <c r="E909" s="69">
        <v>2</v>
      </c>
      <c r="F909" s="123">
        <v>41.25</v>
      </c>
      <c r="G909" s="123">
        <v>48.75</v>
      </c>
      <c r="H909" s="208">
        <v>97.5</v>
      </c>
      <c r="I909" s="215"/>
      <c r="J909" s="215">
        <v>0</v>
      </c>
      <c r="K909" s="215">
        <v>97.5</v>
      </c>
      <c r="L909" s="216">
        <v>82.5</v>
      </c>
    </row>
    <row r="910" spans="1:12" hidden="1">
      <c r="A910" s="209" t="s">
        <v>3897</v>
      </c>
      <c r="B910" s="69" t="s">
        <v>1656</v>
      </c>
      <c r="C910" s="69" t="s">
        <v>4443</v>
      </c>
      <c r="D910" s="96" t="s">
        <v>1657</v>
      </c>
      <c r="E910" s="69">
        <v>2</v>
      </c>
      <c r="F910" s="123">
        <v>53.2</v>
      </c>
      <c r="G910" s="123">
        <v>61.25</v>
      </c>
      <c r="H910" s="208">
        <v>122.5</v>
      </c>
      <c r="I910" s="215"/>
      <c r="J910" s="215">
        <v>0</v>
      </c>
      <c r="K910" s="215">
        <v>122.5</v>
      </c>
      <c r="L910" s="216">
        <v>106.4</v>
      </c>
    </row>
    <row r="911" spans="1:12" hidden="1">
      <c r="A911" s="209" t="s">
        <v>3897</v>
      </c>
      <c r="B911" s="69" t="s">
        <v>3890</v>
      </c>
      <c r="C911" s="69" t="s">
        <v>4444</v>
      </c>
      <c r="D911" s="96" t="s">
        <v>4377</v>
      </c>
      <c r="E911" s="69">
        <v>1</v>
      </c>
      <c r="F911" s="123">
        <v>6.82</v>
      </c>
      <c r="G911" s="123">
        <v>8</v>
      </c>
      <c r="H911" s="208">
        <v>8</v>
      </c>
      <c r="I911" s="215"/>
      <c r="J911" s="215">
        <v>0</v>
      </c>
      <c r="K911" s="215">
        <v>8</v>
      </c>
      <c r="L911" s="216">
        <v>6.82</v>
      </c>
    </row>
    <row r="912" spans="1:12" hidden="1">
      <c r="A912" s="209" t="s">
        <v>3897</v>
      </c>
      <c r="B912" s="69" t="s">
        <v>858</v>
      </c>
      <c r="C912" s="69" t="s">
        <v>4444</v>
      </c>
      <c r="D912" s="96" t="s">
        <v>859</v>
      </c>
      <c r="E912" s="69">
        <v>1</v>
      </c>
      <c r="F912" s="123">
        <v>7.85</v>
      </c>
      <c r="G912" s="123">
        <v>12</v>
      </c>
      <c r="H912" s="208">
        <v>12</v>
      </c>
      <c r="I912" s="215"/>
      <c r="J912" s="215">
        <v>0</v>
      </c>
      <c r="K912" s="215">
        <v>12</v>
      </c>
      <c r="L912" s="216">
        <v>7.85</v>
      </c>
    </row>
    <row r="913" spans="1:12" hidden="1">
      <c r="A913" s="209" t="s">
        <v>3897</v>
      </c>
      <c r="B913" s="69" t="s">
        <v>180</v>
      </c>
      <c r="C913" s="69" t="s">
        <v>4445</v>
      </c>
      <c r="D913" s="96" t="s">
        <v>181</v>
      </c>
      <c r="E913" s="69">
        <v>1</v>
      </c>
      <c r="F913" s="123">
        <v>16.579999999999998</v>
      </c>
      <c r="G913" s="123">
        <v>19</v>
      </c>
      <c r="H913" s="208">
        <v>19</v>
      </c>
      <c r="I913" s="215"/>
      <c r="J913" s="215">
        <v>0</v>
      </c>
      <c r="K913" s="215">
        <v>19</v>
      </c>
      <c r="L913" s="216">
        <v>16.579999999999998</v>
      </c>
    </row>
    <row r="914" spans="1:12" hidden="1">
      <c r="A914" s="209" t="s">
        <v>3897</v>
      </c>
      <c r="B914" s="69" t="s">
        <v>285</v>
      </c>
      <c r="C914" s="69" t="s">
        <v>4445</v>
      </c>
      <c r="D914" s="96" t="s">
        <v>286</v>
      </c>
      <c r="E914" s="69">
        <v>1</v>
      </c>
      <c r="F914" s="123">
        <v>15.65</v>
      </c>
      <c r="G914" s="123">
        <v>18</v>
      </c>
      <c r="H914" s="208">
        <v>18</v>
      </c>
      <c r="I914" s="215"/>
      <c r="J914" s="215">
        <v>0</v>
      </c>
      <c r="K914" s="215">
        <v>18</v>
      </c>
      <c r="L914" s="216">
        <v>15.65</v>
      </c>
    </row>
    <row r="915" spans="1:12" hidden="1">
      <c r="A915" s="209" t="s">
        <v>3897</v>
      </c>
      <c r="B915" s="69" t="s">
        <v>81</v>
      </c>
      <c r="C915" s="69" t="s">
        <v>4445</v>
      </c>
      <c r="D915" s="96" t="s">
        <v>82</v>
      </c>
      <c r="E915" s="69">
        <v>1</v>
      </c>
      <c r="F915" s="123">
        <v>28.2</v>
      </c>
      <c r="G915" s="123">
        <v>32.5</v>
      </c>
      <c r="H915" s="208">
        <v>32.5</v>
      </c>
      <c r="I915" s="215"/>
      <c r="J915" s="215">
        <v>0</v>
      </c>
      <c r="K915" s="215">
        <v>32.5</v>
      </c>
      <c r="L915" s="216">
        <v>28.2</v>
      </c>
    </row>
    <row r="916" spans="1:12" hidden="1">
      <c r="A916" s="209" t="s">
        <v>3897</v>
      </c>
      <c r="B916" s="69" t="s">
        <v>3286</v>
      </c>
      <c r="C916" s="69" t="s">
        <v>4445</v>
      </c>
      <c r="D916" s="96" t="s">
        <v>3287</v>
      </c>
      <c r="E916" s="69">
        <v>2</v>
      </c>
      <c r="F916" s="123">
        <v>19.47</v>
      </c>
      <c r="G916" s="123">
        <v>23</v>
      </c>
      <c r="H916" s="208">
        <v>46</v>
      </c>
      <c r="I916" s="215"/>
      <c r="J916" s="215">
        <v>0</v>
      </c>
      <c r="K916" s="215">
        <v>46</v>
      </c>
      <c r="L916" s="216">
        <v>38.94</v>
      </c>
    </row>
    <row r="917" spans="1:12" hidden="1">
      <c r="A917" s="209" t="s">
        <v>3897</v>
      </c>
      <c r="B917" s="69" t="s">
        <v>3334</v>
      </c>
      <c r="C917" s="69" t="s">
        <v>4446</v>
      </c>
      <c r="D917" s="96" t="s">
        <v>3335</v>
      </c>
      <c r="E917" s="69">
        <v>2</v>
      </c>
      <c r="F917" s="123">
        <v>3.6</v>
      </c>
      <c r="G917" s="123">
        <v>4.25</v>
      </c>
      <c r="H917" s="208">
        <v>8.5</v>
      </c>
      <c r="I917" s="215"/>
      <c r="J917" s="215">
        <v>0</v>
      </c>
      <c r="K917" s="215">
        <v>8.5</v>
      </c>
      <c r="L917" s="216">
        <v>7.2</v>
      </c>
    </row>
    <row r="918" spans="1:12" hidden="1">
      <c r="A918" s="209" t="s">
        <v>3897</v>
      </c>
      <c r="B918" s="69" t="s">
        <v>359</v>
      </c>
      <c r="C918" s="69" t="s">
        <v>4447</v>
      </c>
      <c r="D918" s="96" t="s">
        <v>360</v>
      </c>
      <c r="E918" s="69">
        <v>1</v>
      </c>
      <c r="F918" s="123">
        <v>59.5</v>
      </c>
      <c r="G918" s="123">
        <v>68.5</v>
      </c>
      <c r="H918" s="208">
        <v>68.5</v>
      </c>
      <c r="I918" s="215"/>
      <c r="J918" s="215">
        <v>0</v>
      </c>
      <c r="K918" s="215">
        <v>68.5</v>
      </c>
      <c r="L918" s="216">
        <v>59.5</v>
      </c>
    </row>
    <row r="919" spans="1:12" hidden="1">
      <c r="A919" s="209" t="s">
        <v>3897</v>
      </c>
      <c r="B919" s="69" t="s">
        <v>3898</v>
      </c>
      <c r="C919" s="69" t="s">
        <v>4447</v>
      </c>
      <c r="D919" s="96" t="s">
        <v>4448</v>
      </c>
      <c r="E919" s="69">
        <v>1</v>
      </c>
      <c r="F919" s="123">
        <v>61.5</v>
      </c>
      <c r="G919" s="123">
        <v>70.75</v>
      </c>
      <c r="H919" s="208">
        <v>70.75</v>
      </c>
      <c r="I919" s="215"/>
      <c r="J919" s="215">
        <v>0</v>
      </c>
      <c r="K919" s="215">
        <v>70.75</v>
      </c>
      <c r="L919" s="216">
        <v>61.5</v>
      </c>
    </row>
    <row r="920" spans="1:12" hidden="1">
      <c r="A920" s="209" t="s">
        <v>3897</v>
      </c>
      <c r="B920" s="69" t="s">
        <v>3894</v>
      </c>
      <c r="C920" s="69" t="s">
        <v>4449</v>
      </c>
      <c r="D920" s="96" t="s">
        <v>4400</v>
      </c>
      <c r="E920" s="69">
        <v>1</v>
      </c>
      <c r="F920" s="123">
        <v>5.61</v>
      </c>
      <c r="G920" s="123">
        <v>6.5</v>
      </c>
      <c r="H920" s="208">
        <v>6.5</v>
      </c>
      <c r="I920" s="215"/>
      <c r="J920" s="215">
        <v>0</v>
      </c>
      <c r="K920" s="215">
        <v>6.5</v>
      </c>
      <c r="L920" s="216">
        <v>5.61</v>
      </c>
    </row>
    <row r="921" spans="1:12" hidden="1">
      <c r="A921" s="209" t="s">
        <v>3897</v>
      </c>
      <c r="B921" s="69" t="s">
        <v>281</v>
      </c>
      <c r="C921" s="69" t="s">
        <v>4450</v>
      </c>
      <c r="D921" s="96" t="s">
        <v>282</v>
      </c>
      <c r="E921" s="69">
        <v>1</v>
      </c>
      <c r="F921" s="123">
        <v>15.12</v>
      </c>
      <c r="G921" s="123">
        <v>17.5</v>
      </c>
      <c r="H921" s="208">
        <v>17.5</v>
      </c>
      <c r="I921" s="215"/>
      <c r="J921" s="215">
        <v>0</v>
      </c>
      <c r="K921" s="215">
        <v>17.5</v>
      </c>
      <c r="L921" s="216">
        <v>15.12</v>
      </c>
    </row>
    <row r="922" spans="1:12" hidden="1">
      <c r="A922" s="209" t="s">
        <v>3897</v>
      </c>
      <c r="B922" s="69" t="s">
        <v>1009</v>
      </c>
      <c r="C922" s="69" t="s">
        <v>4450</v>
      </c>
      <c r="D922" s="96" t="s">
        <v>1010</v>
      </c>
      <c r="E922" s="69">
        <v>1</v>
      </c>
      <c r="F922" s="123">
        <v>10.64</v>
      </c>
      <c r="G922" s="123">
        <v>12.25</v>
      </c>
      <c r="H922" s="208">
        <v>12.25</v>
      </c>
      <c r="I922" s="215"/>
      <c r="J922" s="215">
        <v>0</v>
      </c>
      <c r="K922" s="215">
        <v>12.25</v>
      </c>
      <c r="L922" s="216">
        <v>10.64</v>
      </c>
    </row>
    <row r="923" spans="1:12" hidden="1">
      <c r="A923" s="209" t="s">
        <v>3897</v>
      </c>
      <c r="B923" s="69" t="s">
        <v>100</v>
      </c>
      <c r="C923" s="69" t="s">
        <v>4450</v>
      </c>
      <c r="D923" s="96" t="s">
        <v>101</v>
      </c>
      <c r="E923" s="69">
        <v>1</v>
      </c>
      <c r="F923" s="123">
        <v>18.649999999999999</v>
      </c>
      <c r="G923" s="123">
        <v>21.5</v>
      </c>
      <c r="H923" s="208">
        <v>21.5</v>
      </c>
      <c r="I923" s="215"/>
      <c r="J923" s="215">
        <v>0</v>
      </c>
      <c r="K923" s="215">
        <v>21.5</v>
      </c>
      <c r="L923" s="216">
        <v>18.649999999999999</v>
      </c>
    </row>
    <row r="924" spans="1:12" hidden="1">
      <c r="A924" s="209" t="s">
        <v>3897</v>
      </c>
      <c r="B924" s="69" t="s">
        <v>3088</v>
      </c>
      <c r="C924" s="69" t="s">
        <v>4451</v>
      </c>
      <c r="D924" s="96" t="s">
        <v>3089</v>
      </c>
      <c r="E924" s="69">
        <v>1</v>
      </c>
      <c r="F924" s="123">
        <v>27.85</v>
      </c>
      <c r="G924" s="123">
        <v>32</v>
      </c>
      <c r="H924" s="208">
        <v>32</v>
      </c>
      <c r="I924" s="215"/>
      <c r="J924" s="215">
        <v>0</v>
      </c>
      <c r="K924" s="215">
        <v>32</v>
      </c>
      <c r="L924" s="216">
        <v>27.85</v>
      </c>
    </row>
    <row r="925" spans="1:12" hidden="1">
      <c r="A925" s="209" t="s">
        <v>3897</v>
      </c>
      <c r="B925" s="69" t="s">
        <v>3733</v>
      </c>
      <c r="C925" s="69" t="s">
        <v>4451</v>
      </c>
      <c r="D925" s="96" t="s">
        <v>3734</v>
      </c>
      <c r="E925" s="69">
        <v>1</v>
      </c>
      <c r="F925" s="123">
        <v>20.399999999999999</v>
      </c>
      <c r="G925" s="123">
        <v>23.46</v>
      </c>
      <c r="H925" s="208">
        <v>23.46</v>
      </c>
      <c r="I925" s="215"/>
      <c r="J925" s="215">
        <v>0</v>
      </c>
      <c r="K925" s="215">
        <v>23.46</v>
      </c>
      <c r="L925" s="216">
        <v>20.399999999999999</v>
      </c>
    </row>
    <row r="926" spans="1:12" hidden="1">
      <c r="A926" s="209" t="s">
        <v>3897</v>
      </c>
      <c r="B926" s="69" t="s">
        <v>3890</v>
      </c>
      <c r="C926" s="69" t="s">
        <v>4452</v>
      </c>
      <c r="D926" s="96" t="s">
        <v>4377</v>
      </c>
      <c r="E926" s="69">
        <v>2</v>
      </c>
      <c r="F926" s="123">
        <v>6.82</v>
      </c>
      <c r="G926" s="123">
        <v>8</v>
      </c>
      <c r="H926" s="208">
        <v>16</v>
      </c>
      <c r="I926" s="215"/>
      <c r="J926" s="215">
        <v>0</v>
      </c>
      <c r="K926" s="215">
        <v>16</v>
      </c>
      <c r="L926" s="216">
        <v>13.64</v>
      </c>
    </row>
    <row r="927" spans="1:12" hidden="1">
      <c r="A927" s="209" t="s">
        <v>3897</v>
      </c>
      <c r="B927" s="69" t="s">
        <v>2024</v>
      </c>
      <c r="C927" s="69" t="s">
        <v>4453</v>
      </c>
      <c r="D927" s="96" t="s">
        <v>2025</v>
      </c>
      <c r="E927" s="69">
        <v>1</v>
      </c>
      <c r="F927" s="123">
        <v>27.8</v>
      </c>
      <c r="G927" s="123">
        <v>35</v>
      </c>
      <c r="H927" s="208">
        <v>35</v>
      </c>
      <c r="I927" s="215"/>
      <c r="J927" s="215">
        <v>0</v>
      </c>
      <c r="K927" s="215">
        <v>35</v>
      </c>
      <c r="L927" s="216">
        <v>27.8</v>
      </c>
    </row>
    <row r="928" spans="1:12" hidden="1">
      <c r="A928" s="209" t="s">
        <v>3897</v>
      </c>
      <c r="B928" s="69" t="s">
        <v>981</v>
      </c>
      <c r="C928" s="69" t="s">
        <v>4454</v>
      </c>
      <c r="D928" s="96" t="s">
        <v>982</v>
      </c>
      <c r="E928" s="69">
        <v>1</v>
      </c>
      <c r="F928" s="123">
        <v>13.32</v>
      </c>
      <c r="G928" s="123">
        <v>15.5</v>
      </c>
      <c r="H928" s="208">
        <v>15.5</v>
      </c>
      <c r="I928" s="215"/>
      <c r="J928" s="215">
        <v>0</v>
      </c>
      <c r="K928" s="215">
        <v>15.5</v>
      </c>
      <c r="L928" s="216">
        <v>13.32</v>
      </c>
    </row>
    <row r="929" spans="1:12" hidden="1">
      <c r="A929" s="209" t="s">
        <v>3897</v>
      </c>
      <c r="B929" s="69" t="s">
        <v>75</v>
      </c>
      <c r="C929" s="69" t="s">
        <v>4455</v>
      </c>
      <c r="D929" s="96" t="s">
        <v>76</v>
      </c>
      <c r="E929" s="69">
        <v>1</v>
      </c>
      <c r="F929" s="123">
        <v>7.75</v>
      </c>
      <c r="G929" s="123">
        <v>9</v>
      </c>
      <c r="H929" s="208">
        <v>9</v>
      </c>
      <c r="I929" s="215"/>
      <c r="J929" s="215">
        <v>0</v>
      </c>
      <c r="K929" s="215">
        <v>9</v>
      </c>
      <c r="L929" s="216">
        <v>7.75</v>
      </c>
    </row>
    <row r="930" spans="1:12" hidden="1">
      <c r="A930" s="209" t="s">
        <v>3897</v>
      </c>
      <c r="B930" s="69" t="s">
        <v>3149</v>
      </c>
      <c r="C930" s="69" t="s">
        <v>4456</v>
      </c>
      <c r="D930" s="96" t="s">
        <v>3150</v>
      </c>
      <c r="E930" s="69">
        <v>3</v>
      </c>
      <c r="F930" s="123">
        <v>13.2</v>
      </c>
      <c r="G930" s="123">
        <v>16</v>
      </c>
      <c r="H930" s="208">
        <v>48</v>
      </c>
      <c r="I930" s="215"/>
      <c r="J930" s="215">
        <v>0</v>
      </c>
      <c r="K930" s="215">
        <v>48</v>
      </c>
      <c r="L930" s="216">
        <v>39.599999999999994</v>
      </c>
    </row>
    <row r="931" spans="1:12" hidden="1">
      <c r="A931" s="209" t="s">
        <v>3897</v>
      </c>
      <c r="B931" s="69" t="s">
        <v>3284</v>
      </c>
      <c r="C931" s="69" t="s">
        <v>4456</v>
      </c>
      <c r="D931" s="96" t="s">
        <v>3285</v>
      </c>
      <c r="E931" s="69">
        <v>1</v>
      </c>
      <c r="F931" s="123">
        <v>23.13</v>
      </c>
      <c r="G931" s="123">
        <v>30.25</v>
      </c>
      <c r="H931" s="208">
        <v>30.25</v>
      </c>
      <c r="I931" s="215"/>
      <c r="J931" s="215">
        <v>0</v>
      </c>
      <c r="K931" s="215">
        <v>30.25</v>
      </c>
      <c r="L931" s="216">
        <v>23.13</v>
      </c>
    </row>
    <row r="932" spans="1:12" hidden="1">
      <c r="A932" s="209" t="s">
        <v>3897</v>
      </c>
      <c r="B932" s="69" t="s">
        <v>404</v>
      </c>
      <c r="C932" s="69" t="s">
        <v>4456</v>
      </c>
      <c r="D932" s="96" t="s">
        <v>405</v>
      </c>
      <c r="E932" s="69">
        <v>1</v>
      </c>
      <c r="F932" s="123">
        <v>68.540000000000006</v>
      </c>
      <c r="G932" s="123">
        <v>79</v>
      </c>
      <c r="H932" s="208">
        <v>79</v>
      </c>
      <c r="I932" s="215"/>
      <c r="J932" s="215">
        <v>0</v>
      </c>
      <c r="K932" s="215">
        <v>79</v>
      </c>
      <c r="L932" s="216">
        <v>68.540000000000006</v>
      </c>
    </row>
    <row r="933" spans="1:12" hidden="1">
      <c r="A933" s="209" t="s">
        <v>3897</v>
      </c>
      <c r="B933" s="69" t="s">
        <v>180</v>
      </c>
      <c r="C933" s="69" t="s">
        <v>4457</v>
      </c>
      <c r="D933" s="96" t="s">
        <v>181</v>
      </c>
      <c r="E933" s="69">
        <v>1</v>
      </c>
      <c r="F933" s="123">
        <v>16.579999999999998</v>
      </c>
      <c r="G933" s="123">
        <v>19</v>
      </c>
      <c r="H933" s="208">
        <v>19</v>
      </c>
      <c r="I933" s="215"/>
      <c r="J933" s="215">
        <v>0</v>
      </c>
      <c r="K933" s="215">
        <v>19</v>
      </c>
      <c r="L933" s="216">
        <v>16.579999999999998</v>
      </c>
    </row>
    <row r="934" spans="1:12" hidden="1">
      <c r="A934" s="209" t="s">
        <v>3897</v>
      </c>
      <c r="B934" s="69" t="s">
        <v>897</v>
      </c>
      <c r="C934" s="69" t="s">
        <v>4457</v>
      </c>
      <c r="D934" s="96" t="s">
        <v>898</v>
      </c>
      <c r="E934" s="69">
        <v>1</v>
      </c>
      <c r="F934" s="123">
        <v>48.8</v>
      </c>
      <c r="G934" s="123">
        <v>56.25</v>
      </c>
      <c r="H934" s="208">
        <v>56.25</v>
      </c>
      <c r="I934" s="215"/>
      <c r="J934" s="215">
        <v>0</v>
      </c>
      <c r="K934" s="215">
        <v>56.25</v>
      </c>
      <c r="L934" s="216">
        <v>48.8</v>
      </c>
    </row>
    <row r="935" spans="1:12" hidden="1">
      <c r="A935" s="209" t="s">
        <v>3897</v>
      </c>
      <c r="B935" s="69" t="s">
        <v>3798</v>
      </c>
      <c r="C935" s="69" t="s">
        <v>4457</v>
      </c>
      <c r="D935" s="96" t="s">
        <v>3782</v>
      </c>
      <c r="E935" s="69">
        <v>1</v>
      </c>
      <c r="F935" s="123">
        <v>35.35</v>
      </c>
      <c r="G935" s="123">
        <v>40.75</v>
      </c>
      <c r="H935" s="208">
        <v>40.75</v>
      </c>
      <c r="I935" s="215"/>
      <c r="J935" s="215">
        <v>0</v>
      </c>
      <c r="K935" s="215">
        <v>40.75</v>
      </c>
      <c r="L935" s="216">
        <v>35.35</v>
      </c>
    </row>
    <row r="936" spans="1:12" hidden="1">
      <c r="A936" s="209" t="s">
        <v>3897</v>
      </c>
      <c r="B936" s="69" t="s">
        <v>3899</v>
      </c>
      <c r="C936" s="69" t="s">
        <v>4457</v>
      </c>
      <c r="D936" s="96" t="s">
        <v>4458</v>
      </c>
      <c r="E936" s="69">
        <v>1</v>
      </c>
      <c r="F936" s="123">
        <v>35.979999999999997</v>
      </c>
      <c r="G936" s="123">
        <v>41.5</v>
      </c>
      <c r="H936" s="208">
        <v>41.5</v>
      </c>
      <c r="I936" s="215"/>
      <c r="J936" s="215">
        <v>0</v>
      </c>
      <c r="K936" s="215">
        <v>41.5</v>
      </c>
      <c r="L936" s="216">
        <v>35.979999999999997</v>
      </c>
    </row>
    <row r="937" spans="1:12" hidden="1">
      <c r="A937" s="209" t="s">
        <v>3897</v>
      </c>
      <c r="B937" s="69" t="s">
        <v>3854</v>
      </c>
      <c r="C937" s="69" t="s">
        <v>4459</v>
      </c>
      <c r="D937" s="96" t="s">
        <v>4053</v>
      </c>
      <c r="E937" s="69">
        <v>2</v>
      </c>
      <c r="F937" s="123">
        <v>5.8</v>
      </c>
      <c r="G937" s="123">
        <v>7</v>
      </c>
      <c r="H937" s="208">
        <v>14</v>
      </c>
      <c r="I937" s="215"/>
      <c r="J937" s="215">
        <v>0</v>
      </c>
      <c r="K937" s="215">
        <v>14</v>
      </c>
      <c r="L937" s="216">
        <v>11.6</v>
      </c>
    </row>
    <row r="938" spans="1:12" hidden="1">
      <c r="A938" s="209" t="s">
        <v>3897</v>
      </c>
      <c r="B938" s="69" t="s">
        <v>3890</v>
      </c>
      <c r="C938" s="69" t="s">
        <v>4460</v>
      </c>
      <c r="D938" s="96" t="s">
        <v>4377</v>
      </c>
      <c r="E938" s="69">
        <v>1</v>
      </c>
      <c r="F938" s="123">
        <v>6.82</v>
      </c>
      <c r="G938" s="123">
        <v>8</v>
      </c>
      <c r="H938" s="208">
        <v>8</v>
      </c>
      <c r="I938" s="215"/>
      <c r="J938" s="215">
        <v>0</v>
      </c>
      <c r="K938" s="215">
        <v>8</v>
      </c>
      <c r="L938" s="216">
        <v>6.82</v>
      </c>
    </row>
    <row r="939" spans="1:12" hidden="1">
      <c r="A939" s="209" t="s">
        <v>3897</v>
      </c>
      <c r="B939" s="69" t="s">
        <v>1974</v>
      </c>
      <c r="C939" s="69" t="s">
        <v>4461</v>
      </c>
      <c r="D939" s="96" t="s">
        <v>1975</v>
      </c>
      <c r="E939" s="69">
        <v>1</v>
      </c>
      <c r="F939" s="123">
        <v>23.62</v>
      </c>
      <c r="G939" s="123">
        <v>27.75</v>
      </c>
      <c r="H939" s="208">
        <v>27.75</v>
      </c>
      <c r="I939" s="215"/>
      <c r="J939" s="215">
        <v>0</v>
      </c>
      <c r="K939" s="215">
        <v>27.75</v>
      </c>
      <c r="L939" s="216">
        <v>23.62</v>
      </c>
    </row>
    <row r="940" spans="1:12" hidden="1">
      <c r="A940" s="209" t="s">
        <v>3897</v>
      </c>
      <c r="B940" s="69" t="s">
        <v>985</v>
      </c>
      <c r="C940" s="69" t="s">
        <v>4462</v>
      </c>
      <c r="D940" s="96" t="s">
        <v>986</v>
      </c>
      <c r="E940" s="69">
        <v>1</v>
      </c>
      <c r="F940" s="123">
        <v>13.32</v>
      </c>
      <c r="G940" s="123">
        <v>15.5</v>
      </c>
      <c r="H940" s="208">
        <v>15.5</v>
      </c>
      <c r="I940" s="215"/>
      <c r="J940" s="215">
        <v>0</v>
      </c>
      <c r="K940" s="215">
        <v>15.5</v>
      </c>
      <c r="L940" s="216">
        <v>13.32</v>
      </c>
    </row>
    <row r="941" spans="1:12" hidden="1">
      <c r="A941" s="209" t="s">
        <v>3897</v>
      </c>
      <c r="B941" s="69" t="s">
        <v>3854</v>
      </c>
      <c r="C941" s="69" t="s">
        <v>4462</v>
      </c>
      <c r="D941" s="96" t="s">
        <v>4053</v>
      </c>
      <c r="E941" s="69">
        <v>1</v>
      </c>
      <c r="F941" s="123">
        <v>5.8</v>
      </c>
      <c r="G941" s="123">
        <v>7</v>
      </c>
      <c r="H941" s="208">
        <v>7</v>
      </c>
      <c r="I941" s="215"/>
      <c r="J941" s="215">
        <v>0</v>
      </c>
      <c r="K941" s="215">
        <v>7</v>
      </c>
      <c r="L941" s="216">
        <v>5.8</v>
      </c>
    </row>
    <row r="942" spans="1:12" hidden="1">
      <c r="A942" s="209" t="s">
        <v>3897</v>
      </c>
      <c r="B942" s="69" t="s">
        <v>3854</v>
      </c>
      <c r="C942" s="69" t="s">
        <v>4463</v>
      </c>
      <c r="D942" s="96" t="s">
        <v>4053</v>
      </c>
      <c r="E942" s="69">
        <v>1</v>
      </c>
      <c r="F942" s="123">
        <v>5.8</v>
      </c>
      <c r="G942" s="123">
        <v>7</v>
      </c>
      <c r="H942" s="208">
        <v>7</v>
      </c>
      <c r="I942" s="215"/>
      <c r="J942" s="215">
        <v>0</v>
      </c>
      <c r="K942" s="215">
        <v>7</v>
      </c>
      <c r="L942" s="216">
        <v>5.8</v>
      </c>
    </row>
    <row r="943" spans="1:12" hidden="1">
      <c r="A943" s="209" t="s">
        <v>3897</v>
      </c>
      <c r="B943" s="69" t="s">
        <v>3894</v>
      </c>
      <c r="C943" s="69" t="s">
        <v>4464</v>
      </c>
      <c r="D943" s="96" t="s">
        <v>4400</v>
      </c>
      <c r="E943" s="69">
        <v>1</v>
      </c>
      <c r="F943" s="123">
        <v>5.61</v>
      </c>
      <c r="G943" s="123">
        <v>6.5</v>
      </c>
      <c r="H943" s="208">
        <v>6.5</v>
      </c>
      <c r="I943" s="215"/>
      <c r="J943" s="215">
        <v>0</v>
      </c>
      <c r="K943" s="215">
        <v>6.5</v>
      </c>
      <c r="L943" s="216">
        <v>5.61</v>
      </c>
    </row>
    <row r="944" spans="1:12" hidden="1">
      <c r="A944" s="209" t="s">
        <v>3897</v>
      </c>
      <c r="B944" s="69" t="s">
        <v>3666</v>
      </c>
      <c r="C944" s="69" t="s">
        <v>4465</v>
      </c>
      <c r="D944" s="96" t="s">
        <v>3667</v>
      </c>
      <c r="E944" s="69">
        <v>1</v>
      </c>
      <c r="F944" s="123">
        <v>109.83</v>
      </c>
      <c r="G944" s="123">
        <v>126.5</v>
      </c>
      <c r="H944" s="208">
        <v>126.5</v>
      </c>
      <c r="I944" s="215"/>
      <c r="J944" s="215">
        <v>0</v>
      </c>
      <c r="K944" s="215">
        <v>126.5</v>
      </c>
      <c r="L944" s="216">
        <v>109.83</v>
      </c>
    </row>
    <row r="945" spans="1:12" hidden="1">
      <c r="A945" s="209" t="s">
        <v>3897</v>
      </c>
      <c r="B945" s="69" t="s">
        <v>2672</v>
      </c>
      <c r="C945" s="69" t="s">
        <v>4465</v>
      </c>
      <c r="D945" s="96" t="s">
        <v>2673</v>
      </c>
      <c r="E945" s="69">
        <v>1</v>
      </c>
      <c r="F945" s="123">
        <v>23.15</v>
      </c>
      <c r="G945" s="123">
        <v>27</v>
      </c>
      <c r="H945" s="208">
        <v>27</v>
      </c>
      <c r="I945" s="215"/>
      <c r="J945" s="215">
        <v>0</v>
      </c>
      <c r="K945" s="215">
        <v>27</v>
      </c>
      <c r="L945" s="216">
        <v>23.15</v>
      </c>
    </row>
    <row r="946" spans="1:12" hidden="1">
      <c r="A946" s="209" t="s">
        <v>3897</v>
      </c>
      <c r="B946" s="69" t="s">
        <v>3854</v>
      </c>
      <c r="C946" s="69" t="s">
        <v>4466</v>
      </c>
      <c r="D946" s="96" t="s">
        <v>4053</v>
      </c>
      <c r="E946" s="69">
        <v>1</v>
      </c>
      <c r="F946" s="123">
        <v>5.8</v>
      </c>
      <c r="G946" s="123">
        <v>7</v>
      </c>
      <c r="H946" s="208">
        <v>7</v>
      </c>
      <c r="I946" s="215"/>
      <c r="J946" s="215">
        <v>0</v>
      </c>
      <c r="K946" s="215">
        <v>7</v>
      </c>
      <c r="L946" s="216">
        <v>5.8</v>
      </c>
    </row>
    <row r="947" spans="1:12" hidden="1">
      <c r="A947" s="209" t="s">
        <v>3897</v>
      </c>
      <c r="B947" s="69" t="s">
        <v>3342</v>
      </c>
      <c r="C947" s="69" t="s">
        <v>4466</v>
      </c>
      <c r="D947" s="96" t="s">
        <v>3343</v>
      </c>
      <c r="E947" s="69">
        <v>1</v>
      </c>
      <c r="F947" s="123">
        <v>0.76</v>
      </c>
      <c r="G947" s="123">
        <v>1</v>
      </c>
      <c r="H947" s="208">
        <v>1</v>
      </c>
      <c r="I947" s="215"/>
      <c r="J947" s="215">
        <v>0</v>
      </c>
      <c r="K947" s="215">
        <v>1</v>
      </c>
      <c r="L947" s="216">
        <v>0.76</v>
      </c>
    </row>
    <row r="948" spans="1:12" hidden="1">
      <c r="A948" s="209" t="s">
        <v>3897</v>
      </c>
      <c r="B948" s="69" t="s">
        <v>1570</v>
      </c>
      <c r="C948" s="69" t="s">
        <v>4467</v>
      </c>
      <c r="D948" s="96" t="s">
        <v>1571</v>
      </c>
      <c r="E948" s="69">
        <v>2</v>
      </c>
      <c r="F948" s="123">
        <v>51.97</v>
      </c>
      <c r="G948" s="123">
        <v>60</v>
      </c>
      <c r="H948" s="208">
        <v>120</v>
      </c>
      <c r="I948" s="215"/>
      <c r="J948" s="215">
        <v>0</v>
      </c>
      <c r="K948" s="215">
        <v>120</v>
      </c>
      <c r="L948" s="216">
        <v>103.94</v>
      </c>
    </row>
    <row r="949" spans="1:12" hidden="1">
      <c r="A949" s="209" t="s">
        <v>3897</v>
      </c>
      <c r="B949" s="69" t="s">
        <v>1636</v>
      </c>
      <c r="C949" s="69" t="s">
        <v>4467</v>
      </c>
      <c r="D949" s="96" t="s">
        <v>1637</v>
      </c>
      <c r="E949" s="69">
        <v>2</v>
      </c>
      <c r="F949" s="123">
        <v>67.290000000000006</v>
      </c>
      <c r="G949" s="123">
        <v>77.5</v>
      </c>
      <c r="H949" s="208">
        <v>155</v>
      </c>
      <c r="I949" s="215"/>
      <c r="J949" s="215">
        <v>0</v>
      </c>
      <c r="K949" s="215">
        <v>155</v>
      </c>
      <c r="L949" s="216">
        <v>134.58000000000001</v>
      </c>
    </row>
    <row r="950" spans="1:12" hidden="1">
      <c r="A950" s="209" t="s">
        <v>3897</v>
      </c>
      <c r="B950" s="69" t="s">
        <v>3853</v>
      </c>
      <c r="C950" s="69" t="s">
        <v>4468</v>
      </c>
      <c r="D950" s="96" t="s">
        <v>4039</v>
      </c>
      <c r="E950" s="69">
        <v>5</v>
      </c>
      <c r="F950" s="123">
        <v>32</v>
      </c>
      <c r="G950" s="123">
        <v>37</v>
      </c>
      <c r="H950" s="208">
        <v>185</v>
      </c>
      <c r="I950" s="215"/>
      <c r="J950" s="215">
        <v>0</v>
      </c>
      <c r="K950" s="215">
        <v>185</v>
      </c>
      <c r="L950" s="216">
        <v>160</v>
      </c>
    </row>
    <row r="951" spans="1:12" hidden="1">
      <c r="A951" s="209" t="s">
        <v>3897</v>
      </c>
      <c r="B951" s="69" t="s">
        <v>960</v>
      </c>
      <c r="C951" s="69" t="s">
        <v>4469</v>
      </c>
      <c r="D951" s="96" t="s">
        <v>961</v>
      </c>
      <c r="E951" s="69">
        <v>3</v>
      </c>
      <c r="F951" s="123">
        <v>300</v>
      </c>
      <c r="G951" s="123">
        <v>450</v>
      </c>
      <c r="H951" s="208">
        <v>1350</v>
      </c>
      <c r="I951" s="215"/>
      <c r="J951" s="215">
        <v>0</v>
      </c>
      <c r="K951" s="215">
        <v>1350</v>
      </c>
      <c r="L951" s="216">
        <v>900</v>
      </c>
    </row>
    <row r="952" spans="1:12" hidden="1">
      <c r="A952" s="209" t="s">
        <v>3897</v>
      </c>
      <c r="B952" s="69" t="s">
        <v>1570</v>
      </c>
      <c r="C952" s="69" t="s">
        <v>4470</v>
      </c>
      <c r="D952" s="96" t="s">
        <v>1571</v>
      </c>
      <c r="E952" s="69">
        <v>3</v>
      </c>
      <c r="F952" s="123">
        <v>51.97</v>
      </c>
      <c r="G952" s="123">
        <v>60</v>
      </c>
      <c r="H952" s="208">
        <v>180</v>
      </c>
      <c r="I952" s="215"/>
      <c r="J952" s="215">
        <v>0</v>
      </c>
      <c r="K952" s="215">
        <v>180</v>
      </c>
      <c r="L952" s="216">
        <v>155.91</v>
      </c>
    </row>
    <row r="953" spans="1:12" hidden="1">
      <c r="A953" s="209" t="s">
        <v>3897</v>
      </c>
      <c r="B953" s="69" t="s">
        <v>1297</v>
      </c>
      <c r="C953" s="69" t="s">
        <v>4470</v>
      </c>
      <c r="D953" s="96" t="s">
        <v>1298</v>
      </c>
      <c r="E953" s="69">
        <v>2</v>
      </c>
      <c r="F953" s="123">
        <v>53.81</v>
      </c>
      <c r="G953" s="123">
        <v>62</v>
      </c>
      <c r="H953" s="208">
        <v>124</v>
      </c>
      <c r="I953" s="215"/>
      <c r="J953" s="215">
        <v>0</v>
      </c>
      <c r="K953" s="215">
        <v>124</v>
      </c>
      <c r="L953" s="216">
        <v>107.62</v>
      </c>
    </row>
    <row r="954" spans="1:12" hidden="1">
      <c r="A954" s="209" t="s">
        <v>3897</v>
      </c>
      <c r="B954" s="69" t="s">
        <v>2095</v>
      </c>
      <c r="C954" s="69" t="s">
        <v>4471</v>
      </c>
      <c r="D954" s="96" t="s">
        <v>2096</v>
      </c>
      <c r="E954" s="69">
        <v>5</v>
      </c>
      <c r="F954" s="123">
        <v>5.59</v>
      </c>
      <c r="G954" s="123">
        <v>6.5</v>
      </c>
      <c r="H954" s="208">
        <v>32.5</v>
      </c>
      <c r="I954" s="215"/>
      <c r="J954" s="215">
        <v>0</v>
      </c>
      <c r="K954" s="215">
        <v>32.5</v>
      </c>
      <c r="L954" s="216">
        <v>27.95</v>
      </c>
    </row>
    <row r="955" spans="1:12" hidden="1">
      <c r="A955" s="209" t="s">
        <v>3897</v>
      </c>
      <c r="B955" s="69" t="s">
        <v>68</v>
      </c>
      <c r="C955" s="69" t="s">
        <v>4471</v>
      </c>
      <c r="D955" s="96" t="s">
        <v>69</v>
      </c>
      <c r="E955" s="69">
        <v>1</v>
      </c>
      <c r="F955" s="123">
        <v>18.53</v>
      </c>
      <c r="G955" s="123">
        <v>21.5</v>
      </c>
      <c r="H955" s="208">
        <v>21.5</v>
      </c>
      <c r="I955" s="215"/>
      <c r="J955" s="215">
        <v>0</v>
      </c>
      <c r="K955" s="215">
        <v>21.5</v>
      </c>
      <c r="L955" s="216">
        <v>18.53</v>
      </c>
    </row>
    <row r="956" spans="1:12" hidden="1">
      <c r="A956" s="209" t="s">
        <v>3897</v>
      </c>
      <c r="B956" s="69" t="s">
        <v>375</v>
      </c>
      <c r="C956" s="69" t="s">
        <v>4471</v>
      </c>
      <c r="D956" s="96" t="s">
        <v>376</v>
      </c>
      <c r="E956" s="69">
        <v>1</v>
      </c>
      <c r="F956" s="123">
        <v>44.8</v>
      </c>
      <c r="G956" s="123">
        <v>51.75</v>
      </c>
      <c r="H956" s="208">
        <v>51.75</v>
      </c>
      <c r="I956" s="215"/>
      <c r="J956" s="215">
        <v>0</v>
      </c>
      <c r="K956" s="215">
        <v>51.75</v>
      </c>
      <c r="L956" s="216">
        <v>44.8</v>
      </c>
    </row>
    <row r="957" spans="1:12" hidden="1">
      <c r="A957" s="209" t="s">
        <v>3897</v>
      </c>
      <c r="B957" s="69" t="s">
        <v>267</v>
      </c>
      <c r="C957" s="69" t="s">
        <v>4472</v>
      </c>
      <c r="D957" s="96" t="s">
        <v>268</v>
      </c>
      <c r="E957" s="69">
        <v>1</v>
      </c>
      <c r="F957" s="123">
        <v>60</v>
      </c>
      <c r="G957" s="123">
        <v>75</v>
      </c>
      <c r="H957" s="208">
        <v>75</v>
      </c>
      <c r="I957" s="215"/>
      <c r="J957" s="215">
        <v>0</v>
      </c>
      <c r="K957" s="215">
        <v>75</v>
      </c>
      <c r="L957" s="216">
        <v>60</v>
      </c>
    </row>
    <row r="958" spans="1:12" hidden="1">
      <c r="A958" s="209" t="s">
        <v>3900</v>
      </c>
      <c r="B958" s="69" t="s">
        <v>116</v>
      </c>
      <c r="C958" s="69" t="s">
        <v>4473</v>
      </c>
      <c r="D958" s="96" t="s">
        <v>117</v>
      </c>
      <c r="E958" s="69">
        <v>1</v>
      </c>
      <c r="F958" s="123">
        <v>7.75</v>
      </c>
      <c r="G958" s="123">
        <v>9</v>
      </c>
      <c r="H958" s="208">
        <v>9</v>
      </c>
      <c r="I958" s="215"/>
      <c r="J958" s="215">
        <v>0</v>
      </c>
      <c r="K958" s="215">
        <v>9</v>
      </c>
      <c r="L958" s="216">
        <v>7.75</v>
      </c>
    </row>
    <row r="959" spans="1:12" hidden="1">
      <c r="A959" s="209" t="s">
        <v>3900</v>
      </c>
      <c r="B959" s="69" t="s">
        <v>1020</v>
      </c>
      <c r="C959" s="69" t="s">
        <v>4474</v>
      </c>
      <c r="D959" s="96" t="s">
        <v>1021</v>
      </c>
      <c r="E959" s="69">
        <v>1</v>
      </c>
      <c r="F959" s="123">
        <v>90.94</v>
      </c>
      <c r="G959" s="123">
        <v>105.25</v>
      </c>
      <c r="H959" s="208">
        <v>105.25</v>
      </c>
      <c r="I959" s="215"/>
      <c r="J959" s="215">
        <v>0</v>
      </c>
      <c r="K959" s="215">
        <v>105.25</v>
      </c>
      <c r="L959" s="216">
        <v>90.94</v>
      </c>
    </row>
    <row r="960" spans="1:12" hidden="1">
      <c r="A960" s="209" t="s">
        <v>3900</v>
      </c>
      <c r="B960" s="69" t="s">
        <v>3650</v>
      </c>
      <c r="C960" s="69" t="s">
        <v>4474</v>
      </c>
      <c r="D960" s="96" t="s">
        <v>3651</v>
      </c>
      <c r="E960" s="69">
        <v>1</v>
      </c>
      <c r="F960" s="123">
        <v>127.18</v>
      </c>
      <c r="G960" s="123">
        <v>146.5</v>
      </c>
      <c r="H960" s="208">
        <v>146.5</v>
      </c>
      <c r="I960" s="215"/>
      <c r="J960" s="215">
        <v>0</v>
      </c>
      <c r="K960" s="215">
        <v>146.5</v>
      </c>
      <c r="L960" s="216">
        <v>127.18</v>
      </c>
    </row>
    <row r="961" spans="1:12" hidden="1">
      <c r="A961" s="209" t="s">
        <v>3900</v>
      </c>
      <c r="B961" s="69" t="s">
        <v>2205</v>
      </c>
      <c r="C961" s="69" t="s">
        <v>4474</v>
      </c>
      <c r="D961" s="96" t="s">
        <v>2206</v>
      </c>
      <c r="E961" s="69">
        <v>3</v>
      </c>
      <c r="F961" s="123">
        <v>302.13</v>
      </c>
      <c r="G961" s="123">
        <v>362.75</v>
      </c>
      <c r="H961" s="208">
        <v>1088.25</v>
      </c>
      <c r="I961" s="215"/>
      <c r="J961" s="215">
        <v>0</v>
      </c>
      <c r="K961" s="215">
        <v>1088.25</v>
      </c>
      <c r="L961" s="216">
        <v>906.39</v>
      </c>
    </row>
    <row r="962" spans="1:12" hidden="1">
      <c r="A962" s="209" t="s">
        <v>3900</v>
      </c>
      <c r="B962" s="69" t="s">
        <v>377</v>
      </c>
      <c r="C962" s="69" t="s">
        <v>4475</v>
      </c>
      <c r="D962" s="96" t="s">
        <v>378</v>
      </c>
      <c r="E962" s="69">
        <v>1</v>
      </c>
      <c r="F962" s="123">
        <v>44.8</v>
      </c>
      <c r="G962" s="123">
        <v>51.75</v>
      </c>
      <c r="H962" s="208">
        <v>51.75</v>
      </c>
      <c r="I962" s="215"/>
      <c r="J962" s="215">
        <v>0</v>
      </c>
      <c r="K962" s="215">
        <v>51.75</v>
      </c>
      <c r="L962" s="216">
        <v>44.8</v>
      </c>
    </row>
    <row r="963" spans="1:12" hidden="1">
      <c r="A963" s="209" t="s">
        <v>3900</v>
      </c>
      <c r="B963" s="69" t="s">
        <v>59</v>
      </c>
      <c r="C963" s="69" t="s">
        <v>4475</v>
      </c>
      <c r="D963" s="96" t="s">
        <v>60</v>
      </c>
      <c r="E963" s="69">
        <v>1</v>
      </c>
      <c r="F963" s="123">
        <v>18.88</v>
      </c>
      <c r="G963" s="123">
        <v>21.75</v>
      </c>
      <c r="H963" s="208">
        <v>21.75</v>
      </c>
      <c r="I963" s="215"/>
      <c r="J963" s="215">
        <v>0</v>
      </c>
      <c r="K963" s="215">
        <v>21.75</v>
      </c>
      <c r="L963" s="216">
        <v>18.88</v>
      </c>
    </row>
    <row r="964" spans="1:12" hidden="1">
      <c r="A964" s="209" t="s">
        <v>3900</v>
      </c>
      <c r="B964" s="69" t="s">
        <v>296</v>
      </c>
      <c r="C964" s="69" t="s">
        <v>4475</v>
      </c>
      <c r="D964" s="96" t="s">
        <v>297</v>
      </c>
      <c r="E964" s="69">
        <v>1</v>
      </c>
      <c r="F964" s="123">
        <v>7.06</v>
      </c>
      <c r="G964" s="123">
        <v>8.25</v>
      </c>
      <c r="H964" s="208">
        <v>8.25</v>
      </c>
      <c r="I964" s="215"/>
      <c r="J964" s="215">
        <v>0</v>
      </c>
      <c r="K964" s="215">
        <v>8.25</v>
      </c>
      <c r="L964" s="216">
        <v>7.06</v>
      </c>
    </row>
    <row r="965" spans="1:12" hidden="1">
      <c r="A965" s="209" t="s">
        <v>3900</v>
      </c>
      <c r="B965" s="69" t="s">
        <v>552</v>
      </c>
      <c r="C965" s="69" t="s">
        <v>4475</v>
      </c>
      <c r="D965" s="96" t="s">
        <v>553</v>
      </c>
      <c r="E965" s="69">
        <v>1</v>
      </c>
      <c r="F965" s="123">
        <v>7.41</v>
      </c>
      <c r="G965" s="123">
        <v>8.75</v>
      </c>
      <c r="H965" s="208">
        <v>8.75</v>
      </c>
      <c r="I965" s="215"/>
      <c r="J965" s="215">
        <v>0</v>
      </c>
      <c r="K965" s="215">
        <v>8.75</v>
      </c>
      <c r="L965" s="216">
        <v>7.41</v>
      </c>
    </row>
    <row r="966" spans="1:12" hidden="1">
      <c r="A966" s="209" t="s">
        <v>3900</v>
      </c>
      <c r="B966" s="69" t="s">
        <v>2083</v>
      </c>
      <c r="C966" s="69" t="s">
        <v>4476</v>
      </c>
      <c r="D966" s="96" t="s">
        <v>2084</v>
      </c>
      <c r="E966" s="69">
        <v>2</v>
      </c>
      <c r="F966" s="123">
        <v>8.6</v>
      </c>
      <c r="G966" s="123">
        <v>10</v>
      </c>
      <c r="H966" s="208">
        <v>20</v>
      </c>
      <c r="I966" s="215"/>
      <c r="J966" s="215">
        <v>0</v>
      </c>
      <c r="K966" s="215">
        <v>20</v>
      </c>
      <c r="L966" s="216">
        <v>17.2</v>
      </c>
    </row>
    <row r="967" spans="1:12" hidden="1">
      <c r="A967" s="209" t="s">
        <v>3900</v>
      </c>
      <c r="B967" s="69" t="s">
        <v>116</v>
      </c>
      <c r="C967" s="69" t="s">
        <v>4477</v>
      </c>
      <c r="D967" s="96" t="s">
        <v>117</v>
      </c>
      <c r="E967" s="69">
        <v>1</v>
      </c>
      <c r="F967" s="123">
        <v>7.75</v>
      </c>
      <c r="G967" s="123">
        <v>9</v>
      </c>
      <c r="H967" s="208">
        <v>9</v>
      </c>
      <c r="I967" s="215"/>
      <c r="J967" s="215">
        <v>0</v>
      </c>
      <c r="K967" s="215">
        <v>9</v>
      </c>
      <c r="L967" s="216">
        <v>7.75</v>
      </c>
    </row>
    <row r="968" spans="1:12" hidden="1">
      <c r="A968" s="209" t="s">
        <v>3900</v>
      </c>
      <c r="B968" s="69" t="s">
        <v>94</v>
      </c>
      <c r="C968" s="69" t="s">
        <v>4478</v>
      </c>
      <c r="D968" s="96" t="s">
        <v>95</v>
      </c>
      <c r="E968" s="69">
        <v>1</v>
      </c>
      <c r="F968" s="123">
        <v>18.649999999999999</v>
      </c>
      <c r="G968" s="123">
        <v>21.5</v>
      </c>
      <c r="H968" s="208">
        <v>21.5</v>
      </c>
      <c r="I968" s="215"/>
      <c r="J968" s="215">
        <v>0</v>
      </c>
      <c r="K968" s="215">
        <v>21.5</v>
      </c>
      <c r="L968" s="216">
        <v>18.649999999999999</v>
      </c>
    </row>
    <row r="969" spans="1:12" hidden="1">
      <c r="A969" s="209" t="s">
        <v>3900</v>
      </c>
      <c r="B969" s="69" t="s">
        <v>3342</v>
      </c>
      <c r="C969" s="69" t="s">
        <v>4479</v>
      </c>
      <c r="D969" s="96" t="s">
        <v>3343</v>
      </c>
      <c r="E969" s="69">
        <v>1</v>
      </c>
      <c r="F969" s="123">
        <v>0.76</v>
      </c>
      <c r="G969" s="123">
        <v>1</v>
      </c>
      <c r="H969" s="208">
        <v>1</v>
      </c>
      <c r="I969" s="215"/>
      <c r="J969" s="215">
        <v>0</v>
      </c>
      <c r="K969" s="215">
        <v>1</v>
      </c>
      <c r="L969" s="216">
        <v>0.76</v>
      </c>
    </row>
    <row r="970" spans="1:12" hidden="1">
      <c r="A970" s="209" t="s">
        <v>3900</v>
      </c>
      <c r="B970" s="69" t="s">
        <v>3636</v>
      </c>
      <c r="C970" s="69" t="s">
        <v>4479</v>
      </c>
      <c r="D970" s="96" t="s">
        <v>3637</v>
      </c>
      <c r="E970" s="69">
        <v>2</v>
      </c>
      <c r="F970" s="123">
        <v>0.76</v>
      </c>
      <c r="G970" s="123">
        <v>1</v>
      </c>
      <c r="H970" s="208">
        <v>2</v>
      </c>
      <c r="I970" s="215"/>
      <c r="J970" s="215">
        <v>0</v>
      </c>
      <c r="K970" s="215">
        <v>2</v>
      </c>
      <c r="L970" s="216">
        <v>1.52</v>
      </c>
    </row>
    <row r="971" spans="1:12" hidden="1">
      <c r="A971" s="209" t="s">
        <v>3900</v>
      </c>
      <c r="B971" s="69" t="s">
        <v>919</v>
      </c>
      <c r="C971" s="69" t="s">
        <v>4480</v>
      </c>
      <c r="D971" s="96" t="s">
        <v>920</v>
      </c>
      <c r="E971" s="69">
        <v>1</v>
      </c>
      <c r="F971" s="123">
        <v>12.66</v>
      </c>
      <c r="G971" s="123">
        <v>14.25</v>
      </c>
      <c r="H971" s="208">
        <v>14.25</v>
      </c>
      <c r="I971" s="215"/>
      <c r="J971" s="215">
        <v>0</v>
      </c>
      <c r="K971" s="215">
        <v>14.25</v>
      </c>
      <c r="L971" s="216">
        <v>12.66</v>
      </c>
    </row>
    <row r="972" spans="1:12" hidden="1">
      <c r="A972" s="209" t="s">
        <v>3900</v>
      </c>
      <c r="B972" s="69" t="s">
        <v>1570</v>
      </c>
      <c r="C972" s="69" t="s">
        <v>4481</v>
      </c>
      <c r="D972" s="96" t="s">
        <v>1571</v>
      </c>
      <c r="E972" s="69">
        <v>1</v>
      </c>
      <c r="F972" s="123">
        <v>51.97</v>
      </c>
      <c r="G972" s="123">
        <v>60</v>
      </c>
      <c r="H972" s="208">
        <v>60</v>
      </c>
      <c r="I972" s="215"/>
      <c r="J972" s="215">
        <v>0</v>
      </c>
      <c r="K972" s="215">
        <v>60</v>
      </c>
      <c r="L972" s="216">
        <v>51.97</v>
      </c>
    </row>
    <row r="973" spans="1:12" hidden="1">
      <c r="A973" s="209" t="s">
        <v>3900</v>
      </c>
      <c r="B973" s="69" t="s">
        <v>2109</v>
      </c>
      <c r="C973" s="69" t="s">
        <v>4482</v>
      </c>
      <c r="D973" s="96" t="s">
        <v>2110</v>
      </c>
      <c r="E973" s="69">
        <v>6</v>
      </c>
      <c r="F973" s="123">
        <v>6.97</v>
      </c>
      <c r="G973" s="123">
        <v>8</v>
      </c>
      <c r="H973" s="208">
        <v>48</v>
      </c>
      <c r="I973" s="215"/>
      <c r="J973" s="215">
        <v>0</v>
      </c>
      <c r="K973" s="215">
        <v>48</v>
      </c>
      <c r="L973" s="216">
        <v>41.82</v>
      </c>
    </row>
    <row r="974" spans="1:12" hidden="1">
      <c r="A974" s="209" t="s">
        <v>3900</v>
      </c>
      <c r="B974" s="69" t="s">
        <v>1931</v>
      </c>
      <c r="C974" s="69" t="s">
        <v>4482</v>
      </c>
      <c r="D974" s="96" t="s">
        <v>1932</v>
      </c>
      <c r="E974" s="69">
        <v>1</v>
      </c>
      <c r="F974" s="123">
        <v>10.95</v>
      </c>
      <c r="G974" s="123">
        <v>12.75</v>
      </c>
      <c r="H974" s="208">
        <v>12.75</v>
      </c>
      <c r="I974" s="215"/>
      <c r="J974" s="215">
        <v>0</v>
      </c>
      <c r="K974" s="215">
        <v>12.75</v>
      </c>
      <c r="L974" s="216">
        <v>10.95</v>
      </c>
    </row>
    <row r="975" spans="1:12" hidden="1">
      <c r="A975" s="209" t="s">
        <v>3900</v>
      </c>
      <c r="B975" s="69" t="s">
        <v>2201</v>
      </c>
      <c r="C975" s="69" t="s">
        <v>4482</v>
      </c>
      <c r="D975" s="96" t="s">
        <v>2202</v>
      </c>
      <c r="E975" s="69">
        <v>1</v>
      </c>
      <c r="F975" s="123">
        <v>19.600000000000001</v>
      </c>
      <c r="G975" s="123">
        <v>22.75</v>
      </c>
      <c r="H975" s="208">
        <v>22.75</v>
      </c>
      <c r="I975" s="215"/>
      <c r="J975" s="215">
        <v>0</v>
      </c>
      <c r="K975" s="215">
        <v>22.75</v>
      </c>
      <c r="L975" s="216">
        <v>19.600000000000001</v>
      </c>
    </row>
    <row r="976" spans="1:12" hidden="1">
      <c r="A976" s="209" t="s">
        <v>3900</v>
      </c>
      <c r="B976" s="69" t="s">
        <v>3854</v>
      </c>
      <c r="C976" s="69" t="s">
        <v>4483</v>
      </c>
      <c r="D976" s="96" t="s">
        <v>4053</v>
      </c>
      <c r="E976" s="69">
        <v>1</v>
      </c>
      <c r="F976" s="123">
        <v>5.8</v>
      </c>
      <c r="G976" s="123">
        <v>7</v>
      </c>
      <c r="H976" s="208">
        <v>7</v>
      </c>
      <c r="I976" s="215"/>
      <c r="J976" s="215">
        <v>0</v>
      </c>
      <c r="K976" s="215">
        <v>7</v>
      </c>
      <c r="L976" s="216">
        <v>5.8</v>
      </c>
    </row>
    <row r="977" spans="1:12" hidden="1">
      <c r="A977" s="209" t="s">
        <v>3900</v>
      </c>
      <c r="B977" s="69" t="s">
        <v>1915</v>
      </c>
      <c r="C977" s="69" t="s">
        <v>4484</v>
      </c>
      <c r="D977" s="96" t="s">
        <v>1916</v>
      </c>
      <c r="E977" s="69">
        <v>1</v>
      </c>
      <c r="F977" s="123">
        <v>31.05</v>
      </c>
      <c r="G977" s="123">
        <v>36</v>
      </c>
      <c r="H977" s="208">
        <v>36</v>
      </c>
      <c r="I977" s="215"/>
      <c r="J977" s="215">
        <v>0</v>
      </c>
      <c r="K977" s="215">
        <v>36</v>
      </c>
      <c r="L977" s="216">
        <v>31.05</v>
      </c>
    </row>
    <row r="978" spans="1:12" hidden="1">
      <c r="A978" s="209" t="s">
        <v>3900</v>
      </c>
      <c r="B978" s="69" t="s">
        <v>1927</v>
      </c>
      <c r="C978" s="69" t="s">
        <v>4485</v>
      </c>
      <c r="D978" s="96" t="s">
        <v>1928</v>
      </c>
      <c r="E978" s="69">
        <v>1</v>
      </c>
      <c r="F978" s="123">
        <v>52.35</v>
      </c>
      <c r="G978" s="123">
        <v>60.25</v>
      </c>
      <c r="H978" s="208">
        <v>60.25</v>
      </c>
      <c r="I978" s="215"/>
      <c r="J978" s="215">
        <v>0</v>
      </c>
      <c r="K978" s="215">
        <v>60.25</v>
      </c>
      <c r="L978" s="216">
        <v>52.35</v>
      </c>
    </row>
    <row r="979" spans="1:12" hidden="1">
      <c r="A979" s="209" t="s">
        <v>3900</v>
      </c>
      <c r="B979" s="69" t="s">
        <v>904</v>
      </c>
      <c r="C979" s="69" t="s">
        <v>4485</v>
      </c>
      <c r="D979" s="96" t="s">
        <v>905</v>
      </c>
      <c r="E979" s="69">
        <v>1</v>
      </c>
      <c r="F979" s="123">
        <v>47.73</v>
      </c>
      <c r="G979" s="123">
        <v>55</v>
      </c>
      <c r="H979" s="208">
        <v>55</v>
      </c>
      <c r="I979" s="215"/>
      <c r="J979" s="215">
        <v>0</v>
      </c>
      <c r="K979" s="215">
        <v>55</v>
      </c>
      <c r="L979" s="216">
        <v>47.73</v>
      </c>
    </row>
    <row r="980" spans="1:12" hidden="1">
      <c r="A980" s="209" t="s">
        <v>3900</v>
      </c>
      <c r="B980" s="69" t="s">
        <v>416</v>
      </c>
      <c r="C980" s="69" t="s">
        <v>4485</v>
      </c>
      <c r="D980" s="96" t="s">
        <v>417</v>
      </c>
      <c r="E980" s="210">
        <v>1</v>
      </c>
      <c r="F980" s="122">
        <v>58.2</v>
      </c>
      <c r="G980" s="122">
        <v>67</v>
      </c>
      <c r="H980" s="208">
        <v>67</v>
      </c>
      <c r="I980" s="215"/>
      <c r="J980" s="215">
        <v>0</v>
      </c>
      <c r="K980" s="215">
        <v>67</v>
      </c>
      <c r="L980" s="216">
        <v>58.2</v>
      </c>
    </row>
    <row r="981" spans="1:12" hidden="1">
      <c r="A981" s="209" t="s">
        <v>3900</v>
      </c>
      <c r="B981" s="69" t="s">
        <v>874</v>
      </c>
      <c r="C981" s="69" t="s">
        <v>4486</v>
      </c>
      <c r="D981" s="96" t="s">
        <v>875</v>
      </c>
      <c r="E981" s="210">
        <v>1</v>
      </c>
      <c r="F981" s="122">
        <v>8.1999999999999993</v>
      </c>
      <c r="G981" s="122">
        <v>9.5</v>
      </c>
      <c r="H981" s="208">
        <v>9.5</v>
      </c>
      <c r="I981" s="215"/>
      <c r="J981" s="215">
        <v>0</v>
      </c>
      <c r="K981" s="215">
        <v>9.5</v>
      </c>
      <c r="L981" s="216">
        <v>8.1999999999999993</v>
      </c>
    </row>
    <row r="982" spans="1:12" hidden="1">
      <c r="A982" s="209" t="s">
        <v>3900</v>
      </c>
      <c r="B982" s="69" t="s">
        <v>75</v>
      </c>
      <c r="C982" s="69" t="s">
        <v>4486</v>
      </c>
      <c r="D982" s="96" t="s">
        <v>76</v>
      </c>
      <c r="E982" s="210">
        <v>1</v>
      </c>
      <c r="F982" s="122">
        <v>7.75</v>
      </c>
      <c r="G982" s="122">
        <v>9</v>
      </c>
      <c r="H982" s="208">
        <v>9</v>
      </c>
      <c r="I982" s="215"/>
      <c r="J982" s="215">
        <v>0</v>
      </c>
      <c r="K982" s="215">
        <v>9</v>
      </c>
      <c r="L982" s="216">
        <v>7.75</v>
      </c>
    </row>
    <row r="983" spans="1:12" hidden="1">
      <c r="A983" s="209" t="s">
        <v>3900</v>
      </c>
      <c r="B983" s="69" t="s">
        <v>285</v>
      </c>
      <c r="C983" s="69" t="s">
        <v>4486</v>
      </c>
      <c r="D983" s="96" t="s">
        <v>286</v>
      </c>
      <c r="E983" s="210">
        <v>1</v>
      </c>
      <c r="F983" s="122">
        <v>15.65</v>
      </c>
      <c r="G983" s="122">
        <v>18</v>
      </c>
      <c r="H983" s="208">
        <v>18</v>
      </c>
      <c r="I983" s="215"/>
      <c r="J983" s="215">
        <v>0</v>
      </c>
      <c r="K983" s="215">
        <v>18</v>
      </c>
      <c r="L983" s="216">
        <v>15.65</v>
      </c>
    </row>
    <row r="984" spans="1:12" hidden="1">
      <c r="A984" s="209" t="s">
        <v>3900</v>
      </c>
      <c r="B984" s="69" t="s">
        <v>1560</v>
      </c>
      <c r="C984" s="69" t="s">
        <v>4487</v>
      </c>
      <c r="D984" s="96" t="s">
        <v>1561</v>
      </c>
      <c r="E984" s="210">
        <v>12</v>
      </c>
      <c r="F984" s="122">
        <v>6.12</v>
      </c>
      <c r="G984" s="122">
        <v>7.25</v>
      </c>
      <c r="H984" s="208">
        <v>87</v>
      </c>
      <c r="I984" s="215"/>
      <c r="J984" s="215">
        <v>0</v>
      </c>
      <c r="K984" s="215">
        <v>87</v>
      </c>
      <c r="L984" s="216">
        <v>73.44</v>
      </c>
    </row>
    <row r="985" spans="1:12" hidden="1">
      <c r="A985" s="209" t="s">
        <v>3900</v>
      </c>
      <c r="B985" s="69" t="s">
        <v>55</v>
      </c>
      <c r="C985" s="69" t="s">
        <v>4488</v>
      </c>
      <c r="D985" s="96" t="s">
        <v>56</v>
      </c>
      <c r="E985" s="210">
        <v>1</v>
      </c>
      <c r="F985" s="122">
        <v>16.84</v>
      </c>
      <c r="G985" s="122">
        <v>19.5</v>
      </c>
      <c r="H985" s="208">
        <v>19.5</v>
      </c>
      <c r="I985" s="215"/>
      <c r="J985" s="215">
        <v>0</v>
      </c>
      <c r="K985" s="215">
        <v>19.5</v>
      </c>
      <c r="L985" s="216">
        <v>16.84</v>
      </c>
    </row>
    <row r="986" spans="1:12" hidden="1">
      <c r="A986" s="209" t="s">
        <v>3900</v>
      </c>
      <c r="B986" s="69" t="s">
        <v>562</v>
      </c>
      <c r="C986" s="69" t="s">
        <v>4488</v>
      </c>
      <c r="D986" s="96" t="s">
        <v>563</v>
      </c>
      <c r="E986" s="210">
        <v>1</v>
      </c>
      <c r="F986" s="122">
        <v>185</v>
      </c>
      <c r="G986" s="122">
        <v>212.75</v>
      </c>
      <c r="H986" s="208">
        <v>212.75</v>
      </c>
      <c r="I986" s="215"/>
      <c r="J986" s="215">
        <v>0</v>
      </c>
      <c r="K986" s="215">
        <v>212.75</v>
      </c>
      <c r="L986" s="216">
        <v>185</v>
      </c>
    </row>
    <row r="987" spans="1:12" hidden="1">
      <c r="A987" s="209" t="s">
        <v>3900</v>
      </c>
      <c r="B987" s="69" t="s">
        <v>50</v>
      </c>
      <c r="C987" s="69" t="s">
        <v>4489</v>
      </c>
      <c r="D987" s="96" t="s">
        <v>51</v>
      </c>
      <c r="E987" s="210">
        <v>1</v>
      </c>
      <c r="F987" s="122">
        <v>19.100000000000001</v>
      </c>
      <c r="G987" s="122">
        <v>22</v>
      </c>
      <c r="H987" s="208">
        <v>22</v>
      </c>
      <c r="I987" s="215"/>
      <c r="J987" s="215">
        <v>0</v>
      </c>
      <c r="K987" s="215">
        <v>22</v>
      </c>
      <c r="L987" s="216">
        <v>19.100000000000001</v>
      </c>
    </row>
    <row r="988" spans="1:12" hidden="1">
      <c r="A988" s="209" t="s">
        <v>3900</v>
      </c>
      <c r="B988" s="69" t="s">
        <v>1158</v>
      </c>
      <c r="C988" s="69" t="s">
        <v>4490</v>
      </c>
      <c r="D988" s="96" t="s">
        <v>1159</v>
      </c>
      <c r="E988" s="210">
        <v>1</v>
      </c>
      <c r="F988" s="122">
        <v>21.88</v>
      </c>
      <c r="G988" s="122">
        <v>25.25</v>
      </c>
      <c r="H988" s="208">
        <v>25.25</v>
      </c>
      <c r="I988" s="215"/>
      <c r="J988" s="215">
        <v>0</v>
      </c>
      <c r="K988" s="215">
        <v>25.25</v>
      </c>
      <c r="L988" s="216">
        <v>21.88</v>
      </c>
    </row>
    <row r="989" spans="1:12" hidden="1">
      <c r="A989" s="209" t="s">
        <v>3900</v>
      </c>
      <c r="B989" s="69" t="s">
        <v>2589</v>
      </c>
      <c r="C989" s="69" t="s">
        <v>4491</v>
      </c>
      <c r="D989" s="96" t="s">
        <v>2590</v>
      </c>
      <c r="E989" s="210">
        <v>12</v>
      </c>
      <c r="F989" s="122">
        <v>5.41</v>
      </c>
      <c r="G989" s="122">
        <v>6.25</v>
      </c>
      <c r="H989" s="208">
        <v>75</v>
      </c>
      <c r="I989" s="215"/>
      <c r="J989" s="215">
        <v>0</v>
      </c>
      <c r="K989" s="215">
        <v>75</v>
      </c>
      <c r="L989" s="216">
        <v>64.92</v>
      </c>
    </row>
    <row r="990" spans="1:12" hidden="1">
      <c r="A990" s="209" t="s">
        <v>3900</v>
      </c>
      <c r="B990" s="69" t="s">
        <v>2603</v>
      </c>
      <c r="C990" s="69" t="s">
        <v>4491</v>
      </c>
      <c r="D990" s="96" t="s">
        <v>2604</v>
      </c>
      <c r="E990" s="210">
        <v>1</v>
      </c>
      <c r="F990" s="122">
        <v>38.25</v>
      </c>
      <c r="G990" s="122">
        <v>44</v>
      </c>
      <c r="H990" s="208">
        <v>44</v>
      </c>
      <c r="I990" s="215"/>
      <c r="J990" s="215">
        <v>0</v>
      </c>
      <c r="K990" s="215">
        <v>44</v>
      </c>
      <c r="L990" s="216">
        <v>38.25</v>
      </c>
    </row>
    <row r="991" spans="1:12" hidden="1">
      <c r="A991" s="209" t="s">
        <v>3900</v>
      </c>
      <c r="B991" s="69" t="s">
        <v>308</v>
      </c>
      <c r="C991" s="69" t="s">
        <v>4492</v>
      </c>
      <c r="D991" s="96" t="s">
        <v>309</v>
      </c>
      <c r="E991" s="210">
        <v>1</v>
      </c>
      <c r="F991" s="122">
        <v>137.75</v>
      </c>
      <c r="G991" s="122">
        <v>158.5</v>
      </c>
      <c r="H991" s="208">
        <v>158.5</v>
      </c>
      <c r="I991" s="215"/>
      <c r="J991" s="215">
        <v>0</v>
      </c>
      <c r="K991" s="215">
        <v>158.5</v>
      </c>
      <c r="L991" s="216">
        <v>137.75</v>
      </c>
    </row>
    <row r="992" spans="1:12" hidden="1">
      <c r="A992" s="209" t="s">
        <v>3900</v>
      </c>
      <c r="B992" s="69" t="s">
        <v>1156</v>
      </c>
      <c r="C992" s="69" t="s">
        <v>4493</v>
      </c>
      <c r="D992" s="96" t="s">
        <v>1157</v>
      </c>
      <c r="E992" s="210">
        <v>1</v>
      </c>
      <c r="F992" s="122">
        <v>21.88</v>
      </c>
      <c r="G992" s="122">
        <v>25.25</v>
      </c>
      <c r="H992" s="208">
        <v>25.25</v>
      </c>
      <c r="I992" s="215"/>
      <c r="J992" s="215">
        <v>0</v>
      </c>
      <c r="K992" s="215">
        <v>25.25</v>
      </c>
      <c r="L992" s="216">
        <v>21.88</v>
      </c>
    </row>
    <row r="993" spans="1:12" hidden="1">
      <c r="A993" s="209" t="s">
        <v>3900</v>
      </c>
      <c r="B993" s="69" t="s">
        <v>102</v>
      </c>
      <c r="C993" s="69" t="s">
        <v>4494</v>
      </c>
      <c r="D993" s="96" t="s">
        <v>103</v>
      </c>
      <c r="E993" s="210">
        <v>1</v>
      </c>
      <c r="F993" s="122">
        <v>7.06</v>
      </c>
      <c r="G993" s="122">
        <v>8.25</v>
      </c>
      <c r="H993" s="208">
        <v>8.25</v>
      </c>
      <c r="I993" s="215"/>
      <c r="J993" s="215">
        <v>0</v>
      </c>
      <c r="K993" s="215">
        <v>8.25</v>
      </c>
      <c r="L993" s="216">
        <v>7.06</v>
      </c>
    </row>
    <row r="994" spans="1:12" hidden="1">
      <c r="A994" s="209" t="s">
        <v>3900</v>
      </c>
      <c r="B994" s="69" t="s">
        <v>3866</v>
      </c>
      <c r="C994" s="69" t="s">
        <v>4495</v>
      </c>
      <c r="D994" s="96" t="s">
        <v>4116</v>
      </c>
      <c r="E994" s="210">
        <v>2</v>
      </c>
      <c r="F994" s="122">
        <v>47</v>
      </c>
      <c r="G994" s="122">
        <v>60</v>
      </c>
      <c r="H994" s="208">
        <v>120</v>
      </c>
      <c r="I994" s="215"/>
      <c r="J994" s="215">
        <v>0</v>
      </c>
      <c r="K994" s="215">
        <v>120</v>
      </c>
      <c r="L994" s="216">
        <v>94</v>
      </c>
    </row>
    <row r="995" spans="1:12" hidden="1">
      <c r="A995" s="209" t="s">
        <v>3900</v>
      </c>
      <c r="B995" s="69" t="s">
        <v>3865</v>
      </c>
      <c r="C995" s="69" t="s">
        <v>4495</v>
      </c>
      <c r="D995" s="96" t="s">
        <v>4115</v>
      </c>
      <c r="E995" s="210">
        <v>1</v>
      </c>
      <c r="F995" s="122">
        <v>40</v>
      </c>
      <c r="G995" s="122">
        <v>60</v>
      </c>
      <c r="H995" s="208">
        <v>60</v>
      </c>
      <c r="I995" s="215"/>
      <c r="J995" s="215">
        <v>0</v>
      </c>
      <c r="K995" s="215">
        <v>60</v>
      </c>
      <c r="L995" s="216">
        <v>40</v>
      </c>
    </row>
    <row r="996" spans="1:12" hidden="1">
      <c r="A996" s="209" t="s">
        <v>3900</v>
      </c>
      <c r="B996" s="69" t="s">
        <v>3859</v>
      </c>
      <c r="C996" s="69" t="s">
        <v>4495</v>
      </c>
      <c r="D996" s="96" t="s">
        <v>4108</v>
      </c>
      <c r="E996" s="210">
        <v>1</v>
      </c>
      <c r="F996" s="122">
        <v>195</v>
      </c>
      <c r="G996" s="122">
        <v>250</v>
      </c>
      <c r="H996" s="208">
        <v>250</v>
      </c>
      <c r="I996" s="215"/>
      <c r="J996" s="215">
        <v>0</v>
      </c>
      <c r="K996" s="215">
        <v>250</v>
      </c>
      <c r="L996" s="216">
        <v>195</v>
      </c>
    </row>
    <row r="997" spans="1:12" hidden="1">
      <c r="A997" s="209" t="s">
        <v>3900</v>
      </c>
      <c r="B997" s="69" t="s">
        <v>3901</v>
      </c>
      <c r="C997" s="69" t="s">
        <v>4495</v>
      </c>
      <c r="D997" s="96" t="s">
        <v>4496</v>
      </c>
      <c r="E997" s="210">
        <v>1</v>
      </c>
      <c r="F997" s="122">
        <v>225</v>
      </c>
      <c r="G997" s="122">
        <v>300</v>
      </c>
      <c r="H997" s="208">
        <v>300</v>
      </c>
      <c r="I997" s="215"/>
      <c r="J997" s="215">
        <v>0</v>
      </c>
      <c r="K997" s="215">
        <v>300</v>
      </c>
      <c r="L997" s="216">
        <v>225</v>
      </c>
    </row>
    <row r="998" spans="1:12" hidden="1">
      <c r="A998" s="209" t="s">
        <v>3900</v>
      </c>
      <c r="B998" s="69" t="s">
        <v>267</v>
      </c>
      <c r="C998" s="69" t="s">
        <v>4495</v>
      </c>
      <c r="D998" s="96" t="s">
        <v>268</v>
      </c>
      <c r="E998" s="210">
        <v>6</v>
      </c>
      <c r="F998" s="122">
        <v>60</v>
      </c>
      <c r="G998" s="122">
        <v>75</v>
      </c>
      <c r="H998" s="208">
        <v>450</v>
      </c>
      <c r="I998" s="215"/>
      <c r="J998" s="215">
        <v>0</v>
      </c>
      <c r="K998" s="215">
        <v>450</v>
      </c>
      <c r="L998" s="216">
        <v>360</v>
      </c>
    </row>
    <row r="999" spans="1:12" hidden="1">
      <c r="A999" s="209" t="s">
        <v>3900</v>
      </c>
      <c r="B999" s="69" t="s">
        <v>2961</v>
      </c>
      <c r="C999" s="69" t="s">
        <v>4495</v>
      </c>
      <c r="D999" s="96" t="s">
        <v>2962</v>
      </c>
      <c r="E999" s="210">
        <v>1</v>
      </c>
      <c r="F999" s="122">
        <v>90</v>
      </c>
      <c r="G999" s="122">
        <v>120</v>
      </c>
      <c r="H999" s="208">
        <v>120</v>
      </c>
      <c r="I999" s="215"/>
      <c r="J999" s="215">
        <v>0</v>
      </c>
      <c r="K999" s="215">
        <v>120</v>
      </c>
      <c r="L999" s="216">
        <v>90</v>
      </c>
    </row>
    <row r="1000" spans="1:12" hidden="1">
      <c r="A1000" s="209" t="s">
        <v>3900</v>
      </c>
      <c r="B1000" s="69" t="s">
        <v>3864</v>
      </c>
      <c r="C1000" s="69" t="s">
        <v>4495</v>
      </c>
      <c r="D1000" s="96" t="s">
        <v>4114</v>
      </c>
      <c r="E1000" s="210">
        <v>2</v>
      </c>
      <c r="F1000" s="122">
        <v>60</v>
      </c>
      <c r="G1000" s="122">
        <v>75</v>
      </c>
      <c r="H1000" s="208">
        <v>150</v>
      </c>
      <c r="I1000" s="215"/>
      <c r="J1000" s="215">
        <v>40</v>
      </c>
      <c r="K1000" s="215">
        <v>110</v>
      </c>
      <c r="L1000" s="216">
        <v>120</v>
      </c>
    </row>
    <row r="1001" spans="1:12" hidden="1">
      <c r="A1001" s="209" t="s">
        <v>3900</v>
      </c>
      <c r="B1001" s="69" t="s">
        <v>3863</v>
      </c>
      <c r="C1001" s="69" t="s">
        <v>4495</v>
      </c>
      <c r="D1001" s="96" t="s">
        <v>4113</v>
      </c>
      <c r="E1001" s="210">
        <v>2</v>
      </c>
      <c r="F1001" s="122">
        <v>50</v>
      </c>
      <c r="G1001" s="122">
        <v>65</v>
      </c>
      <c r="H1001" s="208">
        <v>130</v>
      </c>
      <c r="I1001" s="215"/>
      <c r="J1001" s="215">
        <v>0</v>
      </c>
      <c r="K1001" s="215">
        <v>130</v>
      </c>
      <c r="L1001" s="216">
        <v>100</v>
      </c>
    </row>
    <row r="1002" spans="1:12" hidden="1">
      <c r="A1002" s="209" t="s">
        <v>3900</v>
      </c>
      <c r="B1002" s="69" t="s">
        <v>3902</v>
      </c>
      <c r="C1002" s="69" t="s">
        <v>4495</v>
      </c>
      <c r="D1002" s="96" t="s">
        <v>4497</v>
      </c>
      <c r="E1002" s="210">
        <v>2</v>
      </c>
      <c r="F1002" s="122">
        <v>35</v>
      </c>
      <c r="G1002" s="122">
        <v>45</v>
      </c>
      <c r="H1002" s="208">
        <v>90</v>
      </c>
      <c r="I1002" s="215"/>
      <c r="J1002" s="215">
        <v>0</v>
      </c>
      <c r="K1002" s="215">
        <v>90</v>
      </c>
      <c r="L1002" s="216">
        <v>70</v>
      </c>
    </row>
    <row r="1003" spans="1:12" hidden="1">
      <c r="A1003" s="209" t="s">
        <v>3900</v>
      </c>
      <c r="B1003" s="69" t="s">
        <v>3871</v>
      </c>
      <c r="C1003" s="69" t="s">
        <v>4495</v>
      </c>
      <c r="D1003" s="96" t="s">
        <v>4149</v>
      </c>
      <c r="E1003" s="210">
        <v>2</v>
      </c>
      <c r="F1003" s="122">
        <v>30</v>
      </c>
      <c r="G1003" s="122">
        <v>45</v>
      </c>
      <c r="H1003" s="208">
        <v>90</v>
      </c>
      <c r="I1003" s="215"/>
      <c r="J1003" s="215">
        <v>0</v>
      </c>
      <c r="K1003" s="215">
        <v>90</v>
      </c>
      <c r="L1003" s="216">
        <v>60</v>
      </c>
    </row>
    <row r="1004" spans="1:12" hidden="1">
      <c r="A1004" s="209" t="s">
        <v>3900</v>
      </c>
      <c r="B1004" s="69" t="s">
        <v>205</v>
      </c>
      <c r="C1004" s="69" t="s">
        <v>4498</v>
      </c>
      <c r="D1004" s="96" t="s">
        <v>206</v>
      </c>
      <c r="E1004" s="210">
        <v>1</v>
      </c>
      <c r="F1004" s="122">
        <v>33.1</v>
      </c>
      <c r="G1004" s="122">
        <v>38.25</v>
      </c>
      <c r="H1004" s="208">
        <v>38.25</v>
      </c>
      <c r="I1004" s="215"/>
      <c r="J1004" s="215">
        <v>0</v>
      </c>
      <c r="K1004" s="215">
        <v>38.25</v>
      </c>
      <c r="L1004" s="216">
        <v>33.1</v>
      </c>
    </row>
    <row r="1005" spans="1:12" hidden="1">
      <c r="A1005" s="209" t="s">
        <v>3900</v>
      </c>
      <c r="B1005" s="69" t="s">
        <v>552</v>
      </c>
      <c r="C1005" s="69" t="s">
        <v>4499</v>
      </c>
      <c r="D1005" s="96" t="s">
        <v>553</v>
      </c>
      <c r="E1005" s="210">
        <v>1</v>
      </c>
      <c r="F1005" s="122">
        <v>7.41</v>
      </c>
      <c r="G1005" s="122">
        <v>8.75</v>
      </c>
      <c r="H1005" s="208">
        <v>8.75</v>
      </c>
      <c r="I1005" s="215"/>
      <c r="J1005" s="215">
        <v>0</v>
      </c>
      <c r="K1005" s="215">
        <v>8.75</v>
      </c>
      <c r="L1005" s="216">
        <v>7.41</v>
      </c>
    </row>
    <row r="1006" spans="1:12" hidden="1">
      <c r="A1006" s="209" t="s">
        <v>3900</v>
      </c>
      <c r="B1006" s="69" t="s">
        <v>377</v>
      </c>
      <c r="C1006" s="69" t="s">
        <v>4500</v>
      </c>
      <c r="D1006" s="96" t="s">
        <v>378</v>
      </c>
      <c r="E1006" s="210">
        <v>1</v>
      </c>
      <c r="F1006" s="122">
        <v>44.8</v>
      </c>
      <c r="G1006" s="122">
        <v>51.75</v>
      </c>
      <c r="H1006" s="208">
        <v>51.75</v>
      </c>
      <c r="I1006" s="215"/>
      <c r="J1006" s="215">
        <v>0</v>
      </c>
      <c r="K1006" s="215">
        <v>51.75</v>
      </c>
      <c r="L1006" s="216">
        <v>44.8</v>
      </c>
    </row>
    <row r="1007" spans="1:12" hidden="1">
      <c r="A1007" s="209" t="s">
        <v>3900</v>
      </c>
      <c r="B1007" s="69" t="s">
        <v>981</v>
      </c>
      <c r="C1007" s="69" t="s">
        <v>4500</v>
      </c>
      <c r="D1007" s="96" t="s">
        <v>982</v>
      </c>
      <c r="E1007" s="210">
        <v>2</v>
      </c>
      <c r="F1007" s="122">
        <v>13.32</v>
      </c>
      <c r="G1007" s="122">
        <v>15.5</v>
      </c>
      <c r="H1007" s="208">
        <v>31</v>
      </c>
      <c r="I1007" s="215"/>
      <c r="J1007" s="215">
        <v>0</v>
      </c>
      <c r="K1007" s="215">
        <v>31</v>
      </c>
      <c r="L1007" s="216">
        <v>26.64</v>
      </c>
    </row>
    <row r="1008" spans="1:12" hidden="1">
      <c r="A1008" s="209" t="s">
        <v>3900</v>
      </c>
      <c r="B1008" s="69" t="s">
        <v>3636</v>
      </c>
      <c r="C1008" s="69" t="s">
        <v>4501</v>
      </c>
      <c r="D1008" s="96" t="s">
        <v>3637</v>
      </c>
      <c r="E1008" s="210">
        <v>5</v>
      </c>
      <c r="F1008" s="122">
        <v>0.76</v>
      </c>
      <c r="G1008" s="122">
        <v>1</v>
      </c>
      <c r="H1008" s="208">
        <v>5</v>
      </c>
      <c r="I1008" s="215"/>
      <c r="J1008" s="215">
        <v>0</v>
      </c>
      <c r="K1008" s="215">
        <v>5</v>
      </c>
      <c r="L1008" s="216">
        <v>3.8</v>
      </c>
    </row>
    <row r="1009" spans="1:12" hidden="1">
      <c r="A1009" s="209" t="s">
        <v>3900</v>
      </c>
      <c r="B1009" s="69" t="s">
        <v>50</v>
      </c>
      <c r="C1009" s="69" t="s">
        <v>4502</v>
      </c>
      <c r="D1009" s="96" t="s">
        <v>51</v>
      </c>
      <c r="E1009" s="210">
        <v>1</v>
      </c>
      <c r="F1009" s="122">
        <v>19.100000000000001</v>
      </c>
      <c r="G1009" s="122">
        <v>22</v>
      </c>
      <c r="H1009" s="208">
        <v>22</v>
      </c>
      <c r="I1009" s="215"/>
      <c r="J1009" s="215">
        <v>0</v>
      </c>
      <c r="K1009" s="215">
        <v>22</v>
      </c>
      <c r="L1009" s="216">
        <v>19.100000000000001</v>
      </c>
    </row>
    <row r="1010" spans="1:12" hidden="1">
      <c r="A1010" s="209" t="s">
        <v>3900</v>
      </c>
      <c r="B1010" s="69" t="s">
        <v>1135</v>
      </c>
      <c r="C1010" s="69" t="s">
        <v>4503</v>
      </c>
      <c r="D1010" s="96" t="s">
        <v>1136</v>
      </c>
      <c r="E1010" s="210">
        <v>1</v>
      </c>
      <c r="F1010" s="122">
        <v>19</v>
      </c>
      <c r="G1010" s="122">
        <v>22</v>
      </c>
      <c r="H1010" s="208">
        <v>22</v>
      </c>
      <c r="I1010" s="215"/>
      <c r="J1010" s="215">
        <v>0</v>
      </c>
      <c r="K1010" s="215">
        <v>22</v>
      </c>
      <c r="L1010" s="216">
        <v>19</v>
      </c>
    </row>
    <row r="1011" spans="1:12" hidden="1">
      <c r="A1011" s="209" t="s">
        <v>3900</v>
      </c>
      <c r="B1011" s="69" t="s">
        <v>3336</v>
      </c>
      <c r="C1011" s="69" t="s">
        <v>4503</v>
      </c>
      <c r="D1011" s="96" t="s">
        <v>3337</v>
      </c>
      <c r="E1011" s="210">
        <v>2</v>
      </c>
      <c r="F1011" s="122">
        <v>3.6</v>
      </c>
      <c r="G1011" s="122">
        <v>4.25</v>
      </c>
      <c r="H1011" s="208">
        <v>8.5</v>
      </c>
      <c r="I1011" s="215"/>
      <c r="J1011" s="215">
        <v>0</v>
      </c>
      <c r="K1011" s="215">
        <v>8.5</v>
      </c>
      <c r="L1011" s="216">
        <v>7.2</v>
      </c>
    </row>
    <row r="1012" spans="1:12" hidden="1">
      <c r="A1012" s="209" t="s">
        <v>3900</v>
      </c>
      <c r="B1012" s="69" t="s">
        <v>3056</v>
      </c>
      <c r="C1012" s="69" t="s">
        <v>4503</v>
      </c>
      <c r="D1012" s="96" t="s">
        <v>3057</v>
      </c>
      <c r="E1012" s="210">
        <v>2</v>
      </c>
      <c r="F1012" s="122">
        <v>69.510000000000005</v>
      </c>
      <c r="G1012" s="122">
        <v>80</v>
      </c>
      <c r="H1012" s="208">
        <v>160</v>
      </c>
      <c r="I1012" s="215"/>
      <c r="J1012" s="215">
        <v>0</v>
      </c>
      <c r="K1012" s="215">
        <v>160</v>
      </c>
      <c r="L1012" s="216">
        <v>139.02000000000001</v>
      </c>
    </row>
    <row r="1013" spans="1:12" hidden="1">
      <c r="A1013" s="209" t="s">
        <v>3900</v>
      </c>
      <c r="B1013" s="69" t="s">
        <v>2684</v>
      </c>
      <c r="C1013" s="69" t="s">
        <v>4504</v>
      </c>
      <c r="D1013" s="96" t="s">
        <v>2685</v>
      </c>
      <c r="E1013" s="210">
        <v>1</v>
      </c>
      <c r="F1013" s="122">
        <v>11.32</v>
      </c>
      <c r="G1013" s="122">
        <v>13.25</v>
      </c>
      <c r="H1013" s="208">
        <v>13.25</v>
      </c>
      <c r="I1013" s="215"/>
      <c r="J1013" s="215">
        <v>0</v>
      </c>
      <c r="K1013" s="215">
        <v>13.25</v>
      </c>
      <c r="L1013" s="216">
        <v>11.32</v>
      </c>
    </row>
    <row r="1014" spans="1:12" hidden="1">
      <c r="A1014" s="209" t="s">
        <v>3900</v>
      </c>
      <c r="B1014" s="69" t="s">
        <v>2211</v>
      </c>
      <c r="C1014" s="69" t="s">
        <v>4504</v>
      </c>
      <c r="D1014" s="96" t="s">
        <v>2212</v>
      </c>
      <c r="E1014" s="210">
        <v>1</v>
      </c>
      <c r="F1014" s="122">
        <v>17.059999999999999</v>
      </c>
      <c r="G1014" s="122">
        <v>19.75</v>
      </c>
      <c r="H1014" s="208">
        <v>19.75</v>
      </c>
      <c r="I1014" s="215"/>
      <c r="J1014" s="215">
        <v>0</v>
      </c>
      <c r="K1014" s="215">
        <v>19.75</v>
      </c>
      <c r="L1014" s="216">
        <v>17.059999999999999</v>
      </c>
    </row>
    <row r="1015" spans="1:12" hidden="1">
      <c r="A1015" s="209" t="s">
        <v>3900</v>
      </c>
      <c r="B1015" s="69" t="s">
        <v>1931</v>
      </c>
      <c r="C1015" s="69" t="s">
        <v>4504</v>
      </c>
      <c r="D1015" s="96" t="s">
        <v>1932</v>
      </c>
      <c r="E1015" s="210">
        <v>1</v>
      </c>
      <c r="F1015" s="122">
        <v>10.95</v>
      </c>
      <c r="G1015" s="122">
        <v>12.75</v>
      </c>
      <c r="H1015" s="208">
        <v>12.75</v>
      </c>
      <c r="I1015" s="215"/>
      <c r="J1015" s="215">
        <v>0</v>
      </c>
      <c r="K1015" s="215">
        <v>12.75</v>
      </c>
      <c r="L1015" s="216">
        <v>10.95</v>
      </c>
    </row>
    <row r="1016" spans="1:12" hidden="1">
      <c r="A1016" s="209" t="s">
        <v>3900</v>
      </c>
      <c r="B1016" s="69" t="s">
        <v>2571</v>
      </c>
      <c r="C1016" s="69" t="s">
        <v>4504</v>
      </c>
      <c r="D1016" s="96" t="s">
        <v>2572</v>
      </c>
      <c r="E1016" s="210">
        <v>1</v>
      </c>
      <c r="F1016" s="122">
        <v>11.17</v>
      </c>
      <c r="G1016" s="122">
        <v>13</v>
      </c>
      <c r="H1016" s="208">
        <v>13</v>
      </c>
      <c r="I1016" s="215"/>
      <c r="J1016" s="215">
        <v>0</v>
      </c>
      <c r="K1016" s="215">
        <v>13</v>
      </c>
      <c r="L1016" s="216">
        <v>11.17</v>
      </c>
    </row>
    <row r="1017" spans="1:12" hidden="1">
      <c r="A1017" s="209" t="s">
        <v>3900</v>
      </c>
      <c r="B1017" s="69" t="s">
        <v>1413</v>
      </c>
      <c r="C1017" s="69" t="s">
        <v>4505</v>
      </c>
      <c r="D1017" s="96" t="s">
        <v>1414</v>
      </c>
      <c r="E1017" s="210">
        <v>1</v>
      </c>
      <c r="F1017" s="122">
        <v>46</v>
      </c>
      <c r="G1017" s="122">
        <v>55.75</v>
      </c>
      <c r="H1017" s="208">
        <v>55.75</v>
      </c>
      <c r="I1017" s="215"/>
      <c r="J1017" s="215">
        <v>0</v>
      </c>
      <c r="K1017" s="215">
        <v>55.75</v>
      </c>
      <c r="L1017" s="216">
        <v>46</v>
      </c>
    </row>
    <row r="1018" spans="1:12" hidden="1">
      <c r="A1018" s="209" t="s">
        <v>3900</v>
      </c>
      <c r="B1018" s="69" t="s">
        <v>2595</v>
      </c>
      <c r="C1018" s="69" t="s">
        <v>4506</v>
      </c>
      <c r="D1018" s="96" t="s">
        <v>2596</v>
      </c>
      <c r="E1018" s="210">
        <v>6</v>
      </c>
      <c r="F1018" s="122">
        <v>6.38</v>
      </c>
      <c r="G1018" s="122">
        <v>7.5</v>
      </c>
      <c r="H1018" s="208">
        <v>45</v>
      </c>
      <c r="I1018" s="215"/>
      <c r="J1018" s="215">
        <v>0</v>
      </c>
      <c r="K1018" s="215">
        <v>45</v>
      </c>
      <c r="L1018" s="216">
        <v>38.28</v>
      </c>
    </row>
    <row r="1019" spans="1:12" hidden="1">
      <c r="A1019" s="209" t="s">
        <v>3900</v>
      </c>
      <c r="B1019" s="69" t="s">
        <v>2589</v>
      </c>
      <c r="C1019" s="69" t="s">
        <v>4506</v>
      </c>
      <c r="D1019" s="96" t="s">
        <v>2590</v>
      </c>
      <c r="E1019" s="210">
        <v>6</v>
      </c>
      <c r="F1019" s="122">
        <v>5.41</v>
      </c>
      <c r="G1019" s="122">
        <v>6.25</v>
      </c>
      <c r="H1019" s="208">
        <v>37.5</v>
      </c>
      <c r="I1019" s="215"/>
      <c r="J1019" s="215">
        <v>0</v>
      </c>
      <c r="K1019" s="215">
        <v>37.5</v>
      </c>
      <c r="L1019" s="216">
        <v>32.46</v>
      </c>
    </row>
    <row r="1020" spans="1:12" hidden="1">
      <c r="A1020" s="209" t="s">
        <v>3900</v>
      </c>
      <c r="B1020" s="69" t="s">
        <v>3903</v>
      </c>
      <c r="C1020" s="69" t="s">
        <v>4506</v>
      </c>
      <c r="D1020" s="96" t="s">
        <v>4507</v>
      </c>
      <c r="E1020" s="210">
        <v>50</v>
      </c>
      <c r="F1020" s="122">
        <v>7.73</v>
      </c>
      <c r="G1020" s="122">
        <v>9.25</v>
      </c>
      <c r="H1020" s="208">
        <v>462.5</v>
      </c>
      <c r="I1020" s="215"/>
      <c r="J1020" s="215">
        <v>0</v>
      </c>
      <c r="K1020" s="215">
        <v>462.5</v>
      </c>
      <c r="L1020" s="216">
        <v>386.5</v>
      </c>
    </row>
    <row r="1021" spans="1:12" hidden="1">
      <c r="A1021" s="209" t="s">
        <v>3900</v>
      </c>
      <c r="B1021" s="69" t="s">
        <v>3904</v>
      </c>
      <c r="C1021" s="69" t="s">
        <v>4506</v>
      </c>
      <c r="D1021" s="96" t="s">
        <v>4508</v>
      </c>
      <c r="E1021" s="210">
        <v>100</v>
      </c>
      <c r="F1021" s="122">
        <v>1.29</v>
      </c>
      <c r="G1021" s="122">
        <v>1.55</v>
      </c>
      <c r="H1021" s="208">
        <v>155</v>
      </c>
      <c r="I1021" s="215"/>
      <c r="J1021" s="215">
        <v>0</v>
      </c>
      <c r="K1021" s="215">
        <v>155</v>
      </c>
      <c r="L1021" s="216">
        <v>129</v>
      </c>
    </row>
    <row r="1022" spans="1:12" hidden="1">
      <c r="A1022" s="209" t="s">
        <v>3900</v>
      </c>
      <c r="B1022" s="69" t="s">
        <v>1057</v>
      </c>
      <c r="C1022" s="69" t="s">
        <v>4506</v>
      </c>
      <c r="D1022" s="96" t="s">
        <v>1058</v>
      </c>
      <c r="E1022" s="210">
        <v>1</v>
      </c>
      <c r="F1022" s="122">
        <v>140</v>
      </c>
      <c r="G1022" s="122">
        <v>161</v>
      </c>
      <c r="H1022" s="208">
        <v>161</v>
      </c>
      <c r="I1022" s="215"/>
      <c r="J1022" s="215">
        <v>0</v>
      </c>
      <c r="K1022" s="215">
        <v>161</v>
      </c>
      <c r="L1022" s="216">
        <v>140</v>
      </c>
    </row>
    <row r="1023" spans="1:12" hidden="1">
      <c r="A1023" s="209" t="s">
        <v>3900</v>
      </c>
      <c r="B1023" s="69" t="s">
        <v>1582</v>
      </c>
      <c r="C1023" s="69" t="s">
        <v>4509</v>
      </c>
      <c r="D1023" s="96" t="s">
        <v>1583</v>
      </c>
      <c r="E1023" s="210">
        <v>12</v>
      </c>
      <c r="F1023" s="122">
        <v>6.12</v>
      </c>
      <c r="G1023" s="122">
        <v>7.25</v>
      </c>
      <c r="H1023" s="208">
        <v>87</v>
      </c>
      <c r="I1023" s="215"/>
      <c r="J1023" s="215">
        <v>0</v>
      </c>
      <c r="K1023" s="215">
        <v>87</v>
      </c>
      <c r="L1023" s="216">
        <v>73.44</v>
      </c>
    </row>
    <row r="1024" spans="1:12" hidden="1">
      <c r="A1024" s="209" t="s">
        <v>3900</v>
      </c>
      <c r="B1024" s="69" t="s">
        <v>1580</v>
      </c>
      <c r="C1024" s="69" t="s">
        <v>4509</v>
      </c>
      <c r="D1024" s="96" t="s">
        <v>1581</v>
      </c>
      <c r="E1024" s="210">
        <v>12</v>
      </c>
      <c r="F1024" s="122">
        <v>6.02</v>
      </c>
      <c r="G1024" s="122">
        <v>7.25</v>
      </c>
      <c r="H1024" s="208">
        <v>87</v>
      </c>
      <c r="I1024" s="215"/>
      <c r="J1024" s="215">
        <v>0</v>
      </c>
      <c r="K1024" s="215">
        <v>87</v>
      </c>
      <c r="L1024" s="216">
        <v>72.239999999999995</v>
      </c>
    </row>
    <row r="1025" spans="1:12" hidden="1">
      <c r="A1025" s="209" t="s">
        <v>3900</v>
      </c>
      <c r="B1025" s="69" t="s">
        <v>1604</v>
      </c>
      <c r="C1025" s="69" t="s">
        <v>4509</v>
      </c>
      <c r="D1025" s="96" t="s">
        <v>1605</v>
      </c>
      <c r="E1025" s="210">
        <v>4</v>
      </c>
      <c r="F1025" s="122">
        <v>21.84</v>
      </c>
      <c r="G1025" s="122">
        <v>25.25</v>
      </c>
      <c r="H1025" s="208">
        <v>101</v>
      </c>
      <c r="I1025" s="215"/>
      <c r="J1025" s="215">
        <v>0</v>
      </c>
      <c r="K1025" s="215">
        <v>101</v>
      </c>
      <c r="L1025" s="216">
        <v>87.36</v>
      </c>
    </row>
    <row r="1026" spans="1:12" hidden="1">
      <c r="A1026" s="209" t="s">
        <v>3905</v>
      </c>
      <c r="B1026" s="69" t="s">
        <v>3636</v>
      </c>
      <c r="C1026" s="69" t="s">
        <v>4510</v>
      </c>
      <c r="D1026" s="96" t="s">
        <v>3637</v>
      </c>
      <c r="E1026" s="210">
        <v>5</v>
      </c>
      <c r="F1026" s="122">
        <v>0.76</v>
      </c>
      <c r="G1026" s="122">
        <v>1</v>
      </c>
      <c r="H1026" s="208">
        <v>5</v>
      </c>
      <c r="I1026" s="215"/>
      <c r="J1026" s="215">
        <v>0</v>
      </c>
      <c r="K1026" s="215">
        <v>5</v>
      </c>
      <c r="L1026" s="216">
        <v>3.8</v>
      </c>
    </row>
    <row r="1027" spans="1:12" hidden="1">
      <c r="A1027" s="209" t="s">
        <v>3905</v>
      </c>
      <c r="B1027" s="69" t="s">
        <v>1211</v>
      </c>
      <c r="C1027" s="69" t="s">
        <v>4511</v>
      </c>
      <c r="D1027" s="96" t="s">
        <v>1212</v>
      </c>
      <c r="E1027" s="210">
        <v>1</v>
      </c>
      <c r="F1027" s="122">
        <v>34.51</v>
      </c>
      <c r="G1027" s="122">
        <v>41</v>
      </c>
      <c r="H1027" s="208">
        <v>41</v>
      </c>
      <c r="I1027" s="215"/>
      <c r="J1027" s="215">
        <v>0</v>
      </c>
      <c r="K1027" s="215">
        <v>41</v>
      </c>
      <c r="L1027" s="216">
        <v>34.51</v>
      </c>
    </row>
    <row r="1028" spans="1:12" hidden="1">
      <c r="A1028" s="209" t="s">
        <v>3905</v>
      </c>
      <c r="B1028" s="69" t="s">
        <v>736</v>
      </c>
      <c r="C1028" s="69" t="s">
        <v>4512</v>
      </c>
      <c r="D1028" s="96" t="s">
        <v>737</v>
      </c>
      <c r="E1028" s="210">
        <v>1</v>
      </c>
      <c r="F1028" s="122">
        <v>22.19</v>
      </c>
      <c r="G1028" s="122">
        <v>25.5</v>
      </c>
      <c r="H1028" s="208">
        <v>25.5</v>
      </c>
      <c r="I1028" s="215"/>
      <c r="J1028" s="215">
        <v>0</v>
      </c>
      <c r="K1028" s="215">
        <v>25.5</v>
      </c>
      <c r="L1028" s="216">
        <v>22.19</v>
      </c>
    </row>
    <row r="1029" spans="1:12" hidden="1">
      <c r="A1029" s="209" t="s">
        <v>3905</v>
      </c>
      <c r="B1029" s="69" t="s">
        <v>550</v>
      </c>
      <c r="C1029" s="69" t="s">
        <v>4512</v>
      </c>
      <c r="D1029" s="96" t="s">
        <v>551</v>
      </c>
      <c r="E1029" s="210">
        <v>1</v>
      </c>
      <c r="F1029" s="122">
        <v>7.48</v>
      </c>
      <c r="G1029" s="122">
        <v>8.75</v>
      </c>
      <c r="H1029" s="208">
        <v>8.75</v>
      </c>
      <c r="I1029" s="215"/>
      <c r="J1029" s="215">
        <v>0</v>
      </c>
      <c r="K1029" s="215">
        <v>8.75</v>
      </c>
      <c r="L1029" s="216">
        <v>7.48</v>
      </c>
    </row>
    <row r="1030" spans="1:12" hidden="1">
      <c r="A1030" s="209" t="s">
        <v>3905</v>
      </c>
      <c r="B1030" s="69" t="s">
        <v>287</v>
      </c>
      <c r="C1030" s="69" t="s">
        <v>4512</v>
      </c>
      <c r="D1030" s="96" t="s">
        <v>288</v>
      </c>
      <c r="E1030" s="210">
        <v>1</v>
      </c>
      <c r="F1030" s="122">
        <v>34.47</v>
      </c>
      <c r="G1030" s="122">
        <v>39.75</v>
      </c>
      <c r="H1030" s="208">
        <v>39.75</v>
      </c>
      <c r="I1030" s="215"/>
      <c r="J1030" s="215">
        <v>0</v>
      </c>
      <c r="K1030" s="215">
        <v>39.75</v>
      </c>
      <c r="L1030" s="216">
        <v>34.47</v>
      </c>
    </row>
    <row r="1031" spans="1:12" hidden="1">
      <c r="A1031" s="209" t="s">
        <v>3905</v>
      </c>
      <c r="B1031" s="69" t="s">
        <v>271</v>
      </c>
      <c r="C1031" s="69" t="s">
        <v>4512</v>
      </c>
      <c r="D1031" s="96" t="s">
        <v>272</v>
      </c>
      <c r="E1031" s="210">
        <v>1</v>
      </c>
      <c r="F1031" s="122">
        <v>31.6</v>
      </c>
      <c r="G1031" s="122">
        <v>36.33</v>
      </c>
      <c r="H1031" s="208">
        <v>36.33</v>
      </c>
      <c r="I1031" s="215"/>
      <c r="J1031" s="215">
        <v>0</v>
      </c>
      <c r="K1031" s="215">
        <v>36.33</v>
      </c>
      <c r="L1031" s="216">
        <v>31.6</v>
      </c>
    </row>
    <row r="1032" spans="1:12" hidden="1">
      <c r="A1032" s="209" t="s">
        <v>3905</v>
      </c>
      <c r="B1032" s="69" t="s">
        <v>3286</v>
      </c>
      <c r="C1032" s="69" t="s">
        <v>4512</v>
      </c>
      <c r="D1032" s="96" t="s">
        <v>3287</v>
      </c>
      <c r="E1032" s="210">
        <v>2</v>
      </c>
      <c r="F1032" s="122">
        <v>19.47</v>
      </c>
      <c r="G1032" s="122">
        <v>23</v>
      </c>
      <c r="H1032" s="208">
        <v>46</v>
      </c>
      <c r="I1032" s="215"/>
      <c r="J1032" s="215">
        <v>0</v>
      </c>
      <c r="K1032" s="215">
        <v>46</v>
      </c>
      <c r="L1032" s="216">
        <v>38.94</v>
      </c>
    </row>
    <row r="1033" spans="1:12" hidden="1">
      <c r="A1033" s="209" t="s">
        <v>3905</v>
      </c>
      <c r="B1033" s="69" t="s">
        <v>1439</v>
      </c>
      <c r="C1033" s="69" t="s">
        <v>4513</v>
      </c>
      <c r="D1033" s="96" t="s">
        <v>1440</v>
      </c>
      <c r="E1033" s="210">
        <v>1</v>
      </c>
      <c r="F1033" s="122">
        <v>41.72</v>
      </c>
      <c r="G1033" s="122">
        <v>48</v>
      </c>
      <c r="H1033" s="208">
        <v>48</v>
      </c>
      <c r="I1033" s="215"/>
      <c r="J1033" s="215">
        <v>0</v>
      </c>
      <c r="K1033" s="215">
        <v>48</v>
      </c>
      <c r="L1033" s="216">
        <v>41.72</v>
      </c>
    </row>
    <row r="1034" spans="1:12" hidden="1">
      <c r="A1034" s="209" t="s">
        <v>3905</v>
      </c>
      <c r="B1034" s="69" t="s">
        <v>108</v>
      </c>
      <c r="C1034" s="69" t="s">
        <v>4514</v>
      </c>
      <c r="D1034" s="96" t="s">
        <v>109</v>
      </c>
      <c r="E1034" s="210">
        <v>1</v>
      </c>
      <c r="F1034" s="122">
        <v>7.06</v>
      </c>
      <c r="G1034" s="122">
        <v>8.25</v>
      </c>
      <c r="H1034" s="208">
        <v>8.25</v>
      </c>
      <c r="I1034" s="215"/>
      <c r="J1034" s="215">
        <v>0</v>
      </c>
      <c r="K1034" s="215">
        <v>8.25</v>
      </c>
      <c r="L1034" s="216">
        <v>7.06</v>
      </c>
    </row>
    <row r="1035" spans="1:12" hidden="1">
      <c r="A1035" s="209" t="s">
        <v>3905</v>
      </c>
      <c r="B1035" s="69" t="s">
        <v>2961</v>
      </c>
      <c r="C1035" s="69" t="s">
        <v>4515</v>
      </c>
      <c r="D1035" s="96" t="s">
        <v>2962</v>
      </c>
      <c r="E1035" s="210">
        <v>1</v>
      </c>
      <c r="F1035" s="122">
        <v>90</v>
      </c>
      <c r="G1035" s="122">
        <v>120</v>
      </c>
      <c r="H1035" s="208">
        <v>120</v>
      </c>
      <c r="I1035" s="215"/>
      <c r="J1035" s="215">
        <v>0</v>
      </c>
      <c r="K1035" s="215">
        <v>120</v>
      </c>
      <c r="L1035" s="216">
        <v>90</v>
      </c>
    </row>
    <row r="1036" spans="1:12" hidden="1">
      <c r="A1036" s="209" t="s">
        <v>3905</v>
      </c>
      <c r="B1036" s="69" t="s">
        <v>664</v>
      </c>
      <c r="C1036" s="69" t="s">
        <v>4516</v>
      </c>
      <c r="D1036" s="96" t="s">
        <v>665</v>
      </c>
      <c r="E1036" s="210">
        <v>1</v>
      </c>
      <c r="F1036" s="122">
        <v>68.5</v>
      </c>
      <c r="G1036" s="122">
        <v>79</v>
      </c>
      <c r="H1036" s="208">
        <v>79</v>
      </c>
      <c r="I1036" s="215"/>
      <c r="J1036" s="215">
        <v>0</v>
      </c>
      <c r="K1036" s="215">
        <v>79</v>
      </c>
      <c r="L1036" s="216">
        <v>68.5</v>
      </c>
    </row>
    <row r="1037" spans="1:12" hidden="1">
      <c r="A1037" s="209" t="s">
        <v>3905</v>
      </c>
      <c r="B1037" s="69" t="s">
        <v>3889</v>
      </c>
      <c r="C1037" s="69" t="s">
        <v>4517</v>
      </c>
      <c r="D1037" s="96" t="s">
        <v>4372</v>
      </c>
      <c r="E1037" s="210">
        <v>1</v>
      </c>
      <c r="F1037" s="122">
        <v>5.61</v>
      </c>
      <c r="G1037" s="122">
        <v>6.5</v>
      </c>
      <c r="H1037" s="208">
        <v>6.5</v>
      </c>
      <c r="I1037" s="215"/>
      <c r="J1037" s="215">
        <v>0</v>
      </c>
      <c r="K1037" s="215">
        <v>6.5</v>
      </c>
      <c r="L1037" s="216">
        <v>5.61</v>
      </c>
    </row>
    <row r="1038" spans="1:12" hidden="1">
      <c r="A1038" s="209" t="s">
        <v>3905</v>
      </c>
      <c r="B1038" s="69" t="s">
        <v>3906</v>
      </c>
      <c r="C1038" s="69" t="s">
        <v>4518</v>
      </c>
      <c r="D1038" s="96" t="s">
        <v>4519</v>
      </c>
      <c r="E1038" s="210">
        <v>1</v>
      </c>
      <c r="F1038" s="122">
        <v>5.74</v>
      </c>
      <c r="G1038" s="122">
        <v>7</v>
      </c>
      <c r="H1038" s="208">
        <v>7</v>
      </c>
      <c r="I1038" s="215"/>
      <c r="J1038" s="215">
        <v>0</v>
      </c>
      <c r="K1038" s="215">
        <v>7</v>
      </c>
      <c r="L1038" s="216">
        <v>5.74</v>
      </c>
    </row>
    <row r="1039" spans="1:12" hidden="1">
      <c r="A1039" s="209" t="s">
        <v>3905</v>
      </c>
      <c r="B1039" s="69" t="s">
        <v>3894</v>
      </c>
      <c r="C1039" s="69" t="s">
        <v>4518</v>
      </c>
      <c r="D1039" s="96" t="s">
        <v>4400</v>
      </c>
      <c r="E1039" s="210">
        <v>1</v>
      </c>
      <c r="F1039" s="122">
        <v>5.61</v>
      </c>
      <c r="G1039" s="122">
        <v>6.5</v>
      </c>
      <c r="H1039" s="208">
        <v>6.5</v>
      </c>
      <c r="I1039" s="215"/>
      <c r="J1039" s="215">
        <v>0</v>
      </c>
      <c r="K1039" s="215">
        <v>6.5</v>
      </c>
      <c r="L1039" s="216">
        <v>5.61</v>
      </c>
    </row>
    <row r="1040" spans="1:12" hidden="1">
      <c r="A1040" s="209" t="s">
        <v>3905</v>
      </c>
      <c r="B1040" s="69" t="s">
        <v>917</v>
      </c>
      <c r="C1040" s="69" t="s">
        <v>4520</v>
      </c>
      <c r="D1040" s="96" t="s">
        <v>918</v>
      </c>
      <c r="E1040" s="210">
        <v>1</v>
      </c>
      <c r="F1040" s="122">
        <v>12.56</v>
      </c>
      <c r="G1040" s="122">
        <v>14.25</v>
      </c>
      <c r="H1040" s="208">
        <v>14.25</v>
      </c>
      <c r="I1040" s="215"/>
      <c r="J1040" s="215">
        <v>0</v>
      </c>
      <c r="K1040" s="215">
        <v>14.25</v>
      </c>
      <c r="L1040" s="216">
        <v>12.56</v>
      </c>
    </row>
    <row r="1041" spans="1:12" hidden="1">
      <c r="A1041" s="209" t="s">
        <v>3905</v>
      </c>
      <c r="B1041" s="69" t="s">
        <v>877</v>
      </c>
      <c r="C1041" s="69" t="s">
        <v>4521</v>
      </c>
      <c r="D1041" s="96" t="s">
        <v>878</v>
      </c>
      <c r="E1041" s="210">
        <v>1</v>
      </c>
      <c r="F1041" s="122">
        <v>8.1999999999999993</v>
      </c>
      <c r="G1041" s="122">
        <v>9.5</v>
      </c>
      <c r="H1041" s="208">
        <v>9.5</v>
      </c>
      <c r="I1041" s="215"/>
      <c r="J1041" s="215">
        <v>0</v>
      </c>
      <c r="K1041" s="215">
        <v>9.5</v>
      </c>
      <c r="L1041" s="216">
        <v>8.1999999999999993</v>
      </c>
    </row>
    <row r="1042" spans="1:12" hidden="1">
      <c r="A1042" s="209" t="s">
        <v>3905</v>
      </c>
      <c r="B1042" s="69" t="s">
        <v>3804</v>
      </c>
      <c r="C1042" s="69" t="s">
        <v>4522</v>
      </c>
      <c r="D1042" s="96" t="s">
        <v>3790</v>
      </c>
      <c r="E1042" s="210">
        <v>1</v>
      </c>
      <c r="F1042" s="122">
        <v>8.75</v>
      </c>
      <c r="G1042" s="122">
        <v>10.25</v>
      </c>
      <c r="H1042" s="208">
        <v>10.25</v>
      </c>
      <c r="I1042" s="215"/>
      <c r="J1042" s="215">
        <v>0</v>
      </c>
      <c r="K1042" s="215">
        <v>10.25</v>
      </c>
      <c r="L1042" s="216">
        <v>8.75</v>
      </c>
    </row>
    <row r="1043" spans="1:12" hidden="1">
      <c r="A1043" s="209" t="s">
        <v>3905</v>
      </c>
      <c r="B1043" s="69" t="s">
        <v>3336</v>
      </c>
      <c r="C1043" s="69" t="s">
        <v>4523</v>
      </c>
      <c r="D1043" s="96" t="s">
        <v>3337</v>
      </c>
      <c r="E1043" s="210">
        <v>2</v>
      </c>
      <c r="F1043" s="122">
        <v>3.6</v>
      </c>
      <c r="G1043" s="122">
        <v>4.25</v>
      </c>
      <c r="H1043" s="208">
        <v>8.5</v>
      </c>
      <c r="I1043" s="215"/>
      <c r="J1043" s="215">
        <v>0</v>
      </c>
      <c r="K1043" s="215">
        <v>8.5</v>
      </c>
      <c r="L1043" s="216">
        <v>7.2</v>
      </c>
    </row>
    <row r="1044" spans="1:12" hidden="1">
      <c r="A1044" s="209" t="s">
        <v>3905</v>
      </c>
      <c r="B1044" s="69" t="s">
        <v>3222</v>
      </c>
      <c r="C1044" s="69" t="s">
        <v>4524</v>
      </c>
      <c r="D1044" s="96" t="s">
        <v>3223</v>
      </c>
      <c r="E1044" s="210">
        <v>1</v>
      </c>
      <c r="F1044" s="122">
        <v>22.73</v>
      </c>
      <c r="G1044" s="122">
        <v>26.25</v>
      </c>
      <c r="H1044" s="208">
        <v>26.25</v>
      </c>
      <c r="I1044" s="215"/>
      <c r="J1044" s="215">
        <v>0</v>
      </c>
      <c r="K1044" s="215">
        <v>26.25</v>
      </c>
      <c r="L1044" s="216">
        <v>22.73</v>
      </c>
    </row>
    <row r="1045" spans="1:12" hidden="1">
      <c r="A1045" s="209" t="s">
        <v>3905</v>
      </c>
      <c r="B1045" s="69" t="s">
        <v>562</v>
      </c>
      <c r="C1045" s="69" t="s">
        <v>4525</v>
      </c>
      <c r="D1045" s="96" t="s">
        <v>563</v>
      </c>
      <c r="E1045" s="210">
        <v>1</v>
      </c>
      <c r="F1045" s="122">
        <v>185</v>
      </c>
      <c r="G1045" s="122">
        <v>212.75</v>
      </c>
      <c r="H1045" s="208">
        <v>212.75</v>
      </c>
      <c r="I1045" s="215"/>
      <c r="J1045" s="215">
        <v>0</v>
      </c>
      <c r="K1045" s="215">
        <v>212.75</v>
      </c>
      <c r="L1045" s="216">
        <v>185</v>
      </c>
    </row>
    <row r="1046" spans="1:12" hidden="1">
      <c r="A1046" s="209" t="s">
        <v>3905</v>
      </c>
      <c r="B1046" s="69" t="s">
        <v>96</v>
      </c>
      <c r="C1046" s="69" t="s">
        <v>4526</v>
      </c>
      <c r="D1046" s="96" t="s">
        <v>97</v>
      </c>
      <c r="E1046" s="210">
        <v>1</v>
      </c>
      <c r="F1046" s="122">
        <v>18.649999999999999</v>
      </c>
      <c r="G1046" s="122">
        <v>21.5</v>
      </c>
      <c r="H1046" s="208">
        <v>21.5</v>
      </c>
      <c r="I1046" s="215"/>
      <c r="J1046" s="215">
        <v>0</v>
      </c>
      <c r="K1046" s="215">
        <v>21.5</v>
      </c>
      <c r="L1046" s="216">
        <v>18.649999999999999</v>
      </c>
    </row>
    <row r="1047" spans="1:12" hidden="1">
      <c r="A1047" s="209" t="s">
        <v>3905</v>
      </c>
      <c r="B1047" s="69" t="s">
        <v>3808</v>
      </c>
      <c r="C1047" s="69" t="s">
        <v>4527</v>
      </c>
      <c r="D1047" s="96" t="s">
        <v>3795</v>
      </c>
      <c r="E1047" s="210">
        <v>1</v>
      </c>
      <c r="F1047" s="122">
        <v>115.88</v>
      </c>
      <c r="G1047" s="122">
        <v>133.5</v>
      </c>
      <c r="H1047" s="208">
        <v>133.5</v>
      </c>
      <c r="I1047" s="215"/>
      <c r="J1047" s="215">
        <v>0</v>
      </c>
      <c r="K1047" s="215">
        <v>133.5</v>
      </c>
      <c r="L1047" s="216">
        <v>115.88</v>
      </c>
    </row>
    <row r="1048" spans="1:12" hidden="1">
      <c r="A1048" s="209" t="s">
        <v>3905</v>
      </c>
      <c r="B1048" s="69" t="s">
        <v>3906</v>
      </c>
      <c r="C1048" s="69" t="s">
        <v>4527</v>
      </c>
      <c r="D1048" s="96" t="s">
        <v>4519</v>
      </c>
      <c r="E1048" s="210">
        <v>1</v>
      </c>
      <c r="F1048" s="122">
        <v>5.74</v>
      </c>
      <c r="G1048" s="122">
        <v>7</v>
      </c>
      <c r="H1048" s="208">
        <v>7</v>
      </c>
      <c r="I1048" s="215"/>
      <c r="J1048" s="215">
        <v>0</v>
      </c>
      <c r="K1048" s="215">
        <v>7</v>
      </c>
      <c r="L1048" s="216">
        <v>5.74</v>
      </c>
    </row>
    <row r="1049" spans="1:12" hidden="1">
      <c r="A1049" s="209" t="s">
        <v>3905</v>
      </c>
      <c r="B1049" s="69" t="s">
        <v>501</v>
      </c>
      <c r="C1049" s="69" t="s">
        <v>4527</v>
      </c>
      <c r="D1049" s="96" t="s">
        <v>502</v>
      </c>
      <c r="E1049" s="210">
        <v>1</v>
      </c>
      <c r="F1049" s="122">
        <v>57.4</v>
      </c>
      <c r="G1049" s="122">
        <v>66.25</v>
      </c>
      <c r="H1049" s="208">
        <v>66.25</v>
      </c>
      <c r="I1049" s="215"/>
      <c r="J1049" s="215">
        <v>0</v>
      </c>
      <c r="K1049" s="215">
        <v>66.25</v>
      </c>
      <c r="L1049" s="216">
        <v>57.4</v>
      </c>
    </row>
    <row r="1050" spans="1:12" hidden="1">
      <c r="A1050" s="209" t="s">
        <v>3905</v>
      </c>
      <c r="B1050" s="69" t="s">
        <v>377</v>
      </c>
      <c r="C1050" s="69" t="s">
        <v>4527</v>
      </c>
      <c r="D1050" s="96" t="s">
        <v>378</v>
      </c>
      <c r="E1050" s="210">
        <v>1</v>
      </c>
      <c r="F1050" s="122">
        <v>44.8</v>
      </c>
      <c r="G1050" s="122">
        <v>51.75</v>
      </c>
      <c r="H1050" s="208">
        <v>51.75</v>
      </c>
      <c r="I1050" s="215"/>
      <c r="J1050" s="215">
        <v>0</v>
      </c>
      <c r="K1050" s="215">
        <v>51.75</v>
      </c>
      <c r="L1050" s="216">
        <v>44.8</v>
      </c>
    </row>
    <row r="1051" spans="1:12" hidden="1">
      <c r="A1051" s="209" t="s">
        <v>3905</v>
      </c>
      <c r="B1051" s="69" t="s">
        <v>3810</v>
      </c>
      <c r="C1051" s="69" t="s">
        <v>4527</v>
      </c>
      <c r="D1051" s="96" t="s">
        <v>3797</v>
      </c>
      <c r="E1051" s="210">
        <v>1</v>
      </c>
      <c r="F1051" s="122">
        <v>61.5</v>
      </c>
      <c r="G1051" s="122">
        <v>70.75</v>
      </c>
      <c r="H1051" s="208">
        <v>70.75</v>
      </c>
      <c r="I1051" s="215"/>
      <c r="J1051" s="215">
        <v>0</v>
      </c>
      <c r="K1051" s="215">
        <v>70.75</v>
      </c>
      <c r="L1051" s="216">
        <v>61.5</v>
      </c>
    </row>
    <row r="1052" spans="1:12" hidden="1">
      <c r="A1052" s="209" t="s">
        <v>3905</v>
      </c>
      <c r="B1052" s="69" t="s">
        <v>858</v>
      </c>
      <c r="C1052" s="69" t="s">
        <v>4528</v>
      </c>
      <c r="D1052" s="96" t="s">
        <v>859</v>
      </c>
      <c r="E1052" s="210">
        <v>1</v>
      </c>
      <c r="F1052" s="122">
        <v>7.85</v>
      </c>
      <c r="G1052" s="122">
        <v>12</v>
      </c>
      <c r="H1052" s="208">
        <v>12</v>
      </c>
      <c r="I1052" s="215"/>
      <c r="J1052" s="215">
        <v>0</v>
      </c>
      <c r="K1052" s="215">
        <v>12</v>
      </c>
      <c r="L1052" s="216">
        <v>7.85</v>
      </c>
    </row>
    <row r="1053" spans="1:12" hidden="1">
      <c r="A1053" s="209" t="s">
        <v>3905</v>
      </c>
      <c r="B1053" s="69" t="s">
        <v>1931</v>
      </c>
      <c r="C1053" s="69" t="s">
        <v>4529</v>
      </c>
      <c r="D1053" s="96" t="s">
        <v>1932</v>
      </c>
      <c r="E1053" s="210">
        <v>1</v>
      </c>
      <c r="F1053" s="122">
        <v>10.95</v>
      </c>
      <c r="G1053" s="122">
        <v>12.75</v>
      </c>
      <c r="H1053" s="208">
        <v>12.75</v>
      </c>
      <c r="I1053" s="215"/>
      <c r="J1053" s="215">
        <v>0</v>
      </c>
      <c r="K1053" s="215">
        <v>12.75</v>
      </c>
      <c r="L1053" s="216">
        <v>10.95</v>
      </c>
    </row>
    <row r="1054" spans="1:12" hidden="1">
      <c r="A1054" s="209" t="s">
        <v>3905</v>
      </c>
      <c r="B1054" s="69" t="s">
        <v>3804</v>
      </c>
      <c r="C1054" s="69" t="s">
        <v>4530</v>
      </c>
      <c r="D1054" s="96" t="s">
        <v>3790</v>
      </c>
      <c r="E1054" s="210">
        <v>1</v>
      </c>
      <c r="F1054" s="122">
        <v>8.75</v>
      </c>
      <c r="G1054" s="122">
        <v>10.25</v>
      </c>
      <c r="H1054" s="208">
        <v>10.25</v>
      </c>
      <c r="I1054" s="215"/>
      <c r="J1054" s="215">
        <v>0</v>
      </c>
      <c r="K1054" s="215">
        <v>10.25</v>
      </c>
      <c r="L1054" s="216">
        <v>8.75</v>
      </c>
    </row>
    <row r="1055" spans="1:12" hidden="1">
      <c r="A1055" s="209" t="s">
        <v>3905</v>
      </c>
      <c r="B1055" s="69" t="s">
        <v>50</v>
      </c>
      <c r="C1055" s="69" t="s">
        <v>4530</v>
      </c>
      <c r="D1055" s="96" t="s">
        <v>51</v>
      </c>
      <c r="E1055" s="210">
        <v>1</v>
      </c>
      <c r="F1055" s="122">
        <v>19.100000000000001</v>
      </c>
      <c r="G1055" s="122">
        <v>22</v>
      </c>
      <c r="H1055" s="208">
        <v>22</v>
      </c>
      <c r="I1055" s="215"/>
      <c r="J1055" s="215">
        <v>0</v>
      </c>
      <c r="K1055" s="215">
        <v>22</v>
      </c>
      <c r="L1055" s="216">
        <v>19.100000000000001</v>
      </c>
    </row>
    <row r="1056" spans="1:12" hidden="1">
      <c r="A1056" s="209" t="s">
        <v>3905</v>
      </c>
      <c r="B1056" s="69" t="s">
        <v>740</v>
      </c>
      <c r="C1056" s="69" t="s">
        <v>4531</v>
      </c>
      <c r="D1056" s="96" t="s">
        <v>741</v>
      </c>
      <c r="E1056" s="210">
        <v>1</v>
      </c>
      <c r="F1056" s="122">
        <v>23.63</v>
      </c>
      <c r="G1056" s="122">
        <v>27.25</v>
      </c>
      <c r="H1056" s="208">
        <v>27.25</v>
      </c>
      <c r="I1056" s="215"/>
      <c r="J1056" s="215">
        <v>0</v>
      </c>
      <c r="K1056" s="215">
        <v>27.25</v>
      </c>
      <c r="L1056" s="216">
        <v>23.63</v>
      </c>
    </row>
    <row r="1057" spans="1:12" hidden="1">
      <c r="A1057" s="209" t="s">
        <v>3905</v>
      </c>
      <c r="B1057" s="69" t="s">
        <v>269</v>
      </c>
      <c r="C1057" s="69" t="s">
        <v>4532</v>
      </c>
      <c r="D1057" s="96" t="s">
        <v>270</v>
      </c>
      <c r="E1057" s="210">
        <v>1</v>
      </c>
      <c r="F1057" s="122">
        <v>15.51</v>
      </c>
      <c r="G1057" s="122">
        <v>18</v>
      </c>
      <c r="H1057" s="208">
        <v>18</v>
      </c>
      <c r="I1057" s="215"/>
      <c r="J1057" s="215">
        <v>0</v>
      </c>
      <c r="K1057" s="215">
        <v>18</v>
      </c>
      <c r="L1057" s="216">
        <v>15.51</v>
      </c>
    </row>
    <row r="1058" spans="1:12" hidden="1">
      <c r="A1058" s="209" t="s">
        <v>3905</v>
      </c>
      <c r="B1058" s="69" t="s">
        <v>858</v>
      </c>
      <c r="C1058" s="69" t="s">
        <v>4533</v>
      </c>
      <c r="D1058" s="96" t="s">
        <v>859</v>
      </c>
      <c r="E1058" s="210">
        <v>1</v>
      </c>
      <c r="F1058" s="122">
        <v>7.85</v>
      </c>
      <c r="G1058" s="122">
        <v>12</v>
      </c>
      <c r="H1058" s="208">
        <v>12</v>
      </c>
      <c r="I1058" s="215"/>
      <c r="J1058" s="215">
        <v>0</v>
      </c>
      <c r="K1058" s="215">
        <v>12</v>
      </c>
      <c r="L1058" s="216">
        <v>7.85</v>
      </c>
    </row>
    <row r="1059" spans="1:12" hidden="1">
      <c r="A1059" s="209" t="s">
        <v>3905</v>
      </c>
      <c r="B1059" s="69" t="s">
        <v>3906</v>
      </c>
      <c r="C1059" s="69" t="s">
        <v>4533</v>
      </c>
      <c r="D1059" s="96" t="s">
        <v>4519</v>
      </c>
      <c r="E1059" s="210">
        <v>1</v>
      </c>
      <c r="F1059" s="122">
        <v>5.74</v>
      </c>
      <c r="G1059" s="122">
        <v>7</v>
      </c>
      <c r="H1059" s="208">
        <v>7</v>
      </c>
      <c r="I1059" s="215"/>
      <c r="J1059" s="215">
        <v>0</v>
      </c>
      <c r="K1059" s="215">
        <v>7</v>
      </c>
      <c r="L1059" s="216">
        <v>5.74</v>
      </c>
    </row>
    <row r="1060" spans="1:12" hidden="1">
      <c r="A1060" s="209" t="s">
        <v>3905</v>
      </c>
      <c r="B1060" s="69" t="s">
        <v>827</v>
      </c>
      <c r="C1060" s="69" t="s">
        <v>4533</v>
      </c>
      <c r="D1060" s="96" t="s">
        <v>828</v>
      </c>
      <c r="E1060" s="210">
        <v>1</v>
      </c>
      <c r="F1060" s="122">
        <v>14.31</v>
      </c>
      <c r="G1060" s="122">
        <v>16.5</v>
      </c>
      <c r="H1060" s="208">
        <v>16.5</v>
      </c>
      <c r="I1060" s="215"/>
      <c r="J1060" s="215">
        <v>0</v>
      </c>
      <c r="K1060" s="215">
        <v>16.5</v>
      </c>
      <c r="L1060" s="216">
        <v>14.31</v>
      </c>
    </row>
    <row r="1061" spans="1:12" hidden="1">
      <c r="A1061" s="209" t="s">
        <v>3905</v>
      </c>
      <c r="B1061" s="69" t="s">
        <v>269</v>
      </c>
      <c r="C1061" s="69" t="s">
        <v>4534</v>
      </c>
      <c r="D1061" s="96" t="s">
        <v>270</v>
      </c>
      <c r="E1061" s="210">
        <v>1</v>
      </c>
      <c r="F1061" s="122">
        <v>15.51</v>
      </c>
      <c r="G1061" s="122">
        <v>18</v>
      </c>
      <c r="H1061" s="208">
        <v>18</v>
      </c>
      <c r="I1061" s="215"/>
      <c r="J1061" s="215">
        <v>0</v>
      </c>
      <c r="K1061" s="215">
        <v>18</v>
      </c>
      <c r="L1061" s="216">
        <v>15.51</v>
      </c>
    </row>
    <row r="1062" spans="1:12" hidden="1">
      <c r="A1062" s="209" t="s">
        <v>3905</v>
      </c>
      <c r="B1062" s="69" t="s">
        <v>2144</v>
      </c>
      <c r="C1062" s="69" t="s">
        <v>4535</v>
      </c>
      <c r="D1062" s="96" t="s">
        <v>2145</v>
      </c>
      <c r="E1062" s="210">
        <v>1</v>
      </c>
      <c r="F1062" s="122">
        <v>6.73</v>
      </c>
      <c r="G1062" s="122">
        <v>7.75</v>
      </c>
      <c r="H1062" s="208">
        <v>7.75</v>
      </c>
      <c r="I1062" s="215"/>
      <c r="J1062" s="215">
        <v>0</v>
      </c>
      <c r="K1062" s="215">
        <v>7.75</v>
      </c>
      <c r="L1062" s="216">
        <v>6.73</v>
      </c>
    </row>
    <row r="1063" spans="1:12" hidden="1">
      <c r="A1063" s="209" t="s">
        <v>3905</v>
      </c>
      <c r="B1063" s="69" t="s">
        <v>281</v>
      </c>
      <c r="C1063" s="69" t="s">
        <v>4535</v>
      </c>
      <c r="D1063" s="96" t="s">
        <v>282</v>
      </c>
      <c r="E1063" s="210">
        <v>1</v>
      </c>
      <c r="F1063" s="122">
        <v>15.51</v>
      </c>
      <c r="G1063" s="122">
        <v>18</v>
      </c>
      <c r="H1063" s="208">
        <v>18</v>
      </c>
      <c r="I1063" s="215"/>
      <c r="J1063" s="215">
        <v>0</v>
      </c>
      <c r="K1063" s="215">
        <v>18</v>
      </c>
      <c r="L1063" s="216">
        <v>15.51</v>
      </c>
    </row>
    <row r="1064" spans="1:12" hidden="1">
      <c r="A1064" s="209" t="s">
        <v>3905</v>
      </c>
      <c r="B1064" s="69" t="s">
        <v>3889</v>
      </c>
      <c r="C1064" s="69" t="s">
        <v>4535</v>
      </c>
      <c r="D1064" s="96" t="s">
        <v>4372</v>
      </c>
      <c r="E1064" s="210">
        <v>3</v>
      </c>
      <c r="F1064" s="122">
        <v>5.61</v>
      </c>
      <c r="G1064" s="122">
        <v>6.5</v>
      </c>
      <c r="H1064" s="208">
        <v>19.5</v>
      </c>
      <c r="I1064" s="215"/>
      <c r="J1064" s="215">
        <v>0</v>
      </c>
      <c r="K1064" s="215">
        <v>19.5</v>
      </c>
      <c r="L1064" s="216">
        <v>16.830000000000002</v>
      </c>
    </row>
    <row r="1065" spans="1:12" hidden="1">
      <c r="A1065" s="209" t="s">
        <v>3905</v>
      </c>
      <c r="B1065" s="69" t="s">
        <v>50</v>
      </c>
      <c r="C1065" s="69" t="s">
        <v>4535</v>
      </c>
      <c r="D1065" s="96" t="s">
        <v>51</v>
      </c>
      <c r="E1065" s="210">
        <v>1</v>
      </c>
      <c r="F1065" s="122">
        <v>19.100000000000001</v>
      </c>
      <c r="G1065" s="122">
        <v>22</v>
      </c>
      <c r="H1065" s="208">
        <v>22</v>
      </c>
      <c r="I1065" s="215"/>
      <c r="J1065" s="215">
        <v>0</v>
      </c>
      <c r="K1065" s="215">
        <v>22</v>
      </c>
      <c r="L1065" s="216">
        <v>19.100000000000001</v>
      </c>
    </row>
    <row r="1066" spans="1:12" hidden="1">
      <c r="A1066" s="209" t="s">
        <v>3905</v>
      </c>
      <c r="B1066" s="69" t="s">
        <v>1044</v>
      </c>
      <c r="C1066" s="69" t="s">
        <v>4535</v>
      </c>
      <c r="D1066" s="96" t="s">
        <v>1045</v>
      </c>
      <c r="E1066" s="210">
        <v>2</v>
      </c>
      <c r="F1066" s="122">
        <v>18.2</v>
      </c>
      <c r="G1066" s="122">
        <v>21</v>
      </c>
      <c r="H1066" s="208">
        <v>42</v>
      </c>
      <c r="I1066" s="215"/>
      <c r="J1066" s="215">
        <v>0</v>
      </c>
      <c r="K1066" s="215">
        <v>42</v>
      </c>
      <c r="L1066" s="216">
        <v>36.4</v>
      </c>
    </row>
    <row r="1067" spans="1:12" hidden="1">
      <c r="A1067" s="209" t="s">
        <v>3905</v>
      </c>
      <c r="B1067" s="69" t="s">
        <v>50</v>
      </c>
      <c r="C1067" s="69" t="s">
        <v>4536</v>
      </c>
      <c r="D1067" s="96" t="s">
        <v>51</v>
      </c>
      <c r="E1067" s="210">
        <v>1</v>
      </c>
      <c r="F1067" s="122">
        <v>19.100000000000001</v>
      </c>
      <c r="G1067" s="122">
        <v>22</v>
      </c>
      <c r="H1067" s="208">
        <v>22</v>
      </c>
      <c r="I1067" s="215"/>
      <c r="J1067" s="215">
        <v>0</v>
      </c>
      <c r="K1067" s="215">
        <v>22</v>
      </c>
      <c r="L1067" s="216">
        <v>19.100000000000001</v>
      </c>
    </row>
    <row r="1068" spans="1:12" hidden="1">
      <c r="A1068" s="209" t="s">
        <v>3905</v>
      </c>
      <c r="B1068" s="69" t="s">
        <v>3906</v>
      </c>
      <c r="C1068" s="69" t="s">
        <v>4537</v>
      </c>
      <c r="D1068" s="96" t="s">
        <v>4519</v>
      </c>
      <c r="E1068" s="210">
        <v>1</v>
      </c>
      <c r="F1068" s="122">
        <v>5.74</v>
      </c>
      <c r="G1068" s="122">
        <v>7</v>
      </c>
      <c r="H1068" s="208">
        <v>7</v>
      </c>
      <c r="I1068" s="215"/>
      <c r="J1068" s="215">
        <v>0</v>
      </c>
      <c r="K1068" s="215">
        <v>7</v>
      </c>
      <c r="L1068" s="216">
        <v>5.74</v>
      </c>
    </row>
    <row r="1069" spans="1:12" hidden="1">
      <c r="A1069" s="209" t="s">
        <v>3905</v>
      </c>
      <c r="B1069" s="69" t="s">
        <v>517</v>
      </c>
      <c r="C1069" s="69" t="s">
        <v>4538</v>
      </c>
      <c r="D1069" s="96" t="s">
        <v>518</v>
      </c>
      <c r="E1069" s="210">
        <v>1</v>
      </c>
      <c r="F1069" s="122">
        <v>12.17</v>
      </c>
      <c r="G1069" s="122">
        <v>14.75</v>
      </c>
      <c r="H1069" s="208">
        <v>14.75</v>
      </c>
      <c r="I1069" s="215"/>
      <c r="J1069" s="215">
        <v>0</v>
      </c>
      <c r="K1069" s="215">
        <v>14.75</v>
      </c>
      <c r="L1069" s="216">
        <v>12.17</v>
      </c>
    </row>
    <row r="1070" spans="1:12" hidden="1">
      <c r="A1070" s="209" t="s">
        <v>3905</v>
      </c>
      <c r="B1070" s="69" t="s">
        <v>517</v>
      </c>
      <c r="C1070" s="69" t="s">
        <v>4539</v>
      </c>
      <c r="D1070" s="96" t="s">
        <v>518</v>
      </c>
      <c r="E1070" s="210">
        <v>1</v>
      </c>
      <c r="F1070" s="122">
        <v>12.17</v>
      </c>
      <c r="G1070" s="122">
        <v>14.75</v>
      </c>
      <c r="H1070" s="208">
        <v>14.75</v>
      </c>
      <c r="I1070" s="215"/>
      <c r="J1070" s="215">
        <v>0</v>
      </c>
      <c r="K1070" s="215">
        <v>14.75</v>
      </c>
      <c r="L1070" s="216">
        <v>12.17</v>
      </c>
    </row>
    <row r="1071" spans="1:12" hidden="1">
      <c r="A1071" s="209" t="s">
        <v>3905</v>
      </c>
      <c r="B1071" s="69" t="s">
        <v>552</v>
      </c>
      <c r="C1071" s="69" t="s">
        <v>4540</v>
      </c>
      <c r="D1071" s="96" t="s">
        <v>553</v>
      </c>
      <c r="E1071" s="210">
        <v>1</v>
      </c>
      <c r="F1071" s="122">
        <v>7.41</v>
      </c>
      <c r="G1071" s="122">
        <v>8.75</v>
      </c>
      <c r="H1071" s="208">
        <v>8.75</v>
      </c>
      <c r="I1071" s="215"/>
      <c r="J1071" s="215">
        <v>0</v>
      </c>
      <c r="K1071" s="215">
        <v>8.75</v>
      </c>
      <c r="L1071" s="216">
        <v>7.41</v>
      </c>
    </row>
    <row r="1072" spans="1:12" hidden="1">
      <c r="A1072" s="209" t="s">
        <v>3905</v>
      </c>
      <c r="B1072" s="69" t="s">
        <v>3889</v>
      </c>
      <c r="C1072" s="69" t="s">
        <v>4540</v>
      </c>
      <c r="D1072" s="96" t="s">
        <v>4372</v>
      </c>
      <c r="E1072" s="210">
        <v>1</v>
      </c>
      <c r="F1072" s="122">
        <v>5.61</v>
      </c>
      <c r="G1072" s="122">
        <v>6.5</v>
      </c>
      <c r="H1072" s="208">
        <v>6.5</v>
      </c>
      <c r="I1072" s="215"/>
      <c r="J1072" s="215">
        <v>0</v>
      </c>
      <c r="K1072" s="215">
        <v>6.5</v>
      </c>
      <c r="L1072" s="216">
        <v>5.61</v>
      </c>
    </row>
    <row r="1073" spans="1:12" hidden="1">
      <c r="A1073" s="209" t="s">
        <v>3905</v>
      </c>
      <c r="B1073" s="69" t="s">
        <v>3348</v>
      </c>
      <c r="C1073" s="69" t="s">
        <v>4541</v>
      </c>
      <c r="D1073" s="96" t="s">
        <v>3349</v>
      </c>
      <c r="E1073" s="210">
        <v>1</v>
      </c>
      <c r="F1073" s="122">
        <v>5.74</v>
      </c>
      <c r="G1073" s="122">
        <v>7</v>
      </c>
      <c r="H1073" s="208">
        <v>7</v>
      </c>
      <c r="I1073" s="215"/>
      <c r="J1073" s="215">
        <v>0</v>
      </c>
      <c r="K1073" s="215">
        <v>7</v>
      </c>
      <c r="L1073" s="216">
        <v>5.74</v>
      </c>
    </row>
    <row r="1074" spans="1:12" hidden="1">
      <c r="A1074" s="209" t="s">
        <v>3905</v>
      </c>
      <c r="B1074" s="69" t="s">
        <v>3894</v>
      </c>
      <c r="C1074" s="69" t="s">
        <v>4541</v>
      </c>
      <c r="D1074" s="96" t="s">
        <v>4400</v>
      </c>
      <c r="E1074" s="210">
        <v>1</v>
      </c>
      <c r="F1074" s="122">
        <v>5.61</v>
      </c>
      <c r="G1074" s="122">
        <v>6.5</v>
      </c>
      <c r="H1074" s="208">
        <v>6.5</v>
      </c>
      <c r="I1074" s="215"/>
      <c r="J1074" s="215">
        <v>0</v>
      </c>
      <c r="K1074" s="215">
        <v>6.5</v>
      </c>
      <c r="L1074" s="216">
        <v>5.61</v>
      </c>
    </row>
    <row r="1075" spans="1:12" hidden="1">
      <c r="A1075" s="209" t="s">
        <v>3907</v>
      </c>
      <c r="B1075" s="69" t="s">
        <v>1211</v>
      </c>
      <c r="C1075" s="69" t="s">
        <v>4542</v>
      </c>
      <c r="D1075" s="96" t="s">
        <v>1212</v>
      </c>
      <c r="E1075" s="210">
        <v>1</v>
      </c>
      <c r="F1075" s="122">
        <v>34.51</v>
      </c>
      <c r="G1075" s="122">
        <v>41</v>
      </c>
      <c r="H1075" s="208">
        <v>41</v>
      </c>
      <c r="I1075" s="215"/>
      <c r="J1075" s="215">
        <v>0</v>
      </c>
      <c r="K1075" s="215">
        <v>41</v>
      </c>
      <c r="L1075" s="216">
        <v>34.51</v>
      </c>
    </row>
    <row r="1076" spans="1:12" hidden="1">
      <c r="A1076" s="209" t="s">
        <v>3907</v>
      </c>
      <c r="B1076" s="69" t="s">
        <v>1059</v>
      </c>
      <c r="C1076" s="69" t="s">
        <v>4542</v>
      </c>
      <c r="D1076" s="96" t="s">
        <v>1060</v>
      </c>
      <c r="E1076" s="210">
        <v>1</v>
      </c>
      <c r="F1076" s="122">
        <v>25.8</v>
      </c>
      <c r="G1076" s="122">
        <v>30</v>
      </c>
      <c r="H1076" s="208">
        <v>30</v>
      </c>
      <c r="I1076" s="215"/>
      <c r="J1076" s="215">
        <v>0</v>
      </c>
      <c r="K1076" s="215">
        <v>30</v>
      </c>
      <c r="L1076" s="216">
        <v>25.8</v>
      </c>
    </row>
    <row r="1077" spans="1:12" hidden="1">
      <c r="A1077" s="209" t="s">
        <v>3907</v>
      </c>
      <c r="B1077" s="69" t="s">
        <v>3334</v>
      </c>
      <c r="C1077" s="69" t="s">
        <v>4543</v>
      </c>
      <c r="D1077" s="96" t="s">
        <v>3335</v>
      </c>
      <c r="E1077" s="210">
        <v>2</v>
      </c>
      <c r="F1077" s="122">
        <v>3.6</v>
      </c>
      <c r="G1077" s="122">
        <v>4.25</v>
      </c>
      <c r="H1077" s="208">
        <v>8.5</v>
      </c>
      <c r="I1077" s="215"/>
      <c r="J1077" s="215">
        <v>0</v>
      </c>
      <c r="K1077" s="215">
        <v>8.5</v>
      </c>
      <c r="L1077" s="216">
        <v>7.2</v>
      </c>
    </row>
    <row r="1078" spans="1:12" hidden="1">
      <c r="A1078" s="209" t="s">
        <v>3907</v>
      </c>
      <c r="B1078" s="69" t="s">
        <v>1174</v>
      </c>
      <c r="C1078" s="69" t="s">
        <v>4544</v>
      </c>
      <c r="D1078" s="96" t="s">
        <v>1175</v>
      </c>
      <c r="E1078" s="210">
        <v>3</v>
      </c>
      <c r="F1078" s="122">
        <v>13.1</v>
      </c>
      <c r="G1078" s="122">
        <v>15</v>
      </c>
      <c r="H1078" s="208">
        <v>45</v>
      </c>
      <c r="I1078" s="215"/>
      <c r="J1078" s="215">
        <v>0</v>
      </c>
      <c r="K1078" s="215">
        <v>45</v>
      </c>
      <c r="L1078" s="216">
        <v>39.299999999999997</v>
      </c>
    </row>
    <row r="1079" spans="1:12" hidden="1">
      <c r="A1079" s="209" t="s">
        <v>3907</v>
      </c>
      <c r="B1079" s="69" t="s">
        <v>2024</v>
      </c>
      <c r="C1079" s="69" t="s">
        <v>4545</v>
      </c>
      <c r="D1079" s="96" t="s">
        <v>2025</v>
      </c>
      <c r="E1079" s="210">
        <v>1</v>
      </c>
      <c r="F1079" s="122">
        <v>27.8</v>
      </c>
      <c r="G1079" s="122">
        <v>35</v>
      </c>
      <c r="H1079" s="208">
        <v>35</v>
      </c>
      <c r="I1079" s="215"/>
      <c r="J1079" s="215">
        <v>0</v>
      </c>
      <c r="K1079" s="215">
        <v>35</v>
      </c>
      <c r="L1079" s="216">
        <v>27.8</v>
      </c>
    </row>
    <row r="1080" spans="1:12" hidden="1">
      <c r="A1080" s="209" t="s">
        <v>3907</v>
      </c>
      <c r="B1080" s="69" t="s">
        <v>3064</v>
      </c>
      <c r="C1080" s="69" t="s">
        <v>4546</v>
      </c>
      <c r="D1080" s="96" t="s">
        <v>3065</v>
      </c>
      <c r="E1080" s="210">
        <v>1</v>
      </c>
      <c r="F1080" s="122">
        <v>90</v>
      </c>
      <c r="G1080" s="122">
        <v>103.75</v>
      </c>
      <c r="H1080" s="208">
        <v>103.75</v>
      </c>
      <c r="I1080" s="215"/>
      <c r="J1080" s="215">
        <v>0</v>
      </c>
      <c r="K1080" s="215">
        <v>103.75</v>
      </c>
      <c r="L1080" s="216">
        <v>90</v>
      </c>
    </row>
    <row r="1081" spans="1:12" hidden="1">
      <c r="A1081" s="209" t="s">
        <v>3907</v>
      </c>
      <c r="B1081" s="69" t="s">
        <v>3854</v>
      </c>
      <c r="C1081" s="69" t="s">
        <v>4547</v>
      </c>
      <c r="D1081" s="96" t="s">
        <v>4053</v>
      </c>
      <c r="E1081" s="210">
        <v>1</v>
      </c>
      <c r="F1081" s="122">
        <v>5.8</v>
      </c>
      <c r="G1081" s="122">
        <v>7</v>
      </c>
      <c r="H1081" s="208">
        <v>7</v>
      </c>
      <c r="I1081" s="215"/>
      <c r="J1081" s="215">
        <v>0</v>
      </c>
      <c r="K1081" s="215">
        <v>7</v>
      </c>
      <c r="L1081" s="216">
        <v>5.8</v>
      </c>
    </row>
    <row r="1082" spans="1:12" hidden="1">
      <c r="A1082" s="209" t="s">
        <v>3907</v>
      </c>
      <c r="B1082" s="69" t="s">
        <v>147</v>
      </c>
      <c r="C1082" s="69" t="s">
        <v>4548</v>
      </c>
      <c r="D1082" s="96" t="s">
        <v>148</v>
      </c>
      <c r="E1082" s="210">
        <v>2</v>
      </c>
      <c r="F1082" s="122">
        <v>12.69</v>
      </c>
      <c r="G1082" s="122">
        <v>14.75</v>
      </c>
      <c r="H1082" s="208">
        <v>29.5</v>
      </c>
      <c r="I1082" s="215"/>
      <c r="J1082" s="215">
        <v>0</v>
      </c>
      <c r="K1082" s="215">
        <v>29.5</v>
      </c>
      <c r="L1082" s="216">
        <v>25.38</v>
      </c>
    </row>
    <row r="1083" spans="1:12" hidden="1">
      <c r="A1083" s="209" t="s">
        <v>3907</v>
      </c>
      <c r="B1083" s="69" t="s">
        <v>2961</v>
      </c>
      <c r="C1083" s="69" t="s">
        <v>4549</v>
      </c>
      <c r="D1083" s="96" t="s">
        <v>2962</v>
      </c>
      <c r="E1083" s="210">
        <v>6</v>
      </c>
      <c r="F1083" s="122">
        <v>90</v>
      </c>
      <c r="G1083" s="122">
        <v>120</v>
      </c>
      <c r="H1083" s="208">
        <v>720</v>
      </c>
      <c r="I1083" s="215"/>
      <c r="J1083" s="215">
        <v>0</v>
      </c>
      <c r="K1083" s="215">
        <v>720</v>
      </c>
      <c r="L1083" s="216">
        <v>540</v>
      </c>
    </row>
    <row r="1084" spans="1:12" hidden="1">
      <c r="A1084" s="209" t="s">
        <v>3907</v>
      </c>
      <c r="B1084" s="69" t="s">
        <v>3348</v>
      </c>
      <c r="C1084" s="69" t="s">
        <v>4550</v>
      </c>
      <c r="D1084" s="96" t="s">
        <v>3349</v>
      </c>
      <c r="E1084" s="210">
        <v>1</v>
      </c>
      <c r="F1084" s="122">
        <v>5.74</v>
      </c>
      <c r="G1084" s="122">
        <v>7</v>
      </c>
      <c r="H1084" s="208">
        <v>7</v>
      </c>
      <c r="I1084" s="215"/>
      <c r="J1084" s="215">
        <v>0</v>
      </c>
      <c r="K1084" s="215">
        <v>7</v>
      </c>
      <c r="L1084" s="216">
        <v>5.74</v>
      </c>
    </row>
    <row r="1085" spans="1:12" hidden="1">
      <c r="A1085" s="209" t="s">
        <v>3907</v>
      </c>
      <c r="B1085" s="69" t="s">
        <v>1204</v>
      </c>
      <c r="C1085" s="69" t="s">
        <v>4551</v>
      </c>
      <c r="D1085" s="96" t="s">
        <v>1205</v>
      </c>
      <c r="E1085" s="210">
        <v>4</v>
      </c>
      <c r="F1085" s="122">
        <v>56.31</v>
      </c>
      <c r="G1085" s="122">
        <v>67.5</v>
      </c>
      <c r="H1085" s="208">
        <v>270</v>
      </c>
      <c r="I1085" s="215"/>
      <c r="J1085" s="215">
        <v>0</v>
      </c>
      <c r="K1085" s="215">
        <v>270</v>
      </c>
      <c r="L1085" s="216">
        <v>225.24</v>
      </c>
    </row>
    <row r="1086" spans="1:12" hidden="1">
      <c r="A1086" s="209" t="s">
        <v>3907</v>
      </c>
      <c r="B1086" s="69" t="s">
        <v>1636</v>
      </c>
      <c r="C1086" s="69" t="s">
        <v>4551</v>
      </c>
      <c r="D1086" s="96" t="s">
        <v>1637</v>
      </c>
      <c r="E1086" s="210">
        <v>4</v>
      </c>
      <c r="F1086" s="122">
        <v>67.290000000000006</v>
      </c>
      <c r="G1086" s="122">
        <v>77.5</v>
      </c>
      <c r="H1086" s="208">
        <v>310</v>
      </c>
      <c r="I1086" s="215"/>
      <c r="J1086" s="215">
        <v>0</v>
      </c>
      <c r="K1086" s="215">
        <v>310</v>
      </c>
      <c r="L1086" s="216">
        <v>269.16000000000003</v>
      </c>
    </row>
    <row r="1087" spans="1:12" hidden="1">
      <c r="A1087" s="209" t="s">
        <v>3907</v>
      </c>
      <c r="B1087" s="69" t="s">
        <v>1570</v>
      </c>
      <c r="C1087" s="69" t="s">
        <v>4551</v>
      </c>
      <c r="D1087" s="96" t="s">
        <v>1571</v>
      </c>
      <c r="E1087" s="210">
        <v>4</v>
      </c>
      <c r="F1087" s="122">
        <v>51.97</v>
      </c>
      <c r="G1087" s="122">
        <v>60</v>
      </c>
      <c r="H1087" s="208">
        <v>240</v>
      </c>
      <c r="I1087" s="215"/>
      <c r="J1087" s="215">
        <v>0</v>
      </c>
      <c r="K1087" s="215">
        <v>240</v>
      </c>
      <c r="L1087" s="216">
        <v>207.88</v>
      </c>
    </row>
    <row r="1088" spans="1:12" hidden="1">
      <c r="A1088" s="209" t="s">
        <v>3907</v>
      </c>
      <c r="B1088" s="69" t="s">
        <v>1214</v>
      </c>
      <c r="C1088" s="69" t="s">
        <v>4551</v>
      </c>
      <c r="D1088" s="96" t="s">
        <v>1215</v>
      </c>
      <c r="E1088" s="210">
        <v>1</v>
      </c>
      <c r="F1088" s="122">
        <v>134.53</v>
      </c>
      <c r="G1088" s="122">
        <v>154.75</v>
      </c>
      <c r="H1088" s="208">
        <v>154.75</v>
      </c>
      <c r="I1088" s="215"/>
      <c r="J1088" s="215">
        <v>0</v>
      </c>
      <c r="K1088" s="215">
        <v>154.75</v>
      </c>
      <c r="L1088" s="216">
        <v>134.53</v>
      </c>
    </row>
    <row r="1089" spans="1:12" hidden="1">
      <c r="A1089" s="209" t="s">
        <v>3907</v>
      </c>
      <c r="B1089" s="69" t="s">
        <v>3713</v>
      </c>
      <c r="C1089" s="69" t="s">
        <v>4552</v>
      </c>
      <c r="D1089" s="96" t="s">
        <v>3714</v>
      </c>
      <c r="E1089" s="210">
        <v>1</v>
      </c>
      <c r="F1089" s="122">
        <v>9.27</v>
      </c>
      <c r="G1089" s="122">
        <v>10.75</v>
      </c>
      <c r="H1089" s="208">
        <v>10.75</v>
      </c>
      <c r="I1089" s="215"/>
      <c r="J1089" s="215">
        <v>0</v>
      </c>
      <c r="K1089" s="215">
        <v>10.75</v>
      </c>
      <c r="L1089" s="216">
        <v>9.27</v>
      </c>
    </row>
    <row r="1090" spans="1:12" hidden="1">
      <c r="A1090" s="209" t="s">
        <v>3907</v>
      </c>
      <c r="B1090" s="69" t="s">
        <v>269</v>
      </c>
      <c r="C1090" s="69" t="s">
        <v>4553</v>
      </c>
      <c r="D1090" s="96" t="s">
        <v>270</v>
      </c>
      <c r="E1090" s="210">
        <v>1</v>
      </c>
      <c r="F1090" s="122">
        <v>15.51</v>
      </c>
      <c r="G1090" s="122">
        <v>18</v>
      </c>
      <c r="H1090" s="208">
        <v>18</v>
      </c>
      <c r="I1090" s="215"/>
      <c r="J1090" s="215">
        <v>0</v>
      </c>
      <c r="K1090" s="215">
        <v>18</v>
      </c>
      <c r="L1090" s="216">
        <v>15.51</v>
      </c>
    </row>
    <row r="1091" spans="1:12" hidden="1">
      <c r="A1091" s="209" t="s">
        <v>3907</v>
      </c>
      <c r="B1091" s="69" t="s">
        <v>414</v>
      </c>
      <c r="C1091" s="69" t="s">
        <v>4553</v>
      </c>
      <c r="D1091" s="96" t="s">
        <v>415</v>
      </c>
      <c r="E1091" s="210">
        <v>1</v>
      </c>
      <c r="F1091" s="122">
        <v>8.1999999999999993</v>
      </c>
      <c r="G1091" s="122">
        <v>10</v>
      </c>
      <c r="H1091" s="208">
        <v>10</v>
      </c>
      <c r="I1091" s="215"/>
      <c r="J1091" s="215">
        <v>0</v>
      </c>
      <c r="K1091" s="215">
        <v>10</v>
      </c>
      <c r="L1091" s="216">
        <v>8.1999999999999993</v>
      </c>
    </row>
    <row r="1092" spans="1:12" hidden="1">
      <c r="A1092" s="209" t="s">
        <v>3907</v>
      </c>
      <c r="B1092" s="69" t="s">
        <v>3334</v>
      </c>
      <c r="C1092" s="69" t="s">
        <v>4553</v>
      </c>
      <c r="D1092" s="96" t="s">
        <v>3335</v>
      </c>
      <c r="E1092" s="210">
        <v>1</v>
      </c>
      <c r="F1092" s="122">
        <v>3.6</v>
      </c>
      <c r="G1092" s="122">
        <v>4.25</v>
      </c>
      <c r="H1092" s="208">
        <v>4.25</v>
      </c>
      <c r="I1092" s="215"/>
      <c r="J1092" s="215">
        <v>0</v>
      </c>
      <c r="K1092" s="215">
        <v>4.25</v>
      </c>
      <c r="L1092" s="216">
        <v>3.6</v>
      </c>
    </row>
    <row r="1093" spans="1:12" hidden="1">
      <c r="A1093" s="209" t="s">
        <v>3907</v>
      </c>
      <c r="B1093" s="69" t="s">
        <v>2012</v>
      </c>
      <c r="C1093" s="69" t="s">
        <v>4553</v>
      </c>
      <c r="D1093" s="96" t="s">
        <v>2013</v>
      </c>
      <c r="E1093" s="210">
        <v>1</v>
      </c>
      <c r="F1093" s="122">
        <v>62.45</v>
      </c>
      <c r="G1093" s="122">
        <v>72</v>
      </c>
      <c r="H1093" s="208">
        <v>72</v>
      </c>
      <c r="I1093" s="215"/>
      <c r="J1093" s="215">
        <v>0</v>
      </c>
      <c r="K1093" s="215">
        <v>72</v>
      </c>
      <c r="L1093" s="216">
        <v>62.45</v>
      </c>
    </row>
    <row r="1094" spans="1:12" hidden="1">
      <c r="A1094" s="209" t="s">
        <v>3907</v>
      </c>
      <c r="B1094" s="69" t="s">
        <v>108</v>
      </c>
      <c r="C1094" s="69" t="s">
        <v>4554</v>
      </c>
      <c r="D1094" s="96" t="s">
        <v>109</v>
      </c>
      <c r="E1094" s="210">
        <v>1</v>
      </c>
      <c r="F1094" s="122">
        <v>7.06</v>
      </c>
      <c r="G1094" s="122">
        <v>8.25</v>
      </c>
      <c r="H1094" s="208">
        <v>8.25</v>
      </c>
      <c r="I1094" s="215"/>
      <c r="J1094" s="215">
        <v>0</v>
      </c>
      <c r="K1094" s="215">
        <v>8.25</v>
      </c>
      <c r="L1094" s="216">
        <v>7.06</v>
      </c>
    </row>
    <row r="1095" spans="1:12" hidden="1">
      <c r="A1095" s="209" t="s">
        <v>3907</v>
      </c>
      <c r="B1095" s="69" t="s">
        <v>3080</v>
      </c>
      <c r="C1095" s="69" t="s">
        <v>4555</v>
      </c>
      <c r="D1095" s="96" t="s">
        <v>3081</v>
      </c>
      <c r="E1095" s="210">
        <v>1</v>
      </c>
      <c r="F1095" s="122">
        <v>20.399999999999999</v>
      </c>
      <c r="G1095" s="122">
        <v>23.5</v>
      </c>
      <c r="H1095" s="208">
        <v>23.5</v>
      </c>
      <c r="I1095" s="215"/>
      <c r="J1095" s="215">
        <v>0</v>
      </c>
      <c r="K1095" s="215">
        <v>23.5</v>
      </c>
      <c r="L1095" s="216">
        <v>20.399999999999999</v>
      </c>
    </row>
    <row r="1096" spans="1:12" hidden="1">
      <c r="A1096" s="209" t="s">
        <v>3908</v>
      </c>
      <c r="B1096" s="69" t="s">
        <v>3094</v>
      </c>
      <c r="C1096" s="69" t="s">
        <v>4556</v>
      </c>
      <c r="D1096" s="96" t="s">
        <v>3095</v>
      </c>
      <c r="E1096" s="210">
        <v>1</v>
      </c>
      <c r="F1096" s="122">
        <v>18.559999999999999</v>
      </c>
      <c r="G1096" s="122">
        <v>21.5</v>
      </c>
      <c r="H1096" s="208">
        <v>21.5</v>
      </c>
      <c r="I1096" s="215"/>
      <c r="J1096" s="215">
        <v>0</v>
      </c>
      <c r="K1096" s="215">
        <v>21.5</v>
      </c>
      <c r="L1096" s="216">
        <v>18.559999999999999</v>
      </c>
    </row>
    <row r="1097" spans="1:12" hidden="1">
      <c r="A1097" s="209" t="s">
        <v>3908</v>
      </c>
      <c r="B1097" s="69" t="s">
        <v>3088</v>
      </c>
      <c r="C1097" s="69" t="s">
        <v>4557</v>
      </c>
      <c r="D1097" s="96" t="s">
        <v>3089</v>
      </c>
      <c r="E1097" s="210">
        <v>1</v>
      </c>
      <c r="F1097" s="122">
        <v>27.85</v>
      </c>
      <c r="G1097" s="122">
        <v>32</v>
      </c>
      <c r="H1097" s="208">
        <v>32</v>
      </c>
      <c r="I1097" s="215"/>
      <c r="J1097" s="215">
        <v>0</v>
      </c>
      <c r="K1097" s="215">
        <v>32</v>
      </c>
      <c r="L1097" s="216">
        <v>27.85</v>
      </c>
    </row>
    <row r="1098" spans="1:12" hidden="1">
      <c r="A1098" s="209" t="s">
        <v>3908</v>
      </c>
      <c r="B1098" s="69" t="s">
        <v>615</v>
      </c>
      <c r="C1098" s="69" t="s">
        <v>4558</v>
      </c>
      <c r="D1098" s="96" t="s">
        <v>616</v>
      </c>
      <c r="E1098" s="210">
        <v>1</v>
      </c>
      <c r="F1098" s="122">
        <v>59.51</v>
      </c>
      <c r="G1098" s="122">
        <v>68.5</v>
      </c>
      <c r="H1098" s="208">
        <v>68.5</v>
      </c>
      <c r="I1098" s="215"/>
      <c r="J1098" s="215">
        <v>0</v>
      </c>
      <c r="K1098" s="215">
        <v>68.5</v>
      </c>
      <c r="L1098" s="216">
        <v>59.51</v>
      </c>
    </row>
    <row r="1099" spans="1:12" hidden="1">
      <c r="A1099" s="209" t="s">
        <v>3908</v>
      </c>
      <c r="B1099" s="69" t="s">
        <v>3348</v>
      </c>
      <c r="C1099" s="69" t="s">
        <v>4559</v>
      </c>
      <c r="D1099" s="96" t="s">
        <v>3349</v>
      </c>
      <c r="E1099" s="210">
        <v>1</v>
      </c>
      <c r="F1099" s="122">
        <v>5.74</v>
      </c>
      <c r="G1099" s="122">
        <v>7</v>
      </c>
      <c r="H1099" s="208">
        <v>7</v>
      </c>
      <c r="I1099" s="215"/>
      <c r="J1099" s="215">
        <v>0</v>
      </c>
      <c r="K1099" s="215">
        <v>7</v>
      </c>
      <c r="L1099" s="216">
        <v>5.74</v>
      </c>
    </row>
    <row r="1100" spans="1:12" hidden="1">
      <c r="A1100" s="209" t="s">
        <v>3908</v>
      </c>
      <c r="B1100" s="69" t="s">
        <v>3636</v>
      </c>
      <c r="C1100" s="69" t="s">
        <v>4560</v>
      </c>
      <c r="D1100" s="96" t="s">
        <v>3637</v>
      </c>
      <c r="E1100" s="210">
        <v>1</v>
      </c>
      <c r="F1100" s="122">
        <v>0.76</v>
      </c>
      <c r="G1100" s="122">
        <v>1</v>
      </c>
      <c r="H1100" s="208">
        <v>1</v>
      </c>
      <c r="I1100" s="215"/>
      <c r="J1100" s="215">
        <v>0</v>
      </c>
      <c r="K1100" s="215">
        <v>1</v>
      </c>
      <c r="L1100" s="216">
        <v>0.76</v>
      </c>
    </row>
    <row r="1101" spans="1:12" hidden="1">
      <c r="A1101" s="209" t="s">
        <v>3908</v>
      </c>
      <c r="B1101" s="69" t="s">
        <v>1713</v>
      </c>
      <c r="C1101" s="69" t="s">
        <v>4561</v>
      </c>
      <c r="D1101" s="96" t="s">
        <v>1714</v>
      </c>
      <c r="E1101" s="210">
        <v>1</v>
      </c>
      <c r="F1101" s="122">
        <v>54</v>
      </c>
      <c r="G1101" s="122">
        <v>62.25</v>
      </c>
      <c r="H1101" s="208">
        <v>62.25</v>
      </c>
      <c r="I1101" s="215"/>
      <c r="J1101" s="215">
        <v>0</v>
      </c>
      <c r="K1101" s="215">
        <v>62.25</v>
      </c>
      <c r="L1101" s="216">
        <v>54</v>
      </c>
    </row>
    <row r="1102" spans="1:12" hidden="1">
      <c r="A1102" s="209" t="s">
        <v>3908</v>
      </c>
      <c r="B1102" s="69" t="s">
        <v>3854</v>
      </c>
      <c r="C1102" s="69" t="s">
        <v>4562</v>
      </c>
      <c r="D1102" s="96" t="s">
        <v>4053</v>
      </c>
      <c r="E1102" s="210">
        <v>1</v>
      </c>
      <c r="F1102" s="122">
        <v>5.8</v>
      </c>
      <c r="G1102" s="122">
        <v>7</v>
      </c>
      <c r="H1102" s="208">
        <v>7</v>
      </c>
      <c r="I1102" s="215"/>
      <c r="J1102" s="215">
        <v>0</v>
      </c>
      <c r="K1102" s="215">
        <v>7</v>
      </c>
      <c r="L1102" s="216">
        <v>5.8</v>
      </c>
    </row>
    <row r="1103" spans="1:12" hidden="1">
      <c r="A1103" s="209" t="s">
        <v>3908</v>
      </c>
      <c r="B1103" s="69" t="s">
        <v>981</v>
      </c>
      <c r="C1103" s="69" t="s">
        <v>4563</v>
      </c>
      <c r="D1103" s="96" t="s">
        <v>982</v>
      </c>
      <c r="E1103" s="210">
        <v>1</v>
      </c>
      <c r="F1103" s="122">
        <v>13.32</v>
      </c>
      <c r="G1103" s="122">
        <v>15.5</v>
      </c>
      <c r="H1103" s="208">
        <v>15.5</v>
      </c>
      <c r="I1103" s="215"/>
      <c r="J1103" s="215">
        <v>0</v>
      </c>
      <c r="K1103" s="215">
        <v>15.5</v>
      </c>
      <c r="L1103" s="216">
        <v>13.32</v>
      </c>
    </row>
    <row r="1104" spans="1:12" hidden="1">
      <c r="A1104" s="209" t="s">
        <v>3908</v>
      </c>
      <c r="B1104" s="69" t="s">
        <v>3348</v>
      </c>
      <c r="C1104" s="69" t="s">
        <v>4564</v>
      </c>
      <c r="D1104" s="96" t="s">
        <v>3349</v>
      </c>
      <c r="E1104" s="210">
        <v>1</v>
      </c>
      <c r="F1104" s="122">
        <v>5.74</v>
      </c>
      <c r="G1104" s="122">
        <v>7</v>
      </c>
      <c r="H1104" s="208">
        <v>7</v>
      </c>
      <c r="I1104" s="215"/>
      <c r="J1104" s="215">
        <v>0</v>
      </c>
      <c r="K1104" s="215">
        <v>7</v>
      </c>
      <c r="L1104" s="216">
        <v>5.74</v>
      </c>
    </row>
    <row r="1105" spans="1:12" hidden="1">
      <c r="A1105" s="209" t="s">
        <v>3908</v>
      </c>
      <c r="B1105" s="69" t="s">
        <v>2668</v>
      </c>
      <c r="C1105" s="69" t="s">
        <v>4565</v>
      </c>
      <c r="D1105" s="96" t="s">
        <v>2669</v>
      </c>
      <c r="E1105" s="210">
        <v>1</v>
      </c>
      <c r="F1105" s="122">
        <v>45.3</v>
      </c>
      <c r="G1105" s="122">
        <v>52.25</v>
      </c>
      <c r="H1105" s="208">
        <v>52.25</v>
      </c>
      <c r="I1105" s="215"/>
      <c r="J1105" s="215">
        <v>0</v>
      </c>
      <c r="K1105" s="215">
        <v>52.25</v>
      </c>
      <c r="L1105" s="216">
        <v>45.3</v>
      </c>
    </row>
    <row r="1106" spans="1:12" hidden="1">
      <c r="A1106" s="209" t="s">
        <v>3908</v>
      </c>
      <c r="B1106" s="69" t="s">
        <v>2589</v>
      </c>
      <c r="C1106" s="69" t="s">
        <v>4565</v>
      </c>
      <c r="D1106" s="96" t="s">
        <v>2590</v>
      </c>
      <c r="E1106" s="210">
        <v>6</v>
      </c>
      <c r="F1106" s="122">
        <v>5.41</v>
      </c>
      <c r="G1106" s="122">
        <v>6.25</v>
      </c>
      <c r="H1106" s="208">
        <v>37.5</v>
      </c>
      <c r="I1106" s="215"/>
      <c r="J1106" s="215">
        <v>0</v>
      </c>
      <c r="K1106" s="215">
        <v>37.5</v>
      </c>
      <c r="L1106" s="216">
        <v>32.46</v>
      </c>
    </row>
    <row r="1107" spans="1:12" hidden="1">
      <c r="A1107" s="209" t="s">
        <v>3908</v>
      </c>
      <c r="B1107" s="69" t="s">
        <v>2595</v>
      </c>
      <c r="C1107" s="69" t="s">
        <v>4565</v>
      </c>
      <c r="D1107" s="96" t="s">
        <v>2596</v>
      </c>
      <c r="E1107" s="210">
        <v>6</v>
      </c>
      <c r="F1107" s="122">
        <v>6.38</v>
      </c>
      <c r="G1107" s="122">
        <v>7.5</v>
      </c>
      <c r="H1107" s="208">
        <v>45</v>
      </c>
      <c r="I1107" s="215"/>
      <c r="J1107" s="215">
        <v>0</v>
      </c>
      <c r="K1107" s="215">
        <v>45</v>
      </c>
      <c r="L1107" s="216">
        <v>38.28</v>
      </c>
    </row>
    <row r="1108" spans="1:12" hidden="1">
      <c r="A1108" s="209" t="s">
        <v>3908</v>
      </c>
      <c r="B1108" s="69" t="s">
        <v>3662</v>
      </c>
      <c r="C1108" s="69" t="s">
        <v>4566</v>
      </c>
      <c r="D1108" s="96" t="s">
        <v>3663</v>
      </c>
      <c r="E1108" s="210">
        <v>1</v>
      </c>
      <c r="F1108" s="122">
        <v>118.16</v>
      </c>
      <c r="G1108" s="122">
        <v>136</v>
      </c>
      <c r="H1108" s="208">
        <v>136</v>
      </c>
      <c r="I1108" s="215"/>
      <c r="J1108" s="215">
        <v>0</v>
      </c>
      <c r="K1108" s="215">
        <v>136</v>
      </c>
      <c r="L1108" s="216">
        <v>118.16</v>
      </c>
    </row>
    <row r="1109" spans="1:12" hidden="1">
      <c r="A1109" s="209" t="s">
        <v>3908</v>
      </c>
      <c r="B1109" s="69" t="s">
        <v>904</v>
      </c>
      <c r="C1109" s="69" t="s">
        <v>4566</v>
      </c>
      <c r="D1109" s="96" t="s">
        <v>905</v>
      </c>
      <c r="E1109" s="210">
        <v>1</v>
      </c>
      <c r="F1109" s="122">
        <v>47.73</v>
      </c>
      <c r="G1109" s="122">
        <v>55</v>
      </c>
      <c r="H1109" s="208">
        <v>55</v>
      </c>
      <c r="I1109" s="215"/>
      <c r="J1109" s="215">
        <v>0</v>
      </c>
      <c r="K1109" s="215">
        <v>55</v>
      </c>
      <c r="L1109" s="216">
        <v>47.73</v>
      </c>
    </row>
    <row r="1110" spans="1:12" hidden="1">
      <c r="A1110" s="209" t="s">
        <v>3908</v>
      </c>
      <c r="B1110" s="69" t="s">
        <v>3348</v>
      </c>
      <c r="C1110" s="69" t="s">
        <v>4567</v>
      </c>
      <c r="D1110" s="96" t="s">
        <v>3349</v>
      </c>
      <c r="E1110" s="210">
        <v>1</v>
      </c>
      <c r="F1110" s="122">
        <v>5.74</v>
      </c>
      <c r="G1110" s="122">
        <v>7</v>
      </c>
      <c r="H1110" s="208">
        <v>7</v>
      </c>
      <c r="I1110" s="215"/>
      <c r="J1110" s="215">
        <v>0</v>
      </c>
      <c r="K1110" s="215">
        <v>7</v>
      </c>
      <c r="L1110" s="216">
        <v>5.74</v>
      </c>
    </row>
    <row r="1111" spans="1:12" hidden="1">
      <c r="A1111" s="209" t="s">
        <v>3908</v>
      </c>
      <c r="B1111" s="69" t="s">
        <v>3894</v>
      </c>
      <c r="C1111" s="69" t="s">
        <v>4567</v>
      </c>
      <c r="D1111" s="96" t="s">
        <v>4400</v>
      </c>
      <c r="E1111" s="210">
        <v>1</v>
      </c>
      <c r="F1111" s="122">
        <v>5.61</v>
      </c>
      <c r="G1111" s="122">
        <v>6.5</v>
      </c>
      <c r="H1111" s="208">
        <v>6.5</v>
      </c>
      <c r="I1111" s="215"/>
      <c r="J1111" s="215">
        <v>0</v>
      </c>
      <c r="K1111" s="215">
        <v>6.5</v>
      </c>
      <c r="L1111" s="216">
        <v>5.61</v>
      </c>
    </row>
    <row r="1112" spans="1:12" hidden="1">
      <c r="A1112" s="209" t="s">
        <v>3908</v>
      </c>
      <c r="B1112" s="69" t="s">
        <v>1162</v>
      </c>
      <c r="C1112" s="69" t="s">
        <v>4568</v>
      </c>
      <c r="D1112" s="96" t="s">
        <v>1163</v>
      </c>
      <c r="E1112" s="210">
        <v>1</v>
      </c>
      <c r="F1112" s="122">
        <v>21.88</v>
      </c>
      <c r="G1112" s="122">
        <v>25.25</v>
      </c>
      <c r="H1112" s="208">
        <v>25.25</v>
      </c>
      <c r="I1112" s="215"/>
      <c r="J1112" s="215">
        <v>0</v>
      </c>
      <c r="K1112" s="215">
        <v>25.25</v>
      </c>
      <c r="L1112" s="216">
        <v>21.88</v>
      </c>
    </row>
    <row r="1113" spans="1:12" hidden="1">
      <c r="A1113" s="209" t="s">
        <v>3908</v>
      </c>
      <c r="B1113" s="69" t="s">
        <v>3348</v>
      </c>
      <c r="C1113" s="69" t="s">
        <v>4568</v>
      </c>
      <c r="D1113" s="96" t="s">
        <v>3349</v>
      </c>
      <c r="E1113" s="210">
        <v>1</v>
      </c>
      <c r="F1113" s="122">
        <v>5.74</v>
      </c>
      <c r="G1113" s="122">
        <v>7</v>
      </c>
      <c r="H1113" s="208">
        <v>7</v>
      </c>
      <c r="I1113" s="215"/>
      <c r="J1113" s="215">
        <v>0</v>
      </c>
      <c r="K1113" s="215">
        <v>7</v>
      </c>
      <c r="L1113" s="216">
        <v>5.74</v>
      </c>
    </row>
    <row r="1114" spans="1:12" hidden="1">
      <c r="A1114" s="209" t="s">
        <v>3908</v>
      </c>
      <c r="B1114" s="69" t="s">
        <v>3142</v>
      </c>
      <c r="C1114" s="69" t="s">
        <v>4569</v>
      </c>
      <c r="D1114" s="96" t="s">
        <v>3143</v>
      </c>
      <c r="E1114" s="210">
        <v>1</v>
      </c>
      <c r="F1114" s="122">
        <v>23.21</v>
      </c>
      <c r="G1114" s="122">
        <v>26.75</v>
      </c>
      <c r="H1114" s="208">
        <v>26.75</v>
      </c>
      <c r="I1114" s="215"/>
      <c r="J1114" s="215">
        <v>0</v>
      </c>
      <c r="K1114" s="215">
        <v>26.75</v>
      </c>
      <c r="L1114" s="216">
        <v>23.21</v>
      </c>
    </row>
    <row r="1115" spans="1:12" hidden="1">
      <c r="A1115" s="209" t="s">
        <v>3908</v>
      </c>
      <c r="B1115" s="69" t="s">
        <v>1578</v>
      </c>
      <c r="C1115" s="69" t="s">
        <v>4570</v>
      </c>
      <c r="D1115" s="96" t="s">
        <v>1579</v>
      </c>
      <c r="E1115" s="210">
        <v>1</v>
      </c>
      <c r="F1115" s="122">
        <v>309.11</v>
      </c>
      <c r="G1115" s="122">
        <v>355.5</v>
      </c>
      <c r="H1115" s="208">
        <v>355.5</v>
      </c>
      <c r="I1115" s="215"/>
      <c r="J1115" s="215">
        <v>0</v>
      </c>
      <c r="K1115" s="215">
        <v>355.5</v>
      </c>
      <c r="L1115" s="216">
        <v>309.11</v>
      </c>
    </row>
    <row r="1116" spans="1:12" hidden="1">
      <c r="A1116" s="209" t="s">
        <v>3908</v>
      </c>
      <c r="B1116" s="69" t="s">
        <v>180</v>
      </c>
      <c r="C1116" s="69" t="s">
        <v>4571</v>
      </c>
      <c r="D1116" s="96" t="s">
        <v>181</v>
      </c>
      <c r="E1116" s="210">
        <v>1</v>
      </c>
      <c r="F1116" s="122">
        <v>16.579999999999998</v>
      </c>
      <c r="G1116" s="122">
        <v>19</v>
      </c>
      <c r="H1116" s="208">
        <v>19</v>
      </c>
      <c r="I1116" s="215"/>
      <c r="J1116" s="215">
        <v>0</v>
      </c>
      <c r="K1116" s="215">
        <v>19</v>
      </c>
      <c r="L1116" s="216">
        <v>16.579999999999998</v>
      </c>
    </row>
    <row r="1117" spans="1:12" hidden="1">
      <c r="A1117" s="209" t="s">
        <v>3908</v>
      </c>
      <c r="B1117" s="69" t="s">
        <v>2044</v>
      </c>
      <c r="C1117" s="69" t="s">
        <v>4572</v>
      </c>
      <c r="D1117" s="96" t="s">
        <v>2045</v>
      </c>
      <c r="E1117" s="210">
        <v>1</v>
      </c>
      <c r="F1117" s="122">
        <v>30.21</v>
      </c>
      <c r="G1117" s="122">
        <v>38</v>
      </c>
      <c r="H1117" s="208">
        <v>38</v>
      </c>
      <c r="I1117" s="215"/>
      <c r="J1117" s="215">
        <v>0</v>
      </c>
      <c r="K1117" s="215">
        <v>38</v>
      </c>
      <c r="L1117" s="216">
        <v>30.21</v>
      </c>
    </row>
    <row r="1118" spans="1:12" hidden="1">
      <c r="A1118" s="209" t="s">
        <v>3908</v>
      </c>
      <c r="B1118" s="69" t="s">
        <v>740</v>
      </c>
      <c r="C1118" s="69" t="s">
        <v>4572</v>
      </c>
      <c r="D1118" s="96" t="s">
        <v>741</v>
      </c>
      <c r="E1118" s="210">
        <v>1</v>
      </c>
      <c r="F1118" s="122">
        <v>23.63</v>
      </c>
      <c r="G1118" s="122">
        <v>27.25</v>
      </c>
      <c r="H1118" s="208">
        <v>27.25</v>
      </c>
      <c r="I1118" s="215"/>
      <c r="J1118" s="215">
        <v>0</v>
      </c>
      <c r="K1118" s="215">
        <v>27.25</v>
      </c>
      <c r="L1118" s="216">
        <v>23.63</v>
      </c>
    </row>
    <row r="1119" spans="1:12" hidden="1">
      <c r="A1119" s="209" t="s">
        <v>3908</v>
      </c>
      <c r="B1119" s="69" t="s">
        <v>2759</v>
      </c>
      <c r="C1119" s="69" t="s">
        <v>4573</v>
      </c>
      <c r="D1119" s="96" t="s">
        <v>2760</v>
      </c>
      <c r="E1119" s="210">
        <v>1</v>
      </c>
      <c r="F1119" s="122">
        <v>203</v>
      </c>
      <c r="G1119" s="122">
        <v>290</v>
      </c>
      <c r="H1119" s="208">
        <v>290</v>
      </c>
      <c r="I1119" s="215"/>
      <c r="J1119" s="215">
        <v>0</v>
      </c>
      <c r="K1119" s="215">
        <v>290</v>
      </c>
      <c r="L1119" s="216">
        <v>203</v>
      </c>
    </row>
    <row r="1120" spans="1:12" hidden="1">
      <c r="A1120" s="209" t="s">
        <v>3908</v>
      </c>
      <c r="B1120" s="69" t="s">
        <v>3411</v>
      </c>
      <c r="C1120" s="69" t="s">
        <v>4573</v>
      </c>
      <c r="D1120" s="96" t="s">
        <v>3412</v>
      </c>
      <c r="E1120" s="210">
        <v>1</v>
      </c>
      <c r="F1120" s="122">
        <v>6</v>
      </c>
      <c r="G1120" s="122">
        <v>20</v>
      </c>
      <c r="H1120" s="208">
        <v>20</v>
      </c>
      <c r="I1120" s="215"/>
      <c r="J1120" s="215">
        <v>0</v>
      </c>
      <c r="K1120" s="215">
        <v>20</v>
      </c>
      <c r="L1120" s="216">
        <v>6</v>
      </c>
    </row>
    <row r="1121" spans="1:12" hidden="1">
      <c r="A1121" s="209" t="s">
        <v>3908</v>
      </c>
      <c r="B1121" s="69" t="s">
        <v>355</v>
      </c>
      <c r="C1121" s="69" t="s">
        <v>4574</v>
      </c>
      <c r="D1121" s="96" t="s">
        <v>356</v>
      </c>
      <c r="E1121" s="210">
        <v>1</v>
      </c>
      <c r="F1121" s="122">
        <v>7.48</v>
      </c>
      <c r="G1121" s="122">
        <v>8.75</v>
      </c>
      <c r="H1121" s="208">
        <v>8.75</v>
      </c>
      <c r="I1121" s="215"/>
      <c r="J1121" s="215">
        <v>0</v>
      </c>
      <c r="K1121" s="215">
        <v>8.75</v>
      </c>
      <c r="L1121" s="216">
        <v>7.48</v>
      </c>
    </row>
    <row r="1122" spans="1:12" hidden="1">
      <c r="A1122" s="209" t="s">
        <v>3908</v>
      </c>
      <c r="B1122" s="69" t="s">
        <v>3336</v>
      </c>
      <c r="C1122" s="69" t="s">
        <v>4574</v>
      </c>
      <c r="D1122" s="96" t="s">
        <v>3337</v>
      </c>
      <c r="E1122" s="210">
        <v>1</v>
      </c>
      <c r="F1122" s="122">
        <v>3.6</v>
      </c>
      <c r="G1122" s="122">
        <v>4.25</v>
      </c>
      <c r="H1122" s="208">
        <v>4.25</v>
      </c>
      <c r="I1122" s="215"/>
      <c r="J1122" s="215">
        <v>0</v>
      </c>
      <c r="K1122" s="215">
        <v>4.25</v>
      </c>
      <c r="L1122" s="216">
        <v>3.6</v>
      </c>
    </row>
    <row r="1123" spans="1:12" hidden="1">
      <c r="A1123" s="209" t="s">
        <v>3908</v>
      </c>
      <c r="B1123" s="69" t="s">
        <v>1162</v>
      </c>
      <c r="C1123" s="69" t="s">
        <v>4575</v>
      </c>
      <c r="D1123" s="96" t="s">
        <v>1163</v>
      </c>
      <c r="E1123" s="210">
        <v>1</v>
      </c>
      <c r="F1123" s="122">
        <v>21.88</v>
      </c>
      <c r="G1123" s="122">
        <v>25.25</v>
      </c>
      <c r="H1123" s="208">
        <v>25.25</v>
      </c>
      <c r="I1123" s="215"/>
      <c r="J1123" s="215">
        <v>0</v>
      </c>
      <c r="K1123" s="215">
        <v>25.25</v>
      </c>
      <c r="L1123" s="216">
        <v>21.88</v>
      </c>
    </row>
    <row r="1124" spans="1:12" hidden="1">
      <c r="A1124" s="209" t="s">
        <v>3908</v>
      </c>
      <c r="B1124" s="69" t="s">
        <v>3906</v>
      </c>
      <c r="C1124" s="69" t="s">
        <v>4575</v>
      </c>
      <c r="D1124" s="96" t="s">
        <v>4519</v>
      </c>
      <c r="E1124" s="210">
        <v>1</v>
      </c>
      <c r="F1124" s="122">
        <v>5.74</v>
      </c>
      <c r="G1124" s="122">
        <v>7</v>
      </c>
      <c r="H1124" s="208">
        <v>7</v>
      </c>
      <c r="I1124" s="215"/>
      <c r="J1124" s="215">
        <v>0</v>
      </c>
      <c r="K1124" s="215">
        <v>7</v>
      </c>
      <c r="L1124" s="216">
        <v>5.74</v>
      </c>
    </row>
    <row r="1125" spans="1:12" hidden="1">
      <c r="A1125" s="209" t="s">
        <v>3908</v>
      </c>
      <c r="B1125" s="69" t="s">
        <v>1790</v>
      </c>
      <c r="C1125" s="69" t="s">
        <v>4576</v>
      </c>
      <c r="D1125" s="96" t="s">
        <v>1791</v>
      </c>
      <c r="E1125" s="210">
        <v>1</v>
      </c>
      <c r="F1125" s="122">
        <v>9.17</v>
      </c>
      <c r="G1125" s="122">
        <v>10.75</v>
      </c>
      <c r="H1125" s="208">
        <v>10.75</v>
      </c>
      <c r="I1125" s="215"/>
      <c r="J1125" s="215">
        <v>0</v>
      </c>
      <c r="K1125" s="215">
        <v>10.75</v>
      </c>
      <c r="L1125" s="216">
        <v>9.17</v>
      </c>
    </row>
    <row r="1126" spans="1:12" hidden="1">
      <c r="A1126" s="209" t="s">
        <v>3908</v>
      </c>
      <c r="B1126" s="69" t="s">
        <v>3636</v>
      </c>
      <c r="C1126" s="69" t="s">
        <v>4577</v>
      </c>
      <c r="D1126" s="96" t="s">
        <v>3637</v>
      </c>
      <c r="E1126" s="210">
        <v>7</v>
      </c>
      <c r="F1126" s="122">
        <v>0.76</v>
      </c>
      <c r="G1126" s="122">
        <v>1</v>
      </c>
      <c r="H1126" s="208">
        <v>7</v>
      </c>
      <c r="I1126" s="215"/>
      <c r="J1126" s="215">
        <v>0</v>
      </c>
      <c r="K1126" s="215">
        <v>7</v>
      </c>
      <c r="L1126" s="216">
        <v>5.32</v>
      </c>
    </row>
    <row r="1127" spans="1:12" hidden="1">
      <c r="A1127" s="209" t="s">
        <v>3908</v>
      </c>
      <c r="B1127" s="69" t="s">
        <v>893</v>
      </c>
      <c r="C1127" s="69" t="s">
        <v>4578</v>
      </c>
      <c r="D1127" s="96" t="s">
        <v>894</v>
      </c>
      <c r="E1127" s="210">
        <v>1</v>
      </c>
      <c r="F1127" s="122">
        <v>96.67</v>
      </c>
      <c r="G1127" s="122">
        <v>111.25</v>
      </c>
      <c r="H1127" s="208">
        <v>111.25</v>
      </c>
      <c r="I1127" s="215"/>
      <c r="J1127" s="215">
        <v>0</v>
      </c>
      <c r="K1127" s="215">
        <v>111.25</v>
      </c>
      <c r="L1127" s="216">
        <v>96.67</v>
      </c>
    </row>
    <row r="1128" spans="1:12" hidden="1">
      <c r="A1128" s="209" t="s">
        <v>3908</v>
      </c>
      <c r="B1128" s="69" t="s">
        <v>2672</v>
      </c>
      <c r="C1128" s="69" t="s">
        <v>4578</v>
      </c>
      <c r="D1128" s="96" t="s">
        <v>2673</v>
      </c>
      <c r="E1128" s="210">
        <v>2</v>
      </c>
      <c r="F1128" s="122">
        <v>23.15</v>
      </c>
      <c r="G1128" s="122">
        <v>27</v>
      </c>
      <c r="H1128" s="208">
        <v>54</v>
      </c>
      <c r="I1128" s="215"/>
      <c r="J1128" s="215">
        <v>0</v>
      </c>
      <c r="K1128" s="215">
        <v>54</v>
      </c>
      <c r="L1128" s="216">
        <v>46.3</v>
      </c>
    </row>
    <row r="1129" spans="1:12" hidden="1">
      <c r="A1129" s="209" t="s">
        <v>3908</v>
      </c>
      <c r="B1129" s="69" t="s">
        <v>2455</v>
      </c>
      <c r="C1129" s="69" t="s">
        <v>4578</v>
      </c>
      <c r="D1129" s="96" t="s">
        <v>2456</v>
      </c>
      <c r="E1129" s="210">
        <v>1</v>
      </c>
      <c r="F1129" s="122">
        <v>155.63999999999999</v>
      </c>
      <c r="G1129" s="122">
        <v>179</v>
      </c>
      <c r="H1129" s="208">
        <v>179</v>
      </c>
      <c r="I1129" s="215"/>
      <c r="J1129" s="215">
        <v>0</v>
      </c>
      <c r="K1129" s="215">
        <v>179</v>
      </c>
      <c r="L1129" s="216">
        <v>155.63999999999999</v>
      </c>
    </row>
    <row r="1130" spans="1:12" hidden="1">
      <c r="A1130" s="209" t="s">
        <v>3908</v>
      </c>
      <c r="B1130" s="69" t="s">
        <v>81</v>
      </c>
      <c r="C1130" s="69" t="s">
        <v>4578</v>
      </c>
      <c r="D1130" s="96" t="s">
        <v>82</v>
      </c>
      <c r="E1130" s="210">
        <v>1</v>
      </c>
      <c r="F1130" s="122">
        <v>28.2</v>
      </c>
      <c r="G1130" s="122">
        <v>32.5</v>
      </c>
      <c r="H1130" s="208">
        <v>32.5</v>
      </c>
      <c r="I1130" s="215"/>
      <c r="J1130" s="215">
        <v>0</v>
      </c>
      <c r="K1130" s="215">
        <v>32.5</v>
      </c>
      <c r="L1130" s="216">
        <v>28.2</v>
      </c>
    </row>
    <row r="1131" spans="1:12" hidden="1">
      <c r="A1131" s="209" t="s">
        <v>3908</v>
      </c>
      <c r="B1131" s="69" t="s">
        <v>2303</v>
      </c>
      <c r="C1131" s="69" t="s">
        <v>4578</v>
      </c>
      <c r="D1131" s="96" t="s">
        <v>2304</v>
      </c>
      <c r="E1131" s="210">
        <v>1</v>
      </c>
      <c r="F1131" s="122">
        <v>56.66</v>
      </c>
      <c r="G1131" s="122">
        <v>65.25</v>
      </c>
      <c r="H1131" s="208">
        <v>65.25</v>
      </c>
      <c r="I1131" s="215"/>
      <c r="J1131" s="215">
        <v>0</v>
      </c>
      <c r="K1131" s="215">
        <v>65.25</v>
      </c>
      <c r="L1131" s="216">
        <v>56.66</v>
      </c>
    </row>
    <row r="1132" spans="1:12" hidden="1">
      <c r="A1132" s="209" t="s">
        <v>3908</v>
      </c>
      <c r="B1132" s="69" t="s">
        <v>3220</v>
      </c>
      <c r="C1132" s="69" t="s">
        <v>4578</v>
      </c>
      <c r="D1132" s="96" t="s">
        <v>3221</v>
      </c>
      <c r="E1132" s="210">
        <v>1</v>
      </c>
      <c r="F1132" s="122">
        <v>22.73</v>
      </c>
      <c r="G1132" s="122">
        <v>26.25</v>
      </c>
      <c r="H1132" s="208">
        <v>26.25</v>
      </c>
      <c r="I1132" s="215"/>
      <c r="J1132" s="215">
        <v>0</v>
      </c>
      <c r="K1132" s="215">
        <v>26.25</v>
      </c>
      <c r="L1132" s="216">
        <v>22.73</v>
      </c>
    </row>
    <row r="1133" spans="1:12" hidden="1">
      <c r="A1133" s="209" t="s">
        <v>3908</v>
      </c>
      <c r="B1133" s="69" t="s">
        <v>3747</v>
      </c>
      <c r="C1133" s="69" t="s">
        <v>4579</v>
      </c>
      <c r="D1133" s="96" t="s">
        <v>3748</v>
      </c>
      <c r="E1133" s="210">
        <v>1</v>
      </c>
      <c r="F1133" s="122">
        <v>50.88</v>
      </c>
      <c r="G1133" s="122">
        <v>58.75</v>
      </c>
      <c r="H1133" s="208">
        <v>58.75</v>
      </c>
      <c r="I1133" s="215"/>
      <c r="J1133" s="215">
        <v>0</v>
      </c>
      <c r="K1133" s="215">
        <v>58.75</v>
      </c>
      <c r="L1133" s="216">
        <v>50.88</v>
      </c>
    </row>
    <row r="1134" spans="1:12" hidden="1">
      <c r="A1134" s="209" t="s">
        <v>3908</v>
      </c>
      <c r="B1134" s="69" t="s">
        <v>100</v>
      </c>
      <c r="C1134" s="69" t="s">
        <v>4579</v>
      </c>
      <c r="D1134" s="96" t="s">
        <v>101</v>
      </c>
      <c r="E1134" s="210">
        <v>1</v>
      </c>
      <c r="F1134" s="122">
        <v>18.649999999999999</v>
      </c>
      <c r="G1134" s="122">
        <v>21.5</v>
      </c>
      <c r="H1134" s="208">
        <v>21.5</v>
      </c>
      <c r="I1134" s="215"/>
      <c r="J1134" s="215">
        <v>0</v>
      </c>
      <c r="K1134" s="215">
        <v>21.5</v>
      </c>
      <c r="L1134" s="216">
        <v>18.649999999999999</v>
      </c>
    </row>
    <row r="1135" spans="1:12" hidden="1">
      <c r="A1135" s="209" t="s">
        <v>3908</v>
      </c>
      <c r="B1135" s="69" t="s">
        <v>452</v>
      </c>
      <c r="C1135" s="69" t="s">
        <v>4579</v>
      </c>
      <c r="D1135" s="96" t="s">
        <v>453</v>
      </c>
      <c r="E1135" s="210">
        <v>1</v>
      </c>
      <c r="F1135" s="122">
        <v>58.45</v>
      </c>
      <c r="G1135" s="122">
        <v>65</v>
      </c>
      <c r="H1135" s="208">
        <v>65</v>
      </c>
      <c r="I1135" s="215"/>
      <c r="J1135" s="215">
        <v>0</v>
      </c>
      <c r="K1135" s="215">
        <v>65</v>
      </c>
      <c r="L1135" s="216">
        <v>58.45</v>
      </c>
    </row>
    <row r="1136" spans="1:12" hidden="1">
      <c r="A1136" s="209" t="s">
        <v>3908</v>
      </c>
      <c r="B1136" s="69" t="s">
        <v>874</v>
      </c>
      <c r="C1136" s="69" t="s">
        <v>4580</v>
      </c>
      <c r="D1136" s="96" t="s">
        <v>875</v>
      </c>
      <c r="E1136" s="210">
        <v>1</v>
      </c>
      <c r="F1136" s="122">
        <v>8.1999999999999993</v>
      </c>
      <c r="G1136" s="122">
        <v>9.5</v>
      </c>
      <c r="H1136" s="208">
        <v>9.5</v>
      </c>
      <c r="I1136" s="215"/>
      <c r="J1136" s="215">
        <v>0</v>
      </c>
      <c r="K1136" s="215">
        <v>9.5</v>
      </c>
      <c r="L1136" s="216">
        <v>8.1999999999999993</v>
      </c>
    </row>
    <row r="1137" spans="1:12" hidden="1">
      <c r="A1137" s="209" t="s">
        <v>3908</v>
      </c>
      <c r="B1137" s="69" t="s">
        <v>3906</v>
      </c>
      <c r="C1137" s="69" t="s">
        <v>4581</v>
      </c>
      <c r="D1137" s="96" t="s">
        <v>4519</v>
      </c>
      <c r="E1137" s="210">
        <v>1</v>
      </c>
      <c r="F1137" s="122">
        <v>5.74</v>
      </c>
      <c r="G1137" s="122">
        <v>7</v>
      </c>
      <c r="H1137" s="208">
        <v>7</v>
      </c>
      <c r="I1137" s="215"/>
      <c r="J1137" s="215">
        <v>0</v>
      </c>
      <c r="K1137" s="215">
        <v>7</v>
      </c>
      <c r="L1137" s="216">
        <v>5.74</v>
      </c>
    </row>
    <row r="1138" spans="1:12" hidden="1">
      <c r="A1138" s="209" t="s">
        <v>3908</v>
      </c>
      <c r="B1138" s="69" t="s">
        <v>392</v>
      </c>
      <c r="C1138" s="69" t="s">
        <v>4582</v>
      </c>
      <c r="D1138" s="96" t="s">
        <v>393</v>
      </c>
      <c r="E1138" s="210">
        <v>1</v>
      </c>
      <c r="F1138" s="122">
        <v>54.05</v>
      </c>
      <c r="G1138" s="122">
        <v>63</v>
      </c>
      <c r="H1138" s="208">
        <v>63</v>
      </c>
      <c r="I1138" s="215"/>
      <c r="J1138" s="215">
        <v>0</v>
      </c>
      <c r="K1138" s="215">
        <v>63</v>
      </c>
      <c r="L1138" s="216">
        <v>54.05</v>
      </c>
    </row>
    <row r="1139" spans="1:12" hidden="1">
      <c r="A1139" s="209" t="s">
        <v>3908</v>
      </c>
      <c r="B1139" s="69" t="s">
        <v>390</v>
      </c>
      <c r="C1139" s="69" t="s">
        <v>4582</v>
      </c>
      <c r="D1139" s="96" t="s">
        <v>391</v>
      </c>
      <c r="E1139" s="210">
        <v>1</v>
      </c>
      <c r="F1139" s="122">
        <v>30.04</v>
      </c>
      <c r="G1139" s="122">
        <v>34.75</v>
      </c>
      <c r="H1139" s="208">
        <v>34.75</v>
      </c>
      <c r="I1139" s="215"/>
      <c r="J1139" s="215">
        <v>0</v>
      </c>
      <c r="K1139" s="215">
        <v>34.75</v>
      </c>
      <c r="L1139" s="216">
        <v>30.04</v>
      </c>
    </row>
    <row r="1140" spans="1:12" hidden="1">
      <c r="A1140" s="209" t="s">
        <v>3908</v>
      </c>
      <c r="B1140" s="69" t="s">
        <v>3631</v>
      </c>
      <c r="C1140" s="69" t="s">
        <v>4582</v>
      </c>
      <c r="D1140" s="96" t="s">
        <v>3632</v>
      </c>
      <c r="E1140" s="210">
        <v>1</v>
      </c>
      <c r="F1140" s="122">
        <v>42.87</v>
      </c>
      <c r="G1140" s="122">
        <v>49.5</v>
      </c>
      <c r="H1140" s="208">
        <v>49.5</v>
      </c>
      <c r="I1140" s="215"/>
      <c r="J1140" s="215">
        <v>0</v>
      </c>
      <c r="K1140" s="215">
        <v>49.5</v>
      </c>
      <c r="L1140" s="216">
        <v>42.87</v>
      </c>
    </row>
    <row r="1141" spans="1:12" hidden="1">
      <c r="A1141" s="209">
        <v>46231</v>
      </c>
      <c r="B1141" s="69" t="s">
        <v>77</v>
      </c>
      <c r="C1141" s="69" t="s">
        <v>4583</v>
      </c>
      <c r="D1141" s="96" t="s">
        <v>78</v>
      </c>
      <c r="E1141" s="69">
        <v>1</v>
      </c>
      <c r="F1141" s="122">
        <v>27.5</v>
      </c>
      <c r="G1141" s="122">
        <v>31.75</v>
      </c>
      <c r="H1141" s="208">
        <v>31.75</v>
      </c>
      <c r="I1141" s="215"/>
      <c r="J1141" s="215"/>
      <c r="K1141" s="215">
        <v>31.75</v>
      </c>
      <c r="L1141" s="216">
        <v>27.5</v>
      </c>
    </row>
    <row r="1142" spans="1:12" hidden="1">
      <c r="A1142" s="209">
        <v>46231</v>
      </c>
      <c r="B1142" s="69" t="s">
        <v>3334</v>
      </c>
      <c r="C1142" s="69" t="s">
        <v>4584</v>
      </c>
      <c r="D1142" s="96" t="s">
        <v>3335</v>
      </c>
      <c r="E1142" s="210">
        <v>2</v>
      </c>
      <c r="F1142" s="122">
        <v>3.6</v>
      </c>
      <c r="G1142" s="122">
        <v>4.25</v>
      </c>
      <c r="H1142" s="208">
        <v>8.5</v>
      </c>
      <c r="I1142" s="215"/>
      <c r="J1142" s="215"/>
      <c r="K1142" s="215">
        <v>8.5</v>
      </c>
      <c r="L1142" s="216">
        <v>7.2</v>
      </c>
    </row>
    <row r="1143" spans="1:12" hidden="1">
      <c r="A1143" s="209">
        <v>46231</v>
      </c>
      <c r="B1143" s="69" t="s">
        <v>180</v>
      </c>
      <c r="C1143" s="69" t="s">
        <v>4584</v>
      </c>
      <c r="D1143" s="96" t="s">
        <v>181</v>
      </c>
      <c r="E1143" s="69">
        <v>1</v>
      </c>
      <c r="F1143" s="122">
        <v>16.579999999999998</v>
      </c>
      <c r="G1143" s="122">
        <v>19</v>
      </c>
      <c r="H1143" s="208">
        <v>19</v>
      </c>
      <c r="I1143" s="215"/>
      <c r="J1143" s="215"/>
      <c r="K1143" s="215">
        <v>19</v>
      </c>
      <c r="L1143" s="216">
        <v>16.579999999999998</v>
      </c>
    </row>
    <row r="1144" spans="1:12" hidden="1">
      <c r="A1144" s="209">
        <v>46231</v>
      </c>
      <c r="B1144" s="69" t="s">
        <v>3636</v>
      </c>
      <c r="C1144" s="69" t="s">
        <v>4585</v>
      </c>
      <c r="D1144" s="96" t="s">
        <v>3637</v>
      </c>
      <c r="E1144" s="69">
        <v>3</v>
      </c>
      <c r="F1144" s="122">
        <v>0.76</v>
      </c>
      <c r="G1144" s="122">
        <v>1</v>
      </c>
      <c r="H1144" s="208">
        <v>3</v>
      </c>
      <c r="I1144" s="215"/>
      <c r="J1144" s="215"/>
      <c r="K1144" s="215">
        <v>3</v>
      </c>
      <c r="L1144" s="216">
        <v>2.2800000000000002</v>
      </c>
    </row>
    <row r="1145" spans="1:12" hidden="1">
      <c r="A1145" s="209">
        <v>46231</v>
      </c>
      <c r="B1145" s="69" t="s">
        <v>795</v>
      </c>
      <c r="C1145" s="69" t="s">
        <v>4586</v>
      </c>
      <c r="D1145" s="96" t="s">
        <v>796</v>
      </c>
      <c r="E1145" s="69">
        <v>1</v>
      </c>
      <c r="F1145" s="122">
        <v>38</v>
      </c>
      <c r="G1145" s="122">
        <v>43.75</v>
      </c>
      <c r="H1145" s="208">
        <v>43.75</v>
      </c>
      <c r="I1145" s="215"/>
      <c r="J1145" s="215"/>
      <c r="K1145" s="215">
        <v>43.75</v>
      </c>
      <c r="L1145" s="216">
        <v>38</v>
      </c>
    </row>
    <row r="1146" spans="1:12" hidden="1">
      <c r="A1146" s="209">
        <v>46231</v>
      </c>
      <c r="B1146" s="69" t="s">
        <v>2287</v>
      </c>
      <c r="C1146" s="69" t="s">
        <v>4587</v>
      </c>
      <c r="D1146" s="96" t="s">
        <v>2288</v>
      </c>
      <c r="E1146" s="69">
        <v>2</v>
      </c>
      <c r="F1146" s="122">
        <v>6</v>
      </c>
      <c r="G1146" s="122">
        <v>7</v>
      </c>
      <c r="H1146" s="208">
        <v>14</v>
      </c>
      <c r="I1146" s="215"/>
      <c r="J1146" s="215"/>
      <c r="K1146" s="215">
        <v>14</v>
      </c>
      <c r="L1146" s="216">
        <v>12</v>
      </c>
    </row>
    <row r="1147" spans="1:12" hidden="1">
      <c r="A1147" s="209">
        <v>46231</v>
      </c>
      <c r="B1147" s="69" t="s">
        <v>1024</v>
      </c>
      <c r="C1147" s="69" t="s">
        <v>4588</v>
      </c>
      <c r="D1147" s="96" t="s">
        <v>1025</v>
      </c>
      <c r="E1147" s="69">
        <v>2</v>
      </c>
      <c r="F1147" s="122">
        <v>8.58</v>
      </c>
      <c r="G1147" s="122">
        <v>10</v>
      </c>
      <c r="H1147" s="208">
        <v>20</v>
      </c>
      <c r="I1147" s="215"/>
      <c r="J1147" s="215"/>
      <c r="K1147" s="215">
        <v>20</v>
      </c>
      <c r="L1147" s="216">
        <v>17.16</v>
      </c>
    </row>
    <row r="1148" spans="1:12" hidden="1">
      <c r="A1148" s="209">
        <v>46231</v>
      </c>
      <c r="B1148" s="69" t="s">
        <v>1610</v>
      </c>
      <c r="C1148" s="69" t="s">
        <v>4589</v>
      </c>
      <c r="D1148" s="96" t="s">
        <v>1611</v>
      </c>
      <c r="E1148" s="69">
        <v>2</v>
      </c>
      <c r="F1148" s="122">
        <v>37.47</v>
      </c>
      <c r="G1148" s="122">
        <v>43.25</v>
      </c>
      <c r="H1148" s="208">
        <v>86.5</v>
      </c>
      <c r="I1148" s="215"/>
      <c r="J1148" s="215"/>
      <c r="K1148" s="215">
        <v>86.5</v>
      </c>
      <c r="L1148" s="216">
        <v>74.94</v>
      </c>
    </row>
    <row r="1149" spans="1:12" hidden="1">
      <c r="A1149" s="209">
        <v>46231</v>
      </c>
      <c r="B1149" s="69" t="s">
        <v>1497</v>
      </c>
      <c r="C1149" s="69" t="s">
        <v>4589</v>
      </c>
      <c r="D1149" s="96" t="s">
        <v>1498</v>
      </c>
      <c r="E1149" s="69">
        <v>2</v>
      </c>
      <c r="F1149" s="122">
        <v>68.569999999999993</v>
      </c>
      <c r="G1149" s="122">
        <v>79</v>
      </c>
      <c r="H1149" s="208">
        <v>158</v>
      </c>
      <c r="I1149" s="215"/>
      <c r="J1149" s="215"/>
      <c r="K1149" s="215">
        <v>158</v>
      </c>
      <c r="L1149" s="216">
        <v>137.13999999999999</v>
      </c>
    </row>
    <row r="1150" spans="1:12" hidden="1">
      <c r="A1150" s="209">
        <v>46231</v>
      </c>
      <c r="B1150" s="69" t="s">
        <v>3646</v>
      </c>
      <c r="C1150" s="69" t="s">
        <v>4590</v>
      </c>
      <c r="D1150" s="96" t="s">
        <v>3647</v>
      </c>
      <c r="E1150" s="69">
        <v>4</v>
      </c>
      <c r="F1150" s="122">
        <v>32.76</v>
      </c>
      <c r="G1150" s="122">
        <v>37.75</v>
      </c>
      <c r="H1150" s="208">
        <v>151</v>
      </c>
      <c r="I1150" s="215"/>
      <c r="J1150" s="215"/>
      <c r="K1150" s="215">
        <v>151</v>
      </c>
      <c r="L1150" s="216">
        <v>131.04</v>
      </c>
    </row>
    <row r="1151" spans="1:12" hidden="1">
      <c r="A1151" s="209">
        <v>46231</v>
      </c>
      <c r="B1151" s="69" t="s">
        <v>877</v>
      </c>
      <c r="C1151" s="69" t="s">
        <v>4591</v>
      </c>
      <c r="D1151" s="96" t="s">
        <v>878</v>
      </c>
      <c r="E1151" s="69">
        <v>1</v>
      </c>
      <c r="F1151" s="122">
        <v>8.1999999999999993</v>
      </c>
      <c r="G1151" s="122">
        <v>9.5</v>
      </c>
      <c r="H1151" s="208">
        <v>9.5</v>
      </c>
      <c r="I1151" s="215"/>
      <c r="J1151" s="215"/>
      <c r="K1151" s="215">
        <v>9.5</v>
      </c>
      <c r="L1151" s="216">
        <v>8.1999999999999993</v>
      </c>
    </row>
    <row r="1152" spans="1:12" hidden="1">
      <c r="A1152" s="209">
        <v>46231</v>
      </c>
      <c r="B1152" s="69" t="s">
        <v>3348</v>
      </c>
      <c r="C1152" s="69" t="s">
        <v>4592</v>
      </c>
      <c r="D1152" s="96" t="s">
        <v>3349</v>
      </c>
      <c r="E1152" s="69">
        <v>2</v>
      </c>
      <c r="F1152" s="122">
        <v>5.74</v>
      </c>
      <c r="G1152" s="122">
        <v>7</v>
      </c>
      <c r="H1152" s="208">
        <v>14</v>
      </c>
      <c r="I1152" s="215"/>
      <c r="J1152" s="215"/>
      <c r="K1152" s="215">
        <v>14</v>
      </c>
      <c r="L1152" s="216">
        <v>11.48</v>
      </c>
    </row>
    <row r="1153" spans="1:12" hidden="1">
      <c r="A1153" s="209">
        <v>46231</v>
      </c>
      <c r="B1153" s="69" t="s">
        <v>3804</v>
      </c>
      <c r="C1153" s="69" t="s">
        <v>4592</v>
      </c>
      <c r="D1153" s="96" t="s">
        <v>3790</v>
      </c>
      <c r="E1153" s="69">
        <v>1</v>
      </c>
      <c r="F1153" s="122">
        <v>8.75</v>
      </c>
      <c r="G1153" s="122">
        <v>10.25</v>
      </c>
      <c r="H1153" s="208">
        <v>10.25</v>
      </c>
      <c r="I1153" s="215"/>
      <c r="J1153" s="215"/>
      <c r="K1153" s="215">
        <v>10.25</v>
      </c>
      <c r="L1153" s="216">
        <v>8.75</v>
      </c>
    </row>
    <row r="1154" spans="1:12" hidden="1">
      <c r="A1154" s="209">
        <v>46231</v>
      </c>
      <c r="B1154" s="69" t="s">
        <v>3348</v>
      </c>
      <c r="C1154" s="69" t="s">
        <v>4593</v>
      </c>
      <c r="D1154" s="96" t="s">
        <v>3349</v>
      </c>
      <c r="E1154" s="69">
        <v>1</v>
      </c>
      <c r="F1154" s="122">
        <v>5.74</v>
      </c>
      <c r="G1154" s="122">
        <v>7</v>
      </c>
      <c r="H1154" s="208">
        <v>7</v>
      </c>
      <c r="I1154" s="215"/>
      <c r="J1154" s="215"/>
      <c r="K1154" s="215">
        <v>7</v>
      </c>
      <c r="L1154" s="216">
        <v>5.74</v>
      </c>
    </row>
    <row r="1155" spans="1:12" hidden="1">
      <c r="A1155" s="209">
        <v>46231</v>
      </c>
      <c r="B1155" s="69" t="s">
        <v>1974</v>
      </c>
      <c r="C1155" s="69" t="s">
        <v>4594</v>
      </c>
      <c r="D1155" s="96" t="s">
        <v>1975</v>
      </c>
      <c r="E1155" s="69">
        <v>1</v>
      </c>
      <c r="F1155" s="211">
        <v>23.62</v>
      </c>
      <c r="G1155" s="211">
        <v>27.75</v>
      </c>
      <c r="H1155" s="208">
        <v>27.75</v>
      </c>
      <c r="I1155" s="215"/>
      <c r="J1155" s="215"/>
      <c r="K1155" s="215">
        <v>27.75</v>
      </c>
      <c r="L1155" s="216">
        <v>23.62</v>
      </c>
    </row>
    <row r="1156" spans="1:12" hidden="1">
      <c r="A1156" s="209">
        <v>46231</v>
      </c>
      <c r="B1156" s="69" t="s">
        <v>981</v>
      </c>
      <c r="C1156" s="69" t="s">
        <v>4594</v>
      </c>
      <c r="D1156" s="96" t="s">
        <v>982</v>
      </c>
      <c r="E1156" s="69">
        <v>1</v>
      </c>
      <c r="F1156" s="211">
        <v>13.32</v>
      </c>
      <c r="G1156" s="211">
        <v>15.5</v>
      </c>
      <c r="H1156" s="208">
        <v>15.5</v>
      </c>
      <c r="I1156" s="215"/>
      <c r="J1156" s="215"/>
      <c r="K1156" s="215">
        <v>15.5</v>
      </c>
      <c r="L1156" s="216">
        <v>13.32</v>
      </c>
    </row>
    <row r="1157" spans="1:12" hidden="1">
      <c r="A1157" s="209">
        <v>46231</v>
      </c>
      <c r="B1157" s="69" t="s">
        <v>740</v>
      </c>
      <c r="C1157" s="69" t="s">
        <v>4595</v>
      </c>
      <c r="D1157" s="96" t="s">
        <v>741</v>
      </c>
      <c r="E1157" s="69">
        <v>2</v>
      </c>
      <c r="F1157" s="211">
        <v>23.63</v>
      </c>
      <c r="G1157" s="211">
        <v>27.25</v>
      </c>
      <c r="H1157" s="208">
        <v>54.5</v>
      </c>
      <c r="I1157" s="215"/>
      <c r="J1157" s="215"/>
      <c r="K1157" s="215">
        <v>54.5</v>
      </c>
      <c r="L1157" s="216">
        <v>47.26</v>
      </c>
    </row>
    <row r="1158" spans="1:12" hidden="1">
      <c r="A1158" s="209">
        <v>46231</v>
      </c>
      <c r="B1158" s="69" t="s">
        <v>2219</v>
      </c>
      <c r="C1158" s="69" t="s">
        <v>4596</v>
      </c>
      <c r="D1158" s="96" t="s">
        <v>2220</v>
      </c>
      <c r="E1158" s="69">
        <v>1</v>
      </c>
      <c r="F1158" s="211">
        <v>30</v>
      </c>
      <c r="G1158" s="211">
        <v>34.5</v>
      </c>
      <c r="H1158" s="208">
        <v>34.5</v>
      </c>
      <c r="I1158" s="215"/>
      <c r="J1158" s="215"/>
      <c r="K1158" s="215">
        <v>34.5</v>
      </c>
      <c r="L1158" s="216">
        <v>30</v>
      </c>
    </row>
    <row r="1159" spans="1:12" hidden="1">
      <c r="A1159" s="209">
        <v>46231</v>
      </c>
      <c r="B1159" s="69" t="s">
        <v>3636</v>
      </c>
      <c r="C1159" s="69" t="s">
        <v>4597</v>
      </c>
      <c r="D1159" s="96" t="s">
        <v>3637</v>
      </c>
      <c r="E1159" s="69">
        <v>8</v>
      </c>
      <c r="F1159" s="211">
        <v>0.76</v>
      </c>
      <c r="G1159" s="211">
        <v>1</v>
      </c>
      <c r="H1159" s="208">
        <v>8</v>
      </c>
      <c r="I1159" s="215"/>
      <c r="J1159" s="215"/>
      <c r="K1159" s="215">
        <v>8</v>
      </c>
      <c r="L1159" s="216">
        <v>6.08</v>
      </c>
    </row>
    <row r="1160" spans="1:12" hidden="1">
      <c r="A1160" s="209">
        <v>46231</v>
      </c>
      <c r="B1160" s="69" t="s">
        <v>1014</v>
      </c>
      <c r="C1160" s="69" t="s">
        <v>4598</v>
      </c>
      <c r="D1160" s="96" t="s">
        <v>1015</v>
      </c>
      <c r="E1160" s="69">
        <v>1</v>
      </c>
      <c r="F1160" s="122">
        <v>44.78</v>
      </c>
      <c r="G1160" s="122">
        <v>59.5</v>
      </c>
      <c r="H1160" s="208">
        <v>59.5</v>
      </c>
      <c r="I1160" s="215"/>
      <c r="J1160" s="215"/>
      <c r="K1160" s="215">
        <v>59.5</v>
      </c>
      <c r="L1160" s="216">
        <v>44.78</v>
      </c>
    </row>
    <row r="1161" spans="1:12" hidden="1">
      <c r="A1161" s="209">
        <v>46231</v>
      </c>
      <c r="B1161" s="69" t="s">
        <v>3334</v>
      </c>
      <c r="C1161" s="69" t="s">
        <v>4599</v>
      </c>
      <c r="D1161" s="96" t="s">
        <v>3335</v>
      </c>
      <c r="E1161" s="69">
        <v>3</v>
      </c>
      <c r="F1161" s="122">
        <v>3.6</v>
      </c>
      <c r="G1161" s="122">
        <v>4.25</v>
      </c>
      <c r="H1161" s="208">
        <v>12.75</v>
      </c>
      <c r="I1161" s="215"/>
      <c r="J1161" s="215"/>
      <c r="K1161" s="215">
        <v>12.75</v>
      </c>
      <c r="L1161" s="216">
        <v>10.8</v>
      </c>
    </row>
    <row r="1162" spans="1:12" hidden="1">
      <c r="A1162" s="209">
        <v>46231</v>
      </c>
      <c r="B1162" s="69" t="s">
        <v>116</v>
      </c>
      <c r="C1162" s="69" t="s">
        <v>4599</v>
      </c>
      <c r="D1162" s="96" t="s">
        <v>117</v>
      </c>
      <c r="E1162" s="69">
        <v>1</v>
      </c>
      <c r="F1162" s="122">
        <v>7.75</v>
      </c>
      <c r="G1162" s="122">
        <v>9</v>
      </c>
      <c r="H1162" s="208">
        <v>9</v>
      </c>
      <c r="I1162" s="215"/>
      <c r="J1162" s="215"/>
      <c r="K1162" s="215">
        <v>9</v>
      </c>
      <c r="L1162" s="216">
        <v>7.75</v>
      </c>
    </row>
    <row r="1163" spans="1:12" hidden="1">
      <c r="A1163" s="209">
        <v>46231</v>
      </c>
      <c r="B1163" s="69" t="s">
        <v>3909</v>
      </c>
      <c r="C1163" s="69" t="s">
        <v>4600</v>
      </c>
      <c r="D1163" s="96" t="s">
        <v>4601</v>
      </c>
      <c r="E1163" s="69">
        <v>1</v>
      </c>
      <c r="F1163" s="122">
        <v>29.51</v>
      </c>
      <c r="G1163" s="122">
        <v>34</v>
      </c>
      <c r="H1163" s="208">
        <v>34</v>
      </c>
      <c r="I1163" s="215"/>
      <c r="J1163" s="215"/>
      <c r="K1163" s="215">
        <v>34</v>
      </c>
      <c r="L1163" s="216">
        <v>29.51</v>
      </c>
    </row>
    <row r="1164" spans="1:12" hidden="1">
      <c r="A1164" s="209">
        <v>46231</v>
      </c>
      <c r="B1164" s="69" t="s">
        <v>3894</v>
      </c>
      <c r="C1164" s="69" t="s">
        <v>4600</v>
      </c>
      <c r="D1164" s="96" t="s">
        <v>4400</v>
      </c>
      <c r="E1164" s="69">
        <v>2</v>
      </c>
      <c r="F1164" s="122">
        <v>5.61</v>
      </c>
      <c r="G1164" s="122">
        <v>6.5</v>
      </c>
      <c r="H1164" s="208">
        <v>13</v>
      </c>
      <c r="I1164" s="215"/>
      <c r="J1164" s="215"/>
      <c r="K1164" s="215">
        <v>13</v>
      </c>
      <c r="L1164" s="216">
        <v>11.22</v>
      </c>
    </row>
    <row r="1165" spans="1:12" hidden="1">
      <c r="A1165" s="209">
        <v>46231</v>
      </c>
      <c r="B1165" s="69" t="s">
        <v>1497</v>
      </c>
      <c r="C1165" s="69" t="s">
        <v>4602</v>
      </c>
      <c r="D1165" s="96" t="s">
        <v>1498</v>
      </c>
      <c r="E1165" s="69">
        <v>2</v>
      </c>
      <c r="F1165" s="122">
        <v>68.569999999999993</v>
      </c>
      <c r="G1165" s="122">
        <v>79</v>
      </c>
      <c r="H1165" s="208">
        <v>158</v>
      </c>
      <c r="I1165" s="215"/>
      <c r="J1165" s="215"/>
      <c r="K1165" s="215">
        <v>158</v>
      </c>
      <c r="L1165" s="216">
        <v>137.13999999999999</v>
      </c>
    </row>
    <row r="1166" spans="1:12" hidden="1">
      <c r="A1166" s="209">
        <v>46231</v>
      </c>
      <c r="B1166" s="69" t="s">
        <v>1610</v>
      </c>
      <c r="C1166" s="69" t="s">
        <v>4602</v>
      </c>
      <c r="D1166" s="96" t="s">
        <v>1611</v>
      </c>
      <c r="E1166" s="69">
        <v>3</v>
      </c>
      <c r="F1166" s="122">
        <v>37.47</v>
      </c>
      <c r="G1166" s="122">
        <v>43.25</v>
      </c>
      <c r="H1166" s="208">
        <v>129.75</v>
      </c>
      <c r="I1166" s="215"/>
      <c r="J1166" s="215"/>
      <c r="K1166" s="215">
        <v>129.75</v>
      </c>
      <c r="L1166" s="216">
        <v>112.41</v>
      </c>
    </row>
    <row r="1167" spans="1:12" hidden="1">
      <c r="A1167" s="209">
        <v>46231</v>
      </c>
      <c r="B1167" s="69" t="s">
        <v>1317</v>
      </c>
      <c r="C1167" s="69" t="s">
        <v>4603</v>
      </c>
      <c r="D1167" s="96" t="s">
        <v>1318</v>
      </c>
      <c r="E1167" s="69">
        <v>1</v>
      </c>
      <c r="F1167" s="122">
        <v>132.80000000000001</v>
      </c>
      <c r="G1167" s="122">
        <v>152.75</v>
      </c>
      <c r="H1167" s="208">
        <v>152.75</v>
      </c>
      <c r="I1167" s="215"/>
      <c r="J1167" s="215"/>
      <c r="K1167" s="215">
        <v>152.75</v>
      </c>
      <c r="L1167" s="216">
        <v>132.80000000000001</v>
      </c>
    </row>
    <row r="1168" spans="1:12" hidden="1">
      <c r="A1168" s="209">
        <v>46231</v>
      </c>
      <c r="B1168" s="69" t="s">
        <v>50</v>
      </c>
      <c r="C1168" s="69" t="s">
        <v>4604</v>
      </c>
      <c r="D1168" s="96" t="s">
        <v>51</v>
      </c>
      <c r="E1168" s="69">
        <v>1</v>
      </c>
      <c r="F1168" s="122">
        <v>19.100000000000001</v>
      </c>
      <c r="G1168" s="122">
        <v>22</v>
      </c>
      <c r="H1168" s="208">
        <v>22</v>
      </c>
      <c r="I1168" s="215"/>
      <c r="J1168" s="215"/>
      <c r="K1168" s="215">
        <v>22</v>
      </c>
      <c r="L1168" s="216">
        <v>19.100000000000001</v>
      </c>
    </row>
    <row r="1169" spans="1:12" hidden="1">
      <c r="A1169" s="209">
        <v>46231</v>
      </c>
      <c r="B1169" s="69" t="s">
        <v>3222</v>
      </c>
      <c r="C1169" s="69" t="s">
        <v>4605</v>
      </c>
      <c r="D1169" s="96" t="s">
        <v>3223</v>
      </c>
      <c r="E1169" s="69">
        <v>1</v>
      </c>
      <c r="F1169" s="122">
        <v>22.73</v>
      </c>
      <c r="G1169" s="122">
        <v>26.25</v>
      </c>
      <c r="H1169" s="208">
        <v>26.25</v>
      </c>
      <c r="I1169" s="215"/>
      <c r="J1169" s="215"/>
      <c r="K1169" s="215">
        <v>26.25</v>
      </c>
      <c r="L1169" s="216">
        <v>22.73</v>
      </c>
    </row>
    <row r="1170" spans="1:12" hidden="1">
      <c r="A1170" s="209">
        <v>46231</v>
      </c>
      <c r="B1170" s="69" t="s">
        <v>3891</v>
      </c>
      <c r="C1170" s="69" t="s">
        <v>4606</v>
      </c>
      <c r="D1170" s="96" t="s">
        <v>4379</v>
      </c>
      <c r="E1170" s="69">
        <v>1</v>
      </c>
      <c r="F1170" s="122">
        <v>6.89</v>
      </c>
      <c r="G1170" s="122">
        <v>8</v>
      </c>
      <c r="H1170" s="208">
        <v>8</v>
      </c>
      <c r="I1170" s="215"/>
      <c r="J1170" s="215"/>
      <c r="K1170" s="215">
        <v>8</v>
      </c>
      <c r="L1170" s="216">
        <v>6.89</v>
      </c>
    </row>
    <row r="1171" spans="1:12" hidden="1">
      <c r="A1171" s="209">
        <v>46231</v>
      </c>
      <c r="B1171" s="69" t="s">
        <v>50</v>
      </c>
      <c r="C1171" s="69" t="s">
        <v>4607</v>
      </c>
      <c r="D1171" s="96" t="s">
        <v>51</v>
      </c>
      <c r="E1171" s="69">
        <v>1</v>
      </c>
      <c r="F1171" s="122">
        <v>19.100000000000001</v>
      </c>
      <c r="G1171" s="122">
        <v>22</v>
      </c>
      <c r="H1171" s="208">
        <v>22</v>
      </c>
      <c r="I1171" s="215"/>
      <c r="J1171" s="215"/>
      <c r="K1171" s="215">
        <v>22</v>
      </c>
      <c r="L1171" s="216">
        <v>19.100000000000001</v>
      </c>
    </row>
    <row r="1172" spans="1:12" hidden="1">
      <c r="A1172" s="209">
        <v>46231</v>
      </c>
      <c r="B1172" s="69" t="s">
        <v>108</v>
      </c>
      <c r="C1172" s="69" t="s">
        <v>4608</v>
      </c>
      <c r="D1172" s="96" t="s">
        <v>109</v>
      </c>
      <c r="E1172" s="69">
        <v>1</v>
      </c>
      <c r="F1172" s="122">
        <v>7.06</v>
      </c>
      <c r="G1172" s="122">
        <v>8.25</v>
      </c>
      <c r="H1172" s="208">
        <v>8.25</v>
      </c>
      <c r="I1172" s="215"/>
      <c r="J1172" s="215"/>
      <c r="K1172" s="215">
        <v>8.25</v>
      </c>
      <c r="L1172" s="216">
        <v>7.06</v>
      </c>
    </row>
    <row r="1173" spans="1:12" hidden="1">
      <c r="A1173" s="209">
        <v>46231</v>
      </c>
      <c r="B1173" s="69" t="s">
        <v>102</v>
      </c>
      <c r="C1173" s="69" t="s">
        <v>4608</v>
      </c>
      <c r="D1173" s="96" t="s">
        <v>103</v>
      </c>
      <c r="E1173" s="69">
        <v>1</v>
      </c>
      <c r="F1173" s="122">
        <v>7.06</v>
      </c>
      <c r="G1173" s="122">
        <v>8.25</v>
      </c>
      <c r="H1173" s="208">
        <v>8.25</v>
      </c>
      <c r="I1173" s="215"/>
      <c r="J1173" s="215"/>
      <c r="K1173" s="215">
        <v>8.25</v>
      </c>
      <c r="L1173" s="216">
        <v>7.06</v>
      </c>
    </row>
    <row r="1174" spans="1:12" hidden="1">
      <c r="A1174" s="209">
        <v>46231</v>
      </c>
      <c r="B1174" s="69" t="s">
        <v>296</v>
      </c>
      <c r="C1174" s="69" t="s">
        <v>4609</v>
      </c>
      <c r="D1174" s="96" t="s">
        <v>297</v>
      </c>
      <c r="E1174" s="69">
        <v>2</v>
      </c>
      <c r="F1174" s="122">
        <v>7.06</v>
      </c>
      <c r="G1174" s="122">
        <v>8.25</v>
      </c>
      <c r="H1174" s="208">
        <v>16.5</v>
      </c>
      <c r="I1174" s="215"/>
      <c r="J1174" s="215"/>
      <c r="K1174" s="215">
        <v>16.5</v>
      </c>
      <c r="L1174" s="216">
        <v>14.12</v>
      </c>
    </row>
    <row r="1175" spans="1:12" hidden="1">
      <c r="A1175" s="209">
        <v>46231</v>
      </c>
      <c r="B1175" s="69" t="s">
        <v>877</v>
      </c>
      <c r="C1175" s="69" t="s">
        <v>4610</v>
      </c>
      <c r="D1175" s="96" t="s">
        <v>878</v>
      </c>
      <c r="E1175" s="69">
        <v>1</v>
      </c>
      <c r="F1175" s="122">
        <v>8.1999999999999993</v>
      </c>
      <c r="G1175" s="122">
        <v>9.5</v>
      </c>
      <c r="H1175" s="208">
        <v>9.5</v>
      </c>
      <c r="I1175" s="215"/>
      <c r="J1175" s="215"/>
      <c r="K1175" s="215">
        <v>9.5</v>
      </c>
      <c r="L1175" s="216">
        <v>8.1999999999999993</v>
      </c>
    </row>
    <row r="1176" spans="1:12" hidden="1">
      <c r="A1176" s="209">
        <v>46231</v>
      </c>
      <c r="B1176" s="69" t="s">
        <v>50</v>
      </c>
      <c r="C1176" s="69" t="s">
        <v>4610</v>
      </c>
      <c r="D1176" s="96" t="s">
        <v>51</v>
      </c>
      <c r="E1176" s="69">
        <v>1</v>
      </c>
      <c r="F1176" s="122">
        <v>19.100000000000001</v>
      </c>
      <c r="G1176" s="122">
        <v>22</v>
      </c>
      <c r="H1176" s="208">
        <v>22</v>
      </c>
      <c r="I1176" s="215"/>
      <c r="J1176" s="215"/>
      <c r="K1176" s="215">
        <v>22</v>
      </c>
      <c r="L1176" s="216">
        <v>19.100000000000001</v>
      </c>
    </row>
    <row r="1177" spans="1:12" hidden="1">
      <c r="A1177" s="209">
        <v>46231</v>
      </c>
      <c r="B1177" s="69" t="s">
        <v>3910</v>
      </c>
      <c r="C1177" s="69" t="s">
        <v>4611</v>
      </c>
      <c r="D1177" s="96" t="s">
        <v>4612</v>
      </c>
      <c r="E1177" s="69">
        <v>1</v>
      </c>
      <c r="F1177" s="122">
        <v>22000</v>
      </c>
      <c r="G1177" s="122">
        <v>24000</v>
      </c>
      <c r="H1177" s="208"/>
      <c r="I1177" s="215">
        <v>24000</v>
      </c>
      <c r="J1177" s="215"/>
      <c r="K1177" s="215">
        <v>24000</v>
      </c>
      <c r="L1177" s="216">
        <v>22000</v>
      </c>
    </row>
    <row r="1178" spans="1:12" hidden="1">
      <c r="A1178" s="209">
        <v>46231</v>
      </c>
      <c r="B1178" s="69" t="s">
        <v>1204</v>
      </c>
      <c r="C1178" s="69" t="s">
        <v>4613</v>
      </c>
      <c r="D1178" s="96" t="s">
        <v>1205</v>
      </c>
      <c r="E1178" s="69">
        <v>2</v>
      </c>
      <c r="F1178" s="122">
        <v>56.31</v>
      </c>
      <c r="G1178" s="122">
        <v>67.5</v>
      </c>
      <c r="H1178" s="208">
        <v>135</v>
      </c>
      <c r="I1178" s="215"/>
      <c r="J1178" s="215"/>
      <c r="K1178" s="215">
        <v>135</v>
      </c>
      <c r="L1178" s="216">
        <v>112.62</v>
      </c>
    </row>
    <row r="1179" spans="1:12" hidden="1">
      <c r="A1179" s="209">
        <v>46231</v>
      </c>
      <c r="B1179" s="69" t="s">
        <v>1281</v>
      </c>
      <c r="C1179" s="69" t="s">
        <v>4613</v>
      </c>
      <c r="D1179" s="96" t="s">
        <v>1282</v>
      </c>
      <c r="E1179" s="69">
        <v>1</v>
      </c>
      <c r="F1179" s="122">
        <v>41.86</v>
      </c>
      <c r="G1179" s="122">
        <v>48.25</v>
      </c>
      <c r="H1179" s="208">
        <v>48.25</v>
      </c>
      <c r="I1179" s="215"/>
      <c r="J1179" s="215"/>
      <c r="K1179" s="215">
        <v>48.25</v>
      </c>
      <c r="L1179" s="216">
        <v>41.86</v>
      </c>
    </row>
    <row r="1180" spans="1:12" hidden="1">
      <c r="A1180" s="209">
        <v>46231</v>
      </c>
      <c r="B1180" s="69" t="s">
        <v>1596</v>
      </c>
      <c r="C1180" s="69" t="s">
        <v>4613</v>
      </c>
      <c r="D1180" s="96" t="s">
        <v>1597</v>
      </c>
      <c r="E1180" s="69">
        <v>1</v>
      </c>
      <c r="F1180" s="122">
        <v>13.92</v>
      </c>
      <c r="G1180" s="122">
        <v>22</v>
      </c>
      <c r="H1180" s="208">
        <v>22</v>
      </c>
      <c r="I1180" s="215"/>
      <c r="J1180" s="215"/>
      <c r="K1180" s="215">
        <v>22</v>
      </c>
      <c r="L1180" s="216">
        <v>13.92</v>
      </c>
    </row>
    <row r="1181" spans="1:12" hidden="1">
      <c r="A1181" s="209">
        <v>46231</v>
      </c>
      <c r="B1181" s="69" t="s">
        <v>732</v>
      </c>
      <c r="C1181" s="69" t="s">
        <v>4614</v>
      </c>
      <c r="D1181" s="96" t="s">
        <v>733</v>
      </c>
      <c r="E1181" s="69">
        <v>1</v>
      </c>
      <c r="F1181" s="122">
        <v>22.19</v>
      </c>
      <c r="G1181" s="122">
        <v>25.75</v>
      </c>
      <c r="H1181" s="208">
        <v>25.75</v>
      </c>
      <c r="I1181" s="215"/>
      <c r="J1181" s="215"/>
      <c r="K1181" s="215">
        <v>25.75</v>
      </c>
      <c r="L1181" s="216">
        <v>22.19</v>
      </c>
    </row>
    <row r="1182" spans="1:12" hidden="1">
      <c r="A1182" s="209">
        <v>46231</v>
      </c>
      <c r="B1182" s="69" t="s">
        <v>478</v>
      </c>
      <c r="C1182" s="69" t="s">
        <v>4615</v>
      </c>
      <c r="D1182" s="96" t="s">
        <v>479</v>
      </c>
      <c r="E1182" s="210">
        <v>1</v>
      </c>
      <c r="F1182" s="122">
        <v>75</v>
      </c>
      <c r="G1182" s="122">
        <v>83</v>
      </c>
      <c r="H1182" s="208">
        <v>83</v>
      </c>
      <c r="I1182" s="215"/>
      <c r="J1182" s="215"/>
      <c r="K1182" s="215">
        <v>83</v>
      </c>
      <c r="L1182" s="216">
        <v>75</v>
      </c>
    </row>
    <row r="1183" spans="1:12" hidden="1">
      <c r="A1183" s="209">
        <v>46231</v>
      </c>
      <c r="B1183" s="69" t="s">
        <v>2205</v>
      </c>
      <c r="C1183" s="69" t="s">
        <v>4616</v>
      </c>
      <c r="D1183" s="96" t="s">
        <v>2206</v>
      </c>
      <c r="E1183" s="69">
        <v>2</v>
      </c>
      <c r="F1183" s="122">
        <v>302.13</v>
      </c>
      <c r="G1183" s="122">
        <v>362.75</v>
      </c>
      <c r="H1183" s="208">
        <v>725.5</v>
      </c>
      <c r="I1183" s="215"/>
      <c r="J1183" s="215"/>
      <c r="K1183" s="215">
        <v>725.5</v>
      </c>
      <c r="L1183" s="216">
        <v>604.26</v>
      </c>
    </row>
    <row r="1184" spans="1:12" hidden="1">
      <c r="A1184" s="209">
        <v>46232</v>
      </c>
      <c r="B1184" s="69" t="s">
        <v>3906</v>
      </c>
      <c r="C1184" s="69" t="s">
        <v>4617</v>
      </c>
      <c r="D1184" s="96" t="s">
        <v>4519</v>
      </c>
      <c r="E1184" s="69">
        <v>1</v>
      </c>
      <c r="F1184" s="122">
        <v>5.74</v>
      </c>
      <c r="G1184" s="122">
        <v>7</v>
      </c>
      <c r="H1184" s="208">
        <v>7</v>
      </c>
      <c r="I1184" s="215"/>
      <c r="J1184" s="215"/>
      <c r="K1184" s="215">
        <v>7</v>
      </c>
      <c r="L1184" s="216">
        <v>5.74</v>
      </c>
    </row>
    <row r="1185" spans="1:12" hidden="1">
      <c r="A1185" s="209">
        <v>46232</v>
      </c>
      <c r="B1185" s="69" t="s">
        <v>3348</v>
      </c>
      <c r="C1185" s="69" t="s">
        <v>4617</v>
      </c>
      <c r="D1185" s="96" t="s">
        <v>3349</v>
      </c>
      <c r="E1185" s="69">
        <v>1</v>
      </c>
      <c r="F1185" s="122">
        <v>5.74</v>
      </c>
      <c r="G1185" s="122">
        <v>7</v>
      </c>
      <c r="H1185" s="208">
        <v>7</v>
      </c>
      <c r="I1185" s="215"/>
      <c r="J1185" s="215"/>
      <c r="K1185" s="215">
        <v>7</v>
      </c>
      <c r="L1185" s="216">
        <v>5.74</v>
      </c>
    </row>
    <row r="1186" spans="1:12" hidden="1">
      <c r="A1186" s="209">
        <v>46232</v>
      </c>
      <c r="B1186" s="69" t="s">
        <v>1495</v>
      </c>
      <c r="C1186" s="69" t="s">
        <v>4618</v>
      </c>
      <c r="D1186" s="96" t="s">
        <v>1496</v>
      </c>
      <c r="E1186" s="69">
        <v>1</v>
      </c>
      <c r="F1186" s="122">
        <v>32.86</v>
      </c>
      <c r="G1186" s="122">
        <v>38</v>
      </c>
      <c r="H1186" s="208">
        <v>38</v>
      </c>
      <c r="I1186" s="215"/>
      <c r="J1186" s="215"/>
      <c r="K1186" s="215">
        <v>38</v>
      </c>
      <c r="L1186" s="216">
        <v>32.86</v>
      </c>
    </row>
    <row r="1187" spans="1:12" hidden="1">
      <c r="A1187" s="209">
        <v>46232</v>
      </c>
      <c r="B1187" s="69" t="s">
        <v>2648</v>
      </c>
      <c r="C1187" s="69" t="s">
        <v>4618</v>
      </c>
      <c r="D1187" s="96" t="s">
        <v>2649</v>
      </c>
      <c r="E1187" s="69">
        <v>2</v>
      </c>
      <c r="F1187" s="122">
        <v>18.98</v>
      </c>
      <c r="G1187" s="122">
        <v>22</v>
      </c>
      <c r="H1187" s="208">
        <v>44</v>
      </c>
      <c r="I1187" s="215"/>
      <c r="J1187" s="215"/>
      <c r="K1187" s="215">
        <v>44</v>
      </c>
      <c r="L1187" s="216">
        <v>37.96</v>
      </c>
    </row>
    <row r="1188" spans="1:12" hidden="1">
      <c r="A1188" s="209">
        <v>46232</v>
      </c>
      <c r="B1188" s="69" t="s">
        <v>515</v>
      </c>
      <c r="C1188" s="69" t="s">
        <v>4618</v>
      </c>
      <c r="D1188" s="96" t="s">
        <v>516</v>
      </c>
      <c r="E1188" s="69">
        <v>1</v>
      </c>
      <c r="F1188" s="122">
        <v>40.06</v>
      </c>
      <c r="G1188" s="122">
        <v>46.25</v>
      </c>
      <c r="H1188" s="208">
        <v>46.25</v>
      </c>
      <c r="I1188" s="215"/>
      <c r="J1188" s="215"/>
      <c r="K1188" s="215">
        <v>46.25</v>
      </c>
      <c r="L1188" s="216">
        <v>40.06</v>
      </c>
    </row>
    <row r="1189" spans="1:12" hidden="1">
      <c r="A1189" s="209">
        <v>46232</v>
      </c>
      <c r="B1189" s="69" t="s">
        <v>3911</v>
      </c>
      <c r="C1189" s="69" t="s">
        <v>4618</v>
      </c>
      <c r="D1189" s="96" t="s">
        <v>4619</v>
      </c>
      <c r="E1189" s="69">
        <v>1</v>
      </c>
      <c r="F1189" s="122">
        <v>39.85</v>
      </c>
      <c r="G1189" s="122">
        <v>46</v>
      </c>
      <c r="H1189" s="208">
        <v>46</v>
      </c>
      <c r="I1189" s="215"/>
      <c r="J1189" s="215"/>
      <c r="K1189" s="215">
        <v>46</v>
      </c>
      <c r="L1189" s="216">
        <v>39.85</v>
      </c>
    </row>
    <row r="1190" spans="1:12" hidden="1">
      <c r="A1190" s="209">
        <v>46232</v>
      </c>
      <c r="B1190" s="69" t="s">
        <v>296</v>
      </c>
      <c r="C1190" s="69" t="s">
        <v>4620</v>
      </c>
      <c r="D1190" s="96" t="s">
        <v>297</v>
      </c>
      <c r="E1190" s="69">
        <v>1</v>
      </c>
      <c r="F1190" s="122">
        <v>7.06</v>
      </c>
      <c r="G1190" s="122">
        <v>8.25</v>
      </c>
      <c r="H1190" s="208">
        <v>8.25</v>
      </c>
      <c r="I1190" s="215"/>
      <c r="J1190" s="215"/>
      <c r="K1190" s="215">
        <v>8.25</v>
      </c>
      <c r="L1190" s="216">
        <v>7.06</v>
      </c>
    </row>
    <row r="1191" spans="1:12" hidden="1">
      <c r="A1191" s="209">
        <v>46232</v>
      </c>
      <c r="B1191" s="69" t="s">
        <v>116</v>
      </c>
      <c r="C1191" s="69" t="s">
        <v>4621</v>
      </c>
      <c r="D1191" s="96" t="s">
        <v>117</v>
      </c>
      <c r="E1191" s="69">
        <v>1</v>
      </c>
      <c r="F1191" s="122">
        <v>7.75</v>
      </c>
      <c r="G1191" s="122">
        <v>9</v>
      </c>
      <c r="H1191" s="208">
        <v>9</v>
      </c>
      <c r="I1191" s="215"/>
      <c r="J1191" s="215"/>
      <c r="K1191" s="215">
        <v>9</v>
      </c>
      <c r="L1191" s="216">
        <v>7.75</v>
      </c>
    </row>
    <row r="1192" spans="1:12" hidden="1">
      <c r="A1192" s="209">
        <v>46232</v>
      </c>
      <c r="B1192" s="69" t="s">
        <v>108</v>
      </c>
      <c r="C1192" s="69" t="s">
        <v>4622</v>
      </c>
      <c r="D1192" s="96" t="s">
        <v>109</v>
      </c>
      <c r="E1192" s="69">
        <v>1</v>
      </c>
      <c r="F1192" s="122">
        <v>7.06</v>
      </c>
      <c r="G1192" s="122">
        <v>8.25</v>
      </c>
      <c r="H1192" s="208">
        <v>8.25</v>
      </c>
      <c r="I1192" s="215"/>
      <c r="J1192" s="215"/>
      <c r="K1192" s="215">
        <v>8.25</v>
      </c>
      <c r="L1192" s="216">
        <v>7.06</v>
      </c>
    </row>
    <row r="1193" spans="1:12" hidden="1">
      <c r="A1193" s="209">
        <v>46232</v>
      </c>
      <c r="B1193" s="69" t="s">
        <v>893</v>
      </c>
      <c r="C1193" s="69" t="s">
        <v>4623</v>
      </c>
      <c r="D1193" s="96" t="s">
        <v>894</v>
      </c>
      <c r="E1193" s="69">
        <v>1</v>
      </c>
      <c r="F1193" s="122">
        <v>96.67</v>
      </c>
      <c r="G1193" s="122">
        <v>111.25</v>
      </c>
      <c r="H1193" s="208">
        <v>111.25</v>
      </c>
      <c r="I1193" s="215"/>
      <c r="J1193" s="215"/>
      <c r="K1193" s="215">
        <v>111.25</v>
      </c>
      <c r="L1193" s="216">
        <v>96.67</v>
      </c>
    </row>
    <row r="1194" spans="1:12" hidden="1">
      <c r="A1194" s="209">
        <v>46232</v>
      </c>
      <c r="B1194" s="69" t="s">
        <v>50</v>
      </c>
      <c r="C1194" s="69" t="s">
        <v>4624</v>
      </c>
      <c r="D1194" s="96" t="s">
        <v>51</v>
      </c>
      <c r="E1194" s="69">
        <v>3</v>
      </c>
      <c r="F1194" s="122">
        <v>19.100000000000001</v>
      </c>
      <c r="G1194" s="122">
        <v>22</v>
      </c>
      <c r="H1194" s="208">
        <v>66</v>
      </c>
      <c r="I1194" s="215"/>
      <c r="J1194" s="215"/>
      <c r="K1194" s="215">
        <v>66</v>
      </c>
      <c r="L1194" s="216">
        <v>57.300000000000004</v>
      </c>
    </row>
    <row r="1195" spans="1:12" hidden="1">
      <c r="A1195" s="209">
        <v>46232</v>
      </c>
      <c r="B1195" s="69" t="s">
        <v>552</v>
      </c>
      <c r="C1195" s="69" t="s">
        <v>4625</v>
      </c>
      <c r="D1195" s="96" t="s">
        <v>553</v>
      </c>
      <c r="E1195" s="69">
        <v>1</v>
      </c>
      <c r="F1195" s="122">
        <v>7.41</v>
      </c>
      <c r="G1195" s="122">
        <v>8.75</v>
      </c>
      <c r="H1195" s="208">
        <v>8.75</v>
      </c>
      <c r="I1195" s="215"/>
      <c r="J1195" s="215"/>
      <c r="K1195" s="215">
        <v>8.75</v>
      </c>
      <c r="L1195" s="216">
        <v>7.41</v>
      </c>
    </row>
    <row r="1196" spans="1:12" hidden="1">
      <c r="A1196" s="209">
        <v>46232</v>
      </c>
      <c r="B1196" s="69" t="s">
        <v>1580</v>
      </c>
      <c r="C1196" s="69" t="s">
        <v>4626</v>
      </c>
      <c r="D1196" s="96" t="s">
        <v>1581</v>
      </c>
      <c r="E1196" s="69">
        <v>12</v>
      </c>
      <c r="F1196" s="122">
        <v>6.02</v>
      </c>
      <c r="G1196" s="122">
        <v>7.25</v>
      </c>
      <c r="H1196" s="208">
        <v>87</v>
      </c>
      <c r="I1196" s="215"/>
      <c r="J1196" s="215"/>
      <c r="K1196" s="215">
        <v>87</v>
      </c>
      <c r="L1196" s="216">
        <v>72.239999999999995</v>
      </c>
    </row>
    <row r="1197" spans="1:12" hidden="1">
      <c r="A1197" s="209">
        <v>46232</v>
      </c>
      <c r="B1197" s="69" t="s">
        <v>1560</v>
      </c>
      <c r="C1197" s="69" t="s">
        <v>4626</v>
      </c>
      <c r="D1197" s="96" t="s">
        <v>1561</v>
      </c>
      <c r="E1197" s="69">
        <v>12</v>
      </c>
      <c r="F1197" s="122">
        <v>6.12</v>
      </c>
      <c r="G1197" s="122">
        <v>7.25</v>
      </c>
      <c r="H1197" s="208">
        <v>87</v>
      </c>
      <c r="I1197" s="215"/>
      <c r="J1197" s="215"/>
      <c r="K1197" s="215">
        <v>87</v>
      </c>
      <c r="L1197" s="216">
        <v>73.44</v>
      </c>
    </row>
    <row r="1198" spans="1:12" hidden="1">
      <c r="A1198" s="209">
        <v>46232</v>
      </c>
      <c r="B1198" s="69" t="s">
        <v>3891</v>
      </c>
      <c r="C1198" s="69" t="s">
        <v>4626</v>
      </c>
      <c r="D1198" s="96" t="s">
        <v>4379</v>
      </c>
      <c r="E1198" s="69">
        <v>12</v>
      </c>
      <c r="F1198" s="122">
        <v>6.89</v>
      </c>
      <c r="G1198" s="122">
        <v>8</v>
      </c>
      <c r="H1198" s="208">
        <v>96</v>
      </c>
      <c r="I1198" s="215"/>
      <c r="J1198" s="215"/>
      <c r="K1198" s="215">
        <v>96</v>
      </c>
      <c r="L1198" s="216">
        <v>82.679999999999993</v>
      </c>
    </row>
    <row r="1199" spans="1:12" hidden="1">
      <c r="A1199" s="209">
        <v>46232</v>
      </c>
      <c r="B1199" s="69" t="s">
        <v>1473</v>
      </c>
      <c r="C1199" s="69" t="s">
        <v>4626</v>
      </c>
      <c r="D1199" s="96" t="s">
        <v>1474</v>
      </c>
      <c r="E1199" s="69">
        <v>1</v>
      </c>
      <c r="F1199" s="122">
        <v>60.4</v>
      </c>
      <c r="G1199" s="122">
        <v>70</v>
      </c>
      <c r="H1199" s="208">
        <v>70</v>
      </c>
      <c r="I1199" s="215"/>
      <c r="J1199" s="215"/>
      <c r="K1199" s="215">
        <v>70</v>
      </c>
      <c r="L1199" s="216">
        <v>60.4</v>
      </c>
    </row>
    <row r="1200" spans="1:12" hidden="1">
      <c r="A1200" s="209">
        <v>46232</v>
      </c>
      <c r="B1200" s="69" t="s">
        <v>1495</v>
      </c>
      <c r="C1200" s="69" t="s">
        <v>4626</v>
      </c>
      <c r="D1200" s="96" t="s">
        <v>1496</v>
      </c>
      <c r="E1200" s="69">
        <v>3</v>
      </c>
      <c r="F1200" s="122">
        <v>32.86</v>
      </c>
      <c r="G1200" s="122">
        <v>38</v>
      </c>
      <c r="H1200" s="208">
        <v>114</v>
      </c>
      <c r="I1200" s="215"/>
      <c r="J1200" s="215"/>
      <c r="K1200" s="215">
        <v>114</v>
      </c>
      <c r="L1200" s="216">
        <v>98.58</v>
      </c>
    </row>
    <row r="1201" spans="1:12" hidden="1">
      <c r="A1201" s="209">
        <v>46232</v>
      </c>
      <c r="B1201" s="69" t="s">
        <v>1654</v>
      </c>
      <c r="C1201" s="69" t="s">
        <v>4626</v>
      </c>
      <c r="D1201" s="96" t="s">
        <v>1655</v>
      </c>
      <c r="E1201" s="69">
        <v>1</v>
      </c>
      <c r="F1201" s="122">
        <v>63.2</v>
      </c>
      <c r="G1201" s="122">
        <v>72.75</v>
      </c>
      <c r="H1201" s="208">
        <v>72.75</v>
      </c>
      <c r="I1201" s="215"/>
      <c r="J1201" s="215"/>
      <c r="K1201" s="215">
        <v>72.75</v>
      </c>
      <c r="L1201" s="216">
        <v>63.2</v>
      </c>
    </row>
    <row r="1202" spans="1:12" hidden="1">
      <c r="A1202" s="209">
        <v>46232</v>
      </c>
      <c r="B1202" s="69" t="s">
        <v>454</v>
      </c>
      <c r="C1202" s="69" t="s">
        <v>4627</v>
      </c>
      <c r="D1202" s="96" t="s">
        <v>455</v>
      </c>
      <c r="E1202" s="69">
        <v>1</v>
      </c>
      <c r="F1202" s="122">
        <v>84.8</v>
      </c>
      <c r="G1202" s="122">
        <v>94</v>
      </c>
      <c r="H1202" s="208">
        <v>94</v>
      </c>
      <c r="I1202" s="215"/>
      <c r="J1202" s="215"/>
      <c r="K1202" s="215">
        <v>94</v>
      </c>
      <c r="L1202" s="216">
        <v>84.8</v>
      </c>
    </row>
    <row r="1203" spans="1:12" hidden="1">
      <c r="A1203" s="209">
        <v>46232</v>
      </c>
      <c r="B1203" s="69" t="s">
        <v>2459</v>
      </c>
      <c r="C1203" s="69" t="s">
        <v>4627</v>
      </c>
      <c r="D1203" s="96" t="s">
        <v>2460</v>
      </c>
      <c r="E1203" s="69">
        <v>12</v>
      </c>
      <c r="F1203" s="122">
        <v>13.87</v>
      </c>
      <c r="G1203" s="122">
        <v>17.75</v>
      </c>
      <c r="H1203" s="208">
        <v>213</v>
      </c>
      <c r="I1203" s="215"/>
      <c r="J1203" s="215"/>
      <c r="K1203" s="215">
        <v>213</v>
      </c>
      <c r="L1203" s="216">
        <v>166.44</v>
      </c>
    </row>
    <row r="1204" spans="1:12" hidden="1">
      <c r="A1204" s="209">
        <v>46232</v>
      </c>
      <c r="B1204" s="69" t="s">
        <v>2511</v>
      </c>
      <c r="C1204" s="69" t="s">
        <v>4627</v>
      </c>
      <c r="D1204" s="96" t="s">
        <v>2512</v>
      </c>
      <c r="E1204" s="69">
        <v>1</v>
      </c>
      <c r="F1204" s="122">
        <v>144.31</v>
      </c>
      <c r="G1204" s="122">
        <v>166</v>
      </c>
      <c r="H1204" s="208">
        <v>166</v>
      </c>
      <c r="I1204" s="215"/>
      <c r="J1204" s="215"/>
      <c r="K1204" s="215">
        <v>166</v>
      </c>
      <c r="L1204" s="216">
        <v>144.31</v>
      </c>
    </row>
    <row r="1205" spans="1:12" hidden="1">
      <c r="A1205" s="209">
        <v>46232</v>
      </c>
      <c r="B1205" s="69" t="s">
        <v>1016</v>
      </c>
      <c r="C1205" s="69" t="s">
        <v>4627</v>
      </c>
      <c r="D1205" s="96" t="s">
        <v>1017</v>
      </c>
      <c r="E1205" s="69">
        <v>2</v>
      </c>
      <c r="F1205" s="122">
        <v>61.93</v>
      </c>
      <c r="G1205" s="122">
        <v>71.25</v>
      </c>
      <c r="H1205" s="208">
        <v>142.5</v>
      </c>
      <c r="I1205" s="215"/>
      <c r="J1205" s="215"/>
      <c r="K1205" s="215">
        <v>142.5</v>
      </c>
      <c r="L1205" s="216">
        <v>123.86</v>
      </c>
    </row>
    <row r="1206" spans="1:12" hidden="1">
      <c r="A1206" s="209">
        <v>46232</v>
      </c>
      <c r="B1206" s="69" t="s">
        <v>499</v>
      </c>
      <c r="C1206" s="69" t="s">
        <v>4627</v>
      </c>
      <c r="D1206" s="96" t="s">
        <v>500</v>
      </c>
      <c r="E1206" s="69">
        <v>1</v>
      </c>
      <c r="F1206" s="122">
        <v>57.4</v>
      </c>
      <c r="G1206" s="122">
        <v>66</v>
      </c>
      <c r="H1206" s="208">
        <v>66</v>
      </c>
      <c r="I1206" s="215"/>
      <c r="J1206" s="215"/>
      <c r="K1206" s="215">
        <v>66</v>
      </c>
      <c r="L1206" s="216">
        <v>57.4</v>
      </c>
    </row>
    <row r="1207" spans="1:12" hidden="1">
      <c r="A1207" s="209">
        <v>46232</v>
      </c>
      <c r="B1207" s="69" t="s">
        <v>1297</v>
      </c>
      <c r="C1207" s="69" t="s">
        <v>4627</v>
      </c>
      <c r="D1207" s="96" t="s">
        <v>1298</v>
      </c>
      <c r="E1207" s="69">
        <v>1</v>
      </c>
      <c r="F1207" s="122">
        <v>53.81</v>
      </c>
      <c r="G1207" s="122">
        <v>62</v>
      </c>
      <c r="H1207" s="208">
        <v>62</v>
      </c>
      <c r="I1207" s="215"/>
      <c r="J1207" s="215"/>
      <c r="K1207" s="215">
        <v>62</v>
      </c>
      <c r="L1207" s="216">
        <v>53.81</v>
      </c>
    </row>
    <row r="1208" spans="1:12" hidden="1">
      <c r="A1208" s="209">
        <v>46232</v>
      </c>
      <c r="B1208" s="69" t="s">
        <v>3853</v>
      </c>
      <c r="C1208" s="69" t="s">
        <v>4628</v>
      </c>
      <c r="D1208" s="96" t="s">
        <v>4039</v>
      </c>
      <c r="E1208" s="69">
        <v>1</v>
      </c>
      <c r="F1208" s="122">
        <v>32</v>
      </c>
      <c r="G1208" s="122">
        <v>37</v>
      </c>
      <c r="H1208" s="208">
        <v>37</v>
      </c>
      <c r="I1208" s="215"/>
      <c r="J1208" s="215"/>
      <c r="K1208" s="215">
        <v>37</v>
      </c>
      <c r="L1208" s="216">
        <v>32</v>
      </c>
    </row>
    <row r="1209" spans="1:12" hidden="1">
      <c r="A1209" s="209">
        <v>46232</v>
      </c>
      <c r="B1209" s="69" t="s">
        <v>53</v>
      </c>
      <c r="C1209" s="69" t="s">
        <v>4629</v>
      </c>
      <c r="D1209" s="96" t="s">
        <v>54</v>
      </c>
      <c r="E1209" s="69">
        <v>1</v>
      </c>
      <c r="F1209" s="122">
        <v>16.03</v>
      </c>
      <c r="G1209" s="122">
        <v>18.5</v>
      </c>
      <c r="H1209" s="208">
        <v>18.5</v>
      </c>
      <c r="I1209" s="215"/>
      <c r="J1209" s="215"/>
      <c r="K1209" s="215">
        <v>18.5</v>
      </c>
      <c r="L1209" s="216">
        <v>16.03</v>
      </c>
    </row>
    <row r="1210" spans="1:12" hidden="1">
      <c r="A1210" s="209">
        <v>46232</v>
      </c>
      <c r="B1210" s="69" t="s">
        <v>1262</v>
      </c>
      <c r="C1210" s="69" t="s">
        <v>4630</v>
      </c>
      <c r="D1210" s="96" t="s">
        <v>1263</v>
      </c>
      <c r="E1210" s="69">
        <v>2</v>
      </c>
      <c r="F1210" s="122">
        <v>44.86</v>
      </c>
      <c r="G1210" s="122">
        <v>51.25</v>
      </c>
      <c r="H1210" s="208">
        <v>102.5</v>
      </c>
      <c r="I1210" s="215"/>
      <c r="J1210" s="215"/>
      <c r="K1210" s="215">
        <v>102.5</v>
      </c>
      <c r="L1210" s="216">
        <v>89.72</v>
      </c>
    </row>
    <row r="1211" spans="1:12" hidden="1">
      <c r="A1211" s="209">
        <v>46232</v>
      </c>
      <c r="B1211" s="69" t="s">
        <v>3912</v>
      </c>
      <c r="C1211" s="69" t="s">
        <v>4631</v>
      </c>
      <c r="D1211" s="96" t="s">
        <v>4632</v>
      </c>
      <c r="E1211" s="69">
        <v>1</v>
      </c>
      <c r="F1211" s="122">
        <v>381.67</v>
      </c>
      <c r="G1211" s="122">
        <v>458</v>
      </c>
      <c r="H1211" s="208">
        <v>458</v>
      </c>
      <c r="I1211" s="215"/>
      <c r="J1211" s="215"/>
      <c r="K1211" s="215">
        <v>458</v>
      </c>
      <c r="L1211" s="216">
        <v>381.67</v>
      </c>
    </row>
    <row r="1212" spans="1:12" hidden="1">
      <c r="A1212" s="209">
        <v>46232</v>
      </c>
      <c r="B1212" s="69" t="s">
        <v>3884</v>
      </c>
      <c r="C1212" s="69" t="s">
        <v>4631</v>
      </c>
      <c r="D1212" s="96" t="s">
        <v>4337</v>
      </c>
      <c r="E1212" s="69">
        <v>1</v>
      </c>
      <c r="F1212" s="122">
        <v>310</v>
      </c>
      <c r="G1212" s="122">
        <v>372</v>
      </c>
      <c r="H1212" s="208">
        <v>372</v>
      </c>
      <c r="I1212" s="215"/>
      <c r="J1212" s="215"/>
      <c r="K1212" s="215">
        <v>372</v>
      </c>
      <c r="L1212" s="216">
        <v>310</v>
      </c>
    </row>
    <row r="1213" spans="1:12" hidden="1">
      <c r="A1213" s="209">
        <v>46232</v>
      </c>
      <c r="B1213" s="69" t="s">
        <v>3906</v>
      </c>
      <c r="C1213" s="69" t="s">
        <v>4633</v>
      </c>
      <c r="D1213" s="96" t="s">
        <v>4519</v>
      </c>
      <c r="E1213" s="69">
        <v>1</v>
      </c>
      <c r="F1213" s="122">
        <v>5.74</v>
      </c>
      <c r="G1213" s="122">
        <v>7</v>
      </c>
      <c r="H1213" s="208">
        <v>7</v>
      </c>
      <c r="I1213" s="215"/>
      <c r="J1213" s="215"/>
      <c r="K1213" s="215">
        <v>7</v>
      </c>
      <c r="L1213" s="216">
        <v>5.74</v>
      </c>
    </row>
    <row r="1214" spans="1:12" hidden="1">
      <c r="A1214" s="209">
        <v>46232</v>
      </c>
      <c r="B1214" s="69" t="s">
        <v>919</v>
      </c>
      <c r="C1214" s="69" t="s">
        <v>4634</v>
      </c>
      <c r="D1214" s="96" t="s">
        <v>920</v>
      </c>
      <c r="E1214" s="69">
        <v>1</v>
      </c>
      <c r="F1214" s="122">
        <v>12.66</v>
      </c>
      <c r="G1214" s="122">
        <v>14.25</v>
      </c>
      <c r="H1214" s="208">
        <v>14.25</v>
      </c>
      <c r="I1214" s="215"/>
      <c r="J1214" s="215"/>
      <c r="K1214" s="215">
        <v>14.25</v>
      </c>
      <c r="L1214" s="216">
        <v>12.66</v>
      </c>
    </row>
    <row r="1215" spans="1:12" hidden="1">
      <c r="A1215" s="209">
        <v>46232</v>
      </c>
      <c r="B1215" s="69" t="s">
        <v>1009</v>
      </c>
      <c r="C1215" s="69" t="s">
        <v>4634</v>
      </c>
      <c r="D1215" s="96" t="s">
        <v>1010</v>
      </c>
      <c r="E1215" s="69">
        <v>1</v>
      </c>
      <c r="F1215" s="122">
        <v>10.64</v>
      </c>
      <c r="G1215" s="122">
        <v>12.25</v>
      </c>
      <c r="H1215" s="208">
        <v>12.25</v>
      </c>
      <c r="I1215" s="215"/>
      <c r="J1215" s="215"/>
      <c r="K1215" s="215">
        <v>12.25</v>
      </c>
      <c r="L1215" s="216">
        <v>10.64</v>
      </c>
    </row>
    <row r="1216" spans="1:12" hidden="1">
      <c r="A1216" s="209">
        <v>46232</v>
      </c>
      <c r="B1216" s="69" t="s">
        <v>858</v>
      </c>
      <c r="C1216" s="69" t="s">
        <v>4634</v>
      </c>
      <c r="D1216" s="96" t="s">
        <v>859</v>
      </c>
      <c r="E1216" s="69">
        <v>1</v>
      </c>
      <c r="F1216" s="122">
        <v>7.85</v>
      </c>
      <c r="G1216" s="122">
        <v>12</v>
      </c>
      <c r="H1216" s="208">
        <v>12</v>
      </c>
      <c r="I1216" s="215"/>
      <c r="J1216" s="215"/>
      <c r="K1216" s="215">
        <v>12</v>
      </c>
      <c r="L1216" s="216">
        <v>7.85</v>
      </c>
    </row>
    <row r="1217" spans="1:12" hidden="1">
      <c r="A1217" s="209">
        <v>46232</v>
      </c>
      <c r="B1217" s="69" t="s">
        <v>1447</v>
      </c>
      <c r="C1217" s="69" t="s">
        <v>4635</v>
      </c>
      <c r="D1217" s="96" t="s">
        <v>1448</v>
      </c>
      <c r="E1217" s="69">
        <v>1</v>
      </c>
      <c r="F1217" s="122">
        <v>22.59</v>
      </c>
      <c r="G1217" s="122">
        <v>26</v>
      </c>
      <c r="H1217" s="208">
        <v>26</v>
      </c>
      <c r="I1217" s="215"/>
      <c r="J1217" s="215"/>
      <c r="K1217" s="215">
        <v>26</v>
      </c>
      <c r="L1217" s="216">
        <v>22.59</v>
      </c>
    </row>
    <row r="1218" spans="1:12" hidden="1">
      <c r="A1218" s="209">
        <v>46232</v>
      </c>
      <c r="B1218" s="69" t="s">
        <v>1281</v>
      </c>
      <c r="C1218" s="69" t="s">
        <v>4636</v>
      </c>
      <c r="D1218" s="96" t="s">
        <v>1282</v>
      </c>
      <c r="E1218" s="69">
        <v>1</v>
      </c>
      <c r="F1218" s="122">
        <v>41.86</v>
      </c>
      <c r="G1218" s="122">
        <v>48.25</v>
      </c>
      <c r="H1218" s="208">
        <v>48.25</v>
      </c>
      <c r="I1218" s="215"/>
      <c r="J1218" s="215"/>
      <c r="K1218" s="215">
        <v>48.25</v>
      </c>
      <c r="L1218" s="216">
        <v>41.86</v>
      </c>
    </row>
    <row r="1219" spans="1:12" hidden="1">
      <c r="A1219" s="209">
        <v>46232</v>
      </c>
      <c r="B1219" s="69" t="s">
        <v>827</v>
      </c>
      <c r="C1219" s="69" t="s">
        <v>4637</v>
      </c>
      <c r="D1219" s="96" t="s">
        <v>828</v>
      </c>
      <c r="E1219" s="69">
        <v>2</v>
      </c>
      <c r="F1219" s="122">
        <v>14.31</v>
      </c>
      <c r="G1219" s="122">
        <v>16.5</v>
      </c>
      <c r="H1219" s="208">
        <v>33</v>
      </c>
      <c r="I1219" s="215"/>
      <c r="J1219" s="215"/>
      <c r="K1219" s="215">
        <v>33</v>
      </c>
      <c r="L1219" s="216">
        <v>28.62</v>
      </c>
    </row>
    <row r="1220" spans="1:12" hidden="1">
      <c r="A1220" s="209">
        <v>46232</v>
      </c>
      <c r="B1220" s="69" t="s">
        <v>3555</v>
      </c>
      <c r="C1220" s="69" t="s">
        <v>4638</v>
      </c>
      <c r="D1220" s="96" t="s">
        <v>3707</v>
      </c>
      <c r="E1220" s="69">
        <v>1</v>
      </c>
      <c r="F1220" s="122">
        <v>60.75</v>
      </c>
      <c r="G1220" s="122">
        <v>67.25</v>
      </c>
      <c r="H1220" s="208">
        <v>67.25</v>
      </c>
      <c r="I1220" s="215"/>
      <c r="J1220" s="215"/>
      <c r="K1220" s="215">
        <v>67.25</v>
      </c>
      <c r="L1220" s="216">
        <v>60.75</v>
      </c>
    </row>
    <row r="1221" spans="1:12" hidden="1">
      <c r="A1221" s="209">
        <v>46232</v>
      </c>
      <c r="B1221" s="69" t="s">
        <v>3763</v>
      </c>
      <c r="C1221" s="69" t="s">
        <v>4639</v>
      </c>
      <c r="D1221" s="96" t="s">
        <v>3764</v>
      </c>
      <c r="E1221" s="69">
        <v>1</v>
      </c>
      <c r="F1221" s="122">
        <v>25</v>
      </c>
      <c r="G1221" s="122">
        <v>28.75</v>
      </c>
      <c r="H1221" s="208">
        <v>28.75</v>
      </c>
      <c r="I1221" s="215"/>
      <c r="J1221" s="215"/>
      <c r="K1221" s="215">
        <v>28.75</v>
      </c>
      <c r="L1221" s="216">
        <v>25</v>
      </c>
    </row>
    <row r="1222" spans="1:12" hidden="1">
      <c r="A1222" s="209">
        <v>46232</v>
      </c>
      <c r="B1222" s="69" t="s">
        <v>2263</v>
      </c>
      <c r="C1222" s="69" t="s">
        <v>4640</v>
      </c>
      <c r="D1222" s="96" t="s">
        <v>2264</v>
      </c>
      <c r="E1222" s="69">
        <v>1</v>
      </c>
      <c r="F1222" s="122">
        <v>27</v>
      </c>
      <c r="G1222" s="122">
        <v>31.25</v>
      </c>
      <c r="H1222" s="208">
        <v>31.25</v>
      </c>
      <c r="I1222" s="215"/>
      <c r="J1222" s="215"/>
      <c r="K1222" s="215">
        <v>31.25</v>
      </c>
      <c r="L1222" s="216">
        <v>27</v>
      </c>
    </row>
    <row r="1223" spans="1:12" hidden="1">
      <c r="A1223" s="209">
        <v>46232</v>
      </c>
      <c r="B1223" s="69" t="s">
        <v>296</v>
      </c>
      <c r="C1223" s="69" t="s">
        <v>4641</v>
      </c>
      <c r="D1223" s="96" t="s">
        <v>297</v>
      </c>
      <c r="E1223" s="69">
        <v>1</v>
      </c>
      <c r="F1223" s="122">
        <v>7.06</v>
      </c>
      <c r="G1223" s="122">
        <v>8.25</v>
      </c>
      <c r="H1223" s="208">
        <v>8.25</v>
      </c>
      <c r="I1223" s="215"/>
      <c r="J1223" s="215"/>
      <c r="K1223" s="215">
        <v>8.25</v>
      </c>
      <c r="L1223" s="216">
        <v>7.06</v>
      </c>
    </row>
    <row r="1224" spans="1:12" hidden="1">
      <c r="A1224" s="209">
        <v>46232</v>
      </c>
      <c r="B1224" s="69" t="s">
        <v>205</v>
      </c>
      <c r="C1224" s="69" t="s">
        <v>4642</v>
      </c>
      <c r="D1224" s="96" t="s">
        <v>206</v>
      </c>
      <c r="E1224" s="69">
        <v>1</v>
      </c>
      <c r="F1224" s="122">
        <v>33.1</v>
      </c>
      <c r="G1224" s="122">
        <v>38.25</v>
      </c>
      <c r="H1224" s="208">
        <v>38.25</v>
      </c>
      <c r="I1224" s="215"/>
      <c r="J1224" s="215"/>
      <c r="K1224" s="215">
        <v>38.25</v>
      </c>
      <c r="L1224" s="216">
        <v>33.1</v>
      </c>
    </row>
    <row r="1225" spans="1:12" hidden="1">
      <c r="A1225" s="209">
        <v>46232</v>
      </c>
      <c r="B1225" s="69" t="s">
        <v>3728</v>
      </c>
      <c r="C1225" s="69" t="s">
        <v>4642</v>
      </c>
      <c r="D1225" s="96" t="s">
        <v>3729</v>
      </c>
      <c r="E1225" s="69">
        <v>1</v>
      </c>
      <c r="F1225" s="122">
        <v>9.2799999999999994</v>
      </c>
      <c r="G1225" s="122">
        <v>10.75</v>
      </c>
      <c r="H1225" s="208">
        <v>10.75</v>
      </c>
      <c r="I1225" s="215"/>
      <c r="J1225" s="215"/>
      <c r="K1225" s="215">
        <v>10.75</v>
      </c>
      <c r="L1225" s="216">
        <v>9.2799999999999994</v>
      </c>
    </row>
    <row r="1226" spans="1:12" hidden="1">
      <c r="A1226" s="209">
        <v>46232</v>
      </c>
      <c r="B1226" s="69" t="s">
        <v>2205</v>
      </c>
      <c r="C1226" s="69" t="s">
        <v>4643</v>
      </c>
      <c r="D1226" s="96" t="s">
        <v>2206</v>
      </c>
      <c r="E1226" s="69">
        <v>2</v>
      </c>
      <c r="F1226" s="122">
        <v>302.13</v>
      </c>
      <c r="G1226" s="122">
        <v>362.75</v>
      </c>
      <c r="H1226" s="208">
        <v>725.5</v>
      </c>
      <c r="I1226" s="215"/>
      <c r="J1226" s="215"/>
      <c r="K1226" s="215">
        <v>725.5</v>
      </c>
      <c r="L1226" s="216">
        <v>604.26</v>
      </c>
    </row>
    <row r="1227" spans="1:12" hidden="1">
      <c r="A1227" s="209">
        <v>46232</v>
      </c>
      <c r="B1227" s="69" t="s">
        <v>3666</v>
      </c>
      <c r="C1227" s="69" t="s">
        <v>4644</v>
      </c>
      <c r="D1227" s="96" t="s">
        <v>3667</v>
      </c>
      <c r="E1227" s="69">
        <v>2</v>
      </c>
      <c r="F1227" s="122">
        <v>109.83</v>
      </c>
      <c r="G1227" s="122">
        <v>126.5</v>
      </c>
      <c r="H1227" s="208">
        <v>253</v>
      </c>
      <c r="I1227" s="215"/>
      <c r="J1227" s="215"/>
      <c r="K1227" s="215">
        <v>253</v>
      </c>
      <c r="L1227" s="216">
        <v>219.66</v>
      </c>
    </row>
    <row r="1228" spans="1:12" hidden="1">
      <c r="A1228" s="209">
        <v>46232</v>
      </c>
      <c r="B1228" s="69" t="s">
        <v>296</v>
      </c>
      <c r="C1228" s="69" t="s">
        <v>4645</v>
      </c>
      <c r="D1228" s="96" t="s">
        <v>297</v>
      </c>
      <c r="E1228" s="69">
        <v>1</v>
      </c>
      <c r="F1228" s="122">
        <v>7.06</v>
      </c>
      <c r="G1228" s="122">
        <v>8.25</v>
      </c>
      <c r="H1228" s="208">
        <v>8.25</v>
      </c>
      <c r="I1228" s="215"/>
      <c r="J1228" s="215"/>
      <c r="K1228" s="215">
        <v>8.25</v>
      </c>
      <c r="L1228" s="216">
        <v>7.06</v>
      </c>
    </row>
    <row r="1229" spans="1:12" hidden="1">
      <c r="A1229" s="209">
        <v>46232</v>
      </c>
      <c r="B1229" s="69" t="s">
        <v>180</v>
      </c>
      <c r="C1229" s="69" t="s">
        <v>4646</v>
      </c>
      <c r="D1229" s="96" t="s">
        <v>181</v>
      </c>
      <c r="E1229" s="69">
        <v>1</v>
      </c>
      <c r="F1229" s="122">
        <v>16.579999999999998</v>
      </c>
      <c r="G1229" s="122">
        <v>19</v>
      </c>
      <c r="H1229" s="208">
        <v>19</v>
      </c>
      <c r="I1229" s="215"/>
      <c r="J1229" s="215"/>
      <c r="K1229" s="215">
        <v>19</v>
      </c>
      <c r="L1229" s="216">
        <v>16.579999999999998</v>
      </c>
    </row>
    <row r="1230" spans="1:12" hidden="1">
      <c r="A1230" s="209">
        <v>46232</v>
      </c>
      <c r="B1230" s="69" t="s">
        <v>269</v>
      </c>
      <c r="C1230" s="69" t="s">
        <v>4647</v>
      </c>
      <c r="D1230" s="96" t="s">
        <v>270</v>
      </c>
      <c r="E1230" s="69">
        <v>1</v>
      </c>
      <c r="F1230" s="122">
        <v>15.51</v>
      </c>
      <c r="G1230" s="122">
        <v>18</v>
      </c>
      <c r="H1230" s="208">
        <v>18</v>
      </c>
      <c r="I1230" s="215"/>
      <c r="J1230" s="215"/>
      <c r="K1230" s="215">
        <v>18</v>
      </c>
      <c r="L1230" s="216">
        <v>15.51</v>
      </c>
    </row>
    <row r="1231" spans="1:12" hidden="1">
      <c r="A1231" s="209">
        <v>46233</v>
      </c>
      <c r="B1231" s="69" t="s">
        <v>3627</v>
      </c>
      <c r="C1231" s="69" t="s">
        <v>4648</v>
      </c>
      <c r="D1231" s="96" t="s">
        <v>3628</v>
      </c>
      <c r="E1231" s="69">
        <v>1</v>
      </c>
      <c r="F1231" s="122">
        <v>16.91</v>
      </c>
      <c r="G1231" s="122">
        <v>18.600000000000001</v>
      </c>
      <c r="H1231" s="208">
        <v>18.600000000000001</v>
      </c>
      <c r="I1231" s="215"/>
      <c r="J1231" s="215"/>
      <c r="K1231" s="215">
        <v>18.600000000000001</v>
      </c>
      <c r="L1231" s="216">
        <v>16.91</v>
      </c>
    </row>
    <row r="1232" spans="1:12" hidden="1">
      <c r="A1232" s="209">
        <v>46233</v>
      </c>
      <c r="B1232" s="69" t="s">
        <v>1016</v>
      </c>
      <c r="C1232" s="69" t="s">
        <v>4649</v>
      </c>
      <c r="D1232" s="96" t="s">
        <v>1017</v>
      </c>
      <c r="E1232" s="69">
        <v>1</v>
      </c>
      <c r="F1232" s="122">
        <v>61.93</v>
      </c>
      <c r="G1232" s="122">
        <v>71.25</v>
      </c>
      <c r="H1232" s="208">
        <v>71.25</v>
      </c>
      <c r="I1232" s="215"/>
      <c r="J1232" s="215"/>
      <c r="K1232" s="215">
        <v>71.25</v>
      </c>
      <c r="L1232" s="216">
        <v>61.93</v>
      </c>
    </row>
    <row r="1233" spans="1:12" hidden="1">
      <c r="A1233" s="209">
        <v>46233</v>
      </c>
      <c r="B1233" s="69" t="s">
        <v>897</v>
      </c>
      <c r="C1233" s="69" t="s">
        <v>4649</v>
      </c>
      <c r="D1233" s="96" t="s">
        <v>898</v>
      </c>
      <c r="E1233" s="69">
        <v>2</v>
      </c>
      <c r="F1233" s="122">
        <v>48.8</v>
      </c>
      <c r="G1233" s="122">
        <v>56.25</v>
      </c>
      <c r="H1233" s="208">
        <v>112.5</v>
      </c>
      <c r="I1233" s="215"/>
      <c r="J1233" s="215"/>
      <c r="K1233" s="215">
        <v>112.5</v>
      </c>
      <c r="L1233" s="216">
        <v>97.6</v>
      </c>
    </row>
    <row r="1234" spans="1:12" hidden="1">
      <c r="A1234" s="209">
        <v>46233</v>
      </c>
      <c r="B1234" s="69" t="s">
        <v>1024</v>
      </c>
      <c r="C1234" s="69" t="s">
        <v>4649</v>
      </c>
      <c r="D1234" s="96" t="s">
        <v>1025</v>
      </c>
      <c r="E1234" s="69">
        <v>12</v>
      </c>
      <c r="F1234" s="122">
        <v>8.58</v>
      </c>
      <c r="G1234" s="122">
        <v>10</v>
      </c>
      <c r="H1234" s="208">
        <v>120</v>
      </c>
      <c r="I1234" s="215"/>
      <c r="J1234" s="215"/>
      <c r="K1234" s="215">
        <v>120</v>
      </c>
      <c r="L1234" s="216">
        <v>102.96000000000001</v>
      </c>
    </row>
    <row r="1235" spans="1:12" hidden="1">
      <c r="A1235" s="209">
        <v>46233</v>
      </c>
      <c r="B1235" s="69" t="s">
        <v>1000</v>
      </c>
      <c r="C1235" s="69" t="s">
        <v>4649</v>
      </c>
      <c r="D1235" s="96" t="s">
        <v>1001</v>
      </c>
      <c r="E1235" s="69">
        <v>1</v>
      </c>
      <c r="F1235" s="122">
        <v>104.76</v>
      </c>
      <c r="G1235" s="122">
        <v>132</v>
      </c>
      <c r="H1235" s="208">
        <v>132</v>
      </c>
      <c r="I1235" s="215"/>
      <c r="J1235" s="215"/>
      <c r="K1235" s="215">
        <v>132</v>
      </c>
      <c r="L1235" s="216">
        <v>104.76</v>
      </c>
    </row>
    <row r="1236" spans="1:12" hidden="1">
      <c r="A1236" s="209">
        <v>46233</v>
      </c>
      <c r="B1236" s="69" t="s">
        <v>3906</v>
      </c>
      <c r="C1236" s="69" t="s">
        <v>4650</v>
      </c>
      <c r="D1236" s="96" t="s">
        <v>4519</v>
      </c>
      <c r="E1236" s="69">
        <v>1</v>
      </c>
      <c r="F1236" s="122">
        <v>5.74</v>
      </c>
      <c r="G1236" s="122">
        <v>7</v>
      </c>
      <c r="H1236" s="208">
        <v>7</v>
      </c>
      <c r="I1236" s="215"/>
      <c r="J1236" s="215"/>
      <c r="K1236" s="215">
        <v>7</v>
      </c>
      <c r="L1236" s="216">
        <v>5.74</v>
      </c>
    </row>
    <row r="1237" spans="1:12" hidden="1">
      <c r="A1237" s="209">
        <v>46233</v>
      </c>
      <c r="B1237" s="69" t="s">
        <v>981</v>
      </c>
      <c r="C1237" s="69" t="s">
        <v>4651</v>
      </c>
      <c r="D1237" s="96" t="s">
        <v>982</v>
      </c>
      <c r="E1237" s="69">
        <v>1</v>
      </c>
      <c r="F1237" s="122">
        <v>13.32</v>
      </c>
      <c r="G1237" s="122">
        <v>15.5</v>
      </c>
      <c r="H1237" s="208">
        <v>15.5</v>
      </c>
      <c r="I1237" s="215"/>
      <c r="J1237" s="215"/>
      <c r="K1237" s="215">
        <v>15.5</v>
      </c>
      <c r="L1237" s="216">
        <v>13.32</v>
      </c>
    </row>
    <row r="1238" spans="1:12" hidden="1">
      <c r="A1238" s="209">
        <v>46233</v>
      </c>
      <c r="B1238" s="69" t="s">
        <v>2368</v>
      </c>
      <c r="C1238" s="69" t="s">
        <v>4652</v>
      </c>
      <c r="D1238" s="96" t="s">
        <v>2369</v>
      </c>
      <c r="E1238" s="69">
        <v>1</v>
      </c>
      <c r="F1238" s="122">
        <v>14.91</v>
      </c>
      <c r="G1238" s="122">
        <v>17.25</v>
      </c>
      <c r="H1238" s="208">
        <v>17.25</v>
      </c>
      <c r="I1238" s="215"/>
      <c r="J1238" s="215"/>
      <c r="K1238" s="215">
        <v>17.25</v>
      </c>
      <c r="L1238" s="216">
        <v>14.91</v>
      </c>
    </row>
    <row r="1239" spans="1:12" hidden="1">
      <c r="A1239" s="209">
        <v>46233</v>
      </c>
      <c r="B1239" s="69" t="s">
        <v>3609</v>
      </c>
      <c r="C1239" s="69" t="s">
        <v>4653</v>
      </c>
      <c r="D1239" s="96" t="s">
        <v>3716</v>
      </c>
      <c r="E1239" s="69">
        <v>1</v>
      </c>
      <c r="F1239" s="122">
        <v>50.8</v>
      </c>
      <c r="G1239" s="122">
        <v>58.5</v>
      </c>
      <c r="H1239" s="208">
        <v>58.5</v>
      </c>
      <c r="I1239" s="215"/>
      <c r="J1239" s="215"/>
      <c r="K1239" s="215">
        <v>58.5</v>
      </c>
      <c r="L1239" s="216">
        <v>50.8</v>
      </c>
    </row>
    <row r="1240" spans="1:12" hidden="1">
      <c r="A1240" s="209">
        <v>46233</v>
      </c>
      <c r="B1240" s="69" t="s">
        <v>1297</v>
      </c>
      <c r="C1240" s="69" t="s">
        <v>4653</v>
      </c>
      <c r="D1240" s="96" t="s">
        <v>1298</v>
      </c>
      <c r="E1240" s="69">
        <v>1</v>
      </c>
      <c r="F1240" s="122">
        <v>53.81</v>
      </c>
      <c r="G1240" s="122">
        <v>62</v>
      </c>
      <c r="H1240" s="208">
        <v>62</v>
      </c>
      <c r="I1240" s="215"/>
      <c r="J1240" s="215"/>
      <c r="K1240" s="215">
        <v>62</v>
      </c>
      <c r="L1240" s="216">
        <v>53.81</v>
      </c>
    </row>
    <row r="1241" spans="1:12" hidden="1">
      <c r="A1241" s="209">
        <v>46233</v>
      </c>
      <c r="B1241" s="69" t="s">
        <v>3403</v>
      </c>
      <c r="C1241" s="69" t="s">
        <v>4653</v>
      </c>
      <c r="D1241" s="96" t="s">
        <v>3404</v>
      </c>
      <c r="E1241" s="69">
        <v>1</v>
      </c>
      <c r="F1241" s="122">
        <v>19.350000000000001</v>
      </c>
      <c r="G1241" s="122">
        <v>22.25</v>
      </c>
      <c r="H1241" s="208">
        <v>22.25</v>
      </c>
      <c r="I1241" s="215"/>
      <c r="J1241" s="215"/>
      <c r="K1241" s="215">
        <v>22.25</v>
      </c>
      <c r="L1241" s="216">
        <v>19.350000000000001</v>
      </c>
    </row>
    <row r="1242" spans="1:12" hidden="1">
      <c r="A1242" s="209">
        <v>46233</v>
      </c>
      <c r="B1242" s="69" t="s">
        <v>2607</v>
      </c>
      <c r="C1242" s="69" t="s">
        <v>4653</v>
      </c>
      <c r="D1242" s="96" t="s">
        <v>2608</v>
      </c>
      <c r="E1242" s="69">
        <v>11</v>
      </c>
      <c r="F1242" s="122">
        <v>6.37</v>
      </c>
      <c r="G1242" s="122">
        <v>7.5</v>
      </c>
      <c r="H1242" s="208">
        <v>82.5</v>
      </c>
      <c r="I1242" s="215"/>
      <c r="J1242" s="215"/>
      <c r="K1242" s="215">
        <v>82.5</v>
      </c>
      <c r="L1242" s="216">
        <v>70.070000000000007</v>
      </c>
    </row>
    <row r="1243" spans="1:12" hidden="1">
      <c r="A1243" s="209">
        <v>46233</v>
      </c>
      <c r="B1243" s="69" t="s">
        <v>3894</v>
      </c>
      <c r="C1243" s="69" t="s">
        <v>4654</v>
      </c>
      <c r="D1243" s="96" t="s">
        <v>4400</v>
      </c>
      <c r="E1243" s="69">
        <v>2</v>
      </c>
      <c r="F1243" s="122">
        <v>5.61</v>
      </c>
      <c r="G1243" s="122">
        <v>6.5</v>
      </c>
      <c r="H1243" s="208">
        <v>13</v>
      </c>
      <c r="I1243" s="215"/>
      <c r="J1243" s="215"/>
      <c r="K1243" s="215">
        <v>13</v>
      </c>
      <c r="L1243" s="216">
        <v>11.22</v>
      </c>
    </row>
    <row r="1244" spans="1:12" hidden="1">
      <c r="A1244" s="209">
        <v>46233</v>
      </c>
      <c r="B1244" s="69" t="s">
        <v>550</v>
      </c>
      <c r="C1244" s="69" t="s">
        <v>4655</v>
      </c>
      <c r="D1244" s="96" t="s">
        <v>551</v>
      </c>
      <c r="E1244" s="69">
        <v>2</v>
      </c>
      <c r="F1244" s="122">
        <v>7.48</v>
      </c>
      <c r="G1244" s="122">
        <v>8.75</v>
      </c>
      <c r="H1244" s="208">
        <v>17.5</v>
      </c>
      <c r="I1244" s="215"/>
      <c r="J1244" s="215"/>
      <c r="K1244" s="215">
        <v>17.5</v>
      </c>
      <c r="L1244" s="216">
        <v>14.96</v>
      </c>
    </row>
    <row r="1245" spans="1:12" hidden="1">
      <c r="A1245" s="209">
        <v>46233</v>
      </c>
      <c r="B1245" s="69" t="s">
        <v>919</v>
      </c>
      <c r="C1245" s="69" t="s">
        <v>4656</v>
      </c>
      <c r="D1245" s="96" t="s">
        <v>920</v>
      </c>
      <c r="E1245" s="69">
        <v>1</v>
      </c>
      <c r="F1245" s="122">
        <v>12.66</v>
      </c>
      <c r="G1245" s="122">
        <v>14.25</v>
      </c>
      <c r="H1245" s="208">
        <v>14.25</v>
      </c>
      <c r="I1245" s="215"/>
      <c r="J1245" s="215"/>
      <c r="K1245" s="215">
        <v>14.25</v>
      </c>
      <c r="L1245" s="216">
        <v>12.66</v>
      </c>
    </row>
    <row r="1246" spans="1:12" hidden="1">
      <c r="A1246" s="209">
        <v>46233</v>
      </c>
      <c r="B1246" s="69" t="s">
        <v>2205</v>
      </c>
      <c r="C1246" s="69" t="s">
        <v>4657</v>
      </c>
      <c r="D1246" s="96" t="s">
        <v>2206</v>
      </c>
      <c r="E1246" s="69">
        <v>6</v>
      </c>
      <c r="F1246" s="122">
        <v>302.13</v>
      </c>
      <c r="G1246" s="122">
        <v>362.75</v>
      </c>
      <c r="H1246" s="208">
        <v>2176.5</v>
      </c>
      <c r="I1246" s="215"/>
      <c r="J1246" s="215"/>
      <c r="K1246" s="215">
        <v>2176.5</v>
      </c>
      <c r="L1246" s="216">
        <v>1812.78</v>
      </c>
    </row>
    <row r="1247" spans="1:12" hidden="1">
      <c r="A1247" s="209">
        <v>46233</v>
      </c>
      <c r="B1247" s="69" t="s">
        <v>3397</v>
      </c>
      <c r="C1247" s="69" t="s">
        <v>4657</v>
      </c>
      <c r="D1247" s="96" t="s">
        <v>3398</v>
      </c>
      <c r="E1247" s="69">
        <v>10</v>
      </c>
      <c r="F1247" s="122">
        <v>53.64</v>
      </c>
      <c r="G1247" s="122">
        <v>61.75</v>
      </c>
      <c r="H1247" s="208">
        <v>617.5</v>
      </c>
      <c r="I1247" s="215"/>
      <c r="J1247" s="215"/>
      <c r="K1247" s="215">
        <v>617.5</v>
      </c>
      <c r="L1247" s="216">
        <v>536.4</v>
      </c>
    </row>
    <row r="1248" spans="1:12" hidden="1">
      <c r="A1248" s="209">
        <v>46233</v>
      </c>
      <c r="B1248" s="69" t="s">
        <v>2453</v>
      </c>
      <c r="C1248" s="69" t="s">
        <v>4657</v>
      </c>
      <c r="D1248" s="96" t="s">
        <v>2454</v>
      </c>
      <c r="E1248" s="69">
        <v>24</v>
      </c>
      <c r="F1248" s="122">
        <v>6.12</v>
      </c>
      <c r="G1248" s="122">
        <v>7.25</v>
      </c>
      <c r="H1248" s="208">
        <v>174</v>
      </c>
      <c r="I1248" s="215"/>
      <c r="J1248" s="215"/>
      <c r="K1248" s="215">
        <v>174</v>
      </c>
      <c r="L1248" s="216">
        <v>146.88</v>
      </c>
    </row>
    <row r="1249" spans="1:12" hidden="1">
      <c r="A1249" s="209">
        <v>46233</v>
      </c>
      <c r="B1249" s="69" t="s">
        <v>2668</v>
      </c>
      <c r="C1249" s="69" t="s">
        <v>4657</v>
      </c>
      <c r="D1249" s="96" t="s">
        <v>2669</v>
      </c>
      <c r="E1249" s="69">
        <v>1</v>
      </c>
      <c r="F1249" s="122">
        <v>45.3</v>
      </c>
      <c r="G1249" s="122">
        <v>52.25</v>
      </c>
      <c r="H1249" s="208">
        <v>52.25</v>
      </c>
      <c r="I1249" s="215"/>
      <c r="J1249" s="215"/>
      <c r="K1249" s="215">
        <v>52.25</v>
      </c>
      <c r="L1249" s="216">
        <v>45.3</v>
      </c>
    </row>
    <row r="1250" spans="1:12" hidden="1">
      <c r="A1250" s="209">
        <v>46233</v>
      </c>
      <c r="B1250" s="69" t="s">
        <v>2607</v>
      </c>
      <c r="C1250" s="69" t="s">
        <v>4657</v>
      </c>
      <c r="D1250" s="96" t="s">
        <v>2608</v>
      </c>
      <c r="E1250" s="69">
        <v>24</v>
      </c>
      <c r="F1250" s="122">
        <v>6.37</v>
      </c>
      <c r="G1250" s="122">
        <v>7.5</v>
      </c>
      <c r="H1250" s="208">
        <v>180</v>
      </c>
      <c r="I1250" s="215"/>
      <c r="J1250" s="215"/>
      <c r="K1250" s="215">
        <v>180</v>
      </c>
      <c r="L1250" s="216">
        <v>152.88</v>
      </c>
    </row>
    <row r="1251" spans="1:12" hidden="1">
      <c r="A1251" s="209">
        <v>46233</v>
      </c>
      <c r="B1251" s="69" t="s">
        <v>2318</v>
      </c>
      <c r="C1251" s="69" t="s">
        <v>4657</v>
      </c>
      <c r="D1251" s="96" t="s">
        <v>2319</v>
      </c>
      <c r="E1251" s="69">
        <v>10</v>
      </c>
      <c r="F1251" s="122">
        <v>65</v>
      </c>
      <c r="G1251" s="122">
        <v>75</v>
      </c>
      <c r="H1251" s="208">
        <v>750</v>
      </c>
      <c r="I1251" s="215"/>
      <c r="J1251" s="215"/>
      <c r="K1251" s="215">
        <v>750</v>
      </c>
      <c r="L1251" s="216">
        <v>650</v>
      </c>
    </row>
    <row r="1252" spans="1:12" hidden="1">
      <c r="A1252" s="209">
        <v>46233</v>
      </c>
      <c r="B1252" s="69" t="s">
        <v>2482</v>
      </c>
      <c r="C1252" s="69" t="s">
        <v>4657</v>
      </c>
      <c r="D1252" s="96" t="s">
        <v>2483</v>
      </c>
      <c r="E1252" s="69">
        <v>1</v>
      </c>
      <c r="F1252" s="122">
        <v>350.45</v>
      </c>
      <c r="G1252" s="122">
        <v>403.25</v>
      </c>
      <c r="H1252" s="208">
        <v>403.25</v>
      </c>
      <c r="I1252" s="215"/>
      <c r="J1252" s="215"/>
      <c r="K1252" s="215">
        <v>403.25</v>
      </c>
      <c r="L1252" s="216">
        <v>350.45</v>
      </c>
    </row>
    <row r="1253" spans="1:12" hidden="1">
      <c r="A1253" s="209">
        <v>46233</v>
      </c>
      <c r="B1253" s="69" t="s">
        <v>3658</v>
      </c>
      <c r="C1253" s="69" t="s">
        <v>4658</v>
      </c>
      <c r="D1253" s="96" t="s">
        <v>3659</v>
      </c>
      <c r="E1253" s="69">
        <v>1</v>
      </c>
      <c r="F1253" s="122">
        <v>13.12</v>
      </c>
      <c r="G1253" s="122">
        <v>15.25</v>
      </c>
      <c r="H1253" s="208">
        <v>15.25</v>
      </c>
      <c r="I1253" s="215"/>
      <c r="J1253" s="215"/>
      <c r="K1253" s="215">
        <v>15.25</v>
      </c>
      <c r="L1253" s="216">
        <v>13.12</v>
      </c>
    </row>
    <row r="1254" spans="1:12" hidden="1">
      <c r="A1254" s="209">
        <v>46233</v>
      </c>
      <c r="B1254" s="69" t="s">
        <v>2205</v>
      </c>
      <c r="C1254" s="69" t="s">
        <v>4659</v>
      </c>
      <c r="D1254" s="96" t="s">
        <v>2206</v>
      </c>
      <c r="E1254" s="69">
        <v>3</v>
      </c>
      <c r="F1254" s="122">
        <v>302.13</v>
      </c>
      <c r="G1254" s="122">
        <v>362.75</v>
      </c>
      <c r="H1254" s="208">
        <v>1088.25</v>
      </c>
      <c r="I1254" s="215"/>
      <c r="J1254" s="215"/>
      <c r="K1254" s="215">
        <v>1088.25</v>
      </c>
      <c r="L1254" s="216">
        <v>906.39</v>
      </c>
    </row>
    <row r="1255" spans="1:12" hidden="1">
      <c r="A1255" s="209">
        <v>46233</v>
      </c>
      <c r="B1255" s="69" t="s">
        <v>1909</v>
      </c>
      <c r="C1255" s="69" t="s">
        <v>4659</v>
      </c>
      <c r="D1255" s="96" t="s">
        <v>1910</v>
      </c>
      <c r="E1255" s="69">
        <v>4</v>
      </c>
      <c r="F1255" s="122">
        <v>83.55</v>
      </c>
      <c r="G1255" s="122">
        <v>97.25</v>
      </c>
      <c r="H1255" s="208">
        <v>389</v>
      </c>
      <c r="I1255" s="215"/>
      <c r="J1255" s="215"/>
      <c r="K1255" s="215">
        <v>389</v>
      </c>
      <c r="L1255" s="216">
        <v>334.2</v>
      </c>
    </row>
    <row r="1256" spans="1:12" hidden="1">
      <c r="A1256" s="209">
        <v>46233</v>
      </c>
      <c r="B1256" s="69" t="s">
        <v>2484</v>
      </c>
      <c r="C1256" s="69" t="s">
        <v>4659</v>
      </c>
      <c r="D1256" s="96" t="s">
        <v>2485</v>
      </c>
      <c r="E1256" s="69">
        <v>2</v>
      </c>
      <c r="F1256" s="122">
        <v>209.3</v>
      </c>
      <c r="G1256" s="122">
        <v>244.75</v>
      </c>
      <c r="H1256" s="208">
        <v>489.5</v>
      </c>
      <c r="I1256" s="215"/>
      <c r="J1256" s="215"/>
      <c r="K1256" s="215">
        <v>489.5</v>
      </c>
      <c r="L1256" s="216">
        <v>418.6</v>
      </c>
    </row>
    <row r="1257" spans="1:12" hidden="1">
      <c r="A1257" s="209">
        <v>46233</v>
      </c>
      <c r="B1257" s="69" t="s">
        <v>2355</v>
      </c>
      <c r="C1257" s="69" t="s">
        <v>4659</v>
      </c>
      <c r="D1257" s="96" t="s">
        <v>2356</v>
      </c>
      <c r="E1257" s="69">
        <v>10</v>
      </c>
      <c r="F1257" s="122">
        <v>65</v>
      </c>
      <c r="G1257" s="122">
        <v>75</v>
      </c>
      <c r="H1257" s="208">
        <v>750</v>
      </c>
      <c r="I1257" s="215"/>
      <c r="J1257" s="215"/>
      <c r="K1257" s="215">
        <v>750</v>
      </c>
      <c r="L1257" s="216">
        <v>650</v>
      </c>
    </row>
    <row r="1258" spans="1:12" hidden="1">
      <c r="A1258" s="209">
        <v>46233</v>
      </c>
      <c r="B1258" s="69" t="s">
        <v>975</v>
      </c>
      <c r="C1258" s="69" t="s">
        <v>4659</v>
      </c>
      <c r="D1258" s="96" t="s">
        <v>976</v>
      </c>
      <c r="E1258" s="69">
        <v>20</v>
      </c>
      <c r="F1258" s="122">
        <v>100.03</v>
      </c>
      <c r="G1258" s="122">
        <v>115.25</v>
      </c>
      <c r="H1258" s="208">
        <v>2305</v>
      </c>
      <c r="I1258" s="215"/>
      <c r="J1258" s="215"/>
      <c r="K1258" s="215">
        <v>2305</v>
      </c>
      <c r="L1258" s="216">
        <v>2000.6</v>
      </c>
    </row>
    <row r="1259" spans="1:12" hidden="1">
      <c r="A1259" s="209">
        <v>46233</v>
      </c>
      <c r="B1259" s="69" t="s">
        <v>1911</v>
      </c>
      <c r="C1259" s="69" t="s">
        <v>4660</v>
      </c>
      <c r="D1259" s="96" t="s">
        <v>1912</v>
      </c>
      <c r="E1259" s="69">
        <v>1</v>
      </c>
      <c r="F1259" s="122">
        <v>529.58000000000004</v>
      </c>
      <c r="G1259" s="122">
        <v>615</v>
      </c>
      <c r="H1259" s="208">
        <v>615</v>
      </c>
      <c r="I1259" s="215"/>
      <c r="J1259" s="215"/>
      <c r="K1259" s="215">
        <v>615</v>
      </c>
      <c r="L1259" s="216">
        <v>529.58000000000004</v>
      </c>
    </row>
    <row r="1260" spans="1:12" hidden="1">
      <c r="A1260" s="209">
        <v>46233</v>
      </c>
      <c r="B1260" s="69" t="s">
        <v>2603</v>
      </c>
      <c r="C1260" s="69" t="s">
        <v>4660</v>
      </c>
      <c r="D1260" s="96" t="s">
        <v>2604</v>
      </c>
      <c r="E1260" s="69">
        <v>4</v>
      </c>
      <c r="F1260" s="122">
        <v>38.25</v>
      </c>
      <c r="G1260" s="122">
        <v>44</v>
      </c>
      <c r="H1260" s="208">
        <v>176</v>
      </c>
      <c r="I1260" s="215"/>
      <c r="J1260" s="215"/>
      <c r="K1260" s="215">
        <v>176</v>
      </c>
      <c r="L1260" s="216">
        <v>153</v>
      </c>
    </row>
    <row r="1261" spans="1:12" hidden="1">
      <c r="A1261" s="209">
        <v>46233</v>
      </c>
      <c r="B1261" s="69" t="s">
        <v>2205</v>
      </c>
      <c r="C1261" s="69" t="s">
        <v>4660</v>
      </c>
      <c r="D1261" s="96" t="s">
        <v>2206</v>
      </c>
      <c r="E1261" s="69">
        <v>1</v>
      </c>
      <c r="F1261" s="122">
        <v>302.13</v>
      </c>
      <c r="G1261" s="122">
        <v>362.75</v>
      </c>
      <c r="H1261" s="208">
        <v>362.75</v>
      </c>
      <c r="I1261" s="215"/>
      <c r="J1261" s="215"/>
      <c r="K1261" s="215">
        <v>362.75</v>
      </c>
      <c r="L1261" s="216">
        <v>302.13</v>
      </c>
    </row>
    <row r="1262" spans="1:12" hidden="1">
      <c r="A1262" s="209">
        <v>46233</v>
      </c>
      <c r="B1262" s="69" t="s">
        <v>2469</v>
      </c>
      <c r="C1262" s="69" t="s">
        <v>4660</v>
      </c>
      <c r="D1262" s="96" t="s">
        <v>2470</v>
      </c>
      <c r="E1262" s="69">
        <v>2</v>
      </c>
      <c r="F1262" s="122">
        <v>160.51</v>
      </c>
      <c r="G1262" s="122">
        <v>184.75</v>
      </c>
      <c r="H1262" s="208">
        <v>369.5</v>
      </c>
      <c r="I1262" s="215"/>
      <c r="J1262" s="215"/>
      <c r="K1262" s="215">
        <v>369.5</v>
      </c>
      <c r="L1262" s="216">
        <v>321.02</v>
      </c>
    </row>
    <row r="1263" spans="1:12" hidden="1">
      <c r="A1263" s="209">
        <v>46233</v>
      </c>
      <c r="B1263" s="69" t="s">
        <v>975</v>
      </c>
      <c r="C1263" s="69" t="s">
        <v>4660</v>
      </c>
      <c r="D1263" s="96" t="s">
        <v>976</v>
      </c>
      <c r="E1263" s="69">
        <v>2</v>
      </c>
      <c r="F1263" s="122">
        <v>100.03</v>
      </c>
      <c r="G1263" s="122">
        <v>115.25</v>
      </c>
      <c r="H1263" s="208">
        <v>230.5</v>
      </c>
      <c r="I1263" s="215"/>
      <c r="J1263" s="215"/>
      <c r="K1263" s="215">
        <v>230.5</v>
      </c>
      <c r="L1263" s="216">
        <v>200.06</v>
      </c>
    </row>
    <row r="1264" spans="1:12" hidden="1">
      <c r="A1264" s="209">
        <v>46233</v>
      </c>
      <c r="B1264" s="69" t="s">
        <v>1018</v>
      </c>
      <c r="C1264" s="69" t="s">
        <v>4660</v>
      </c>
      <c r="D1264" s="96" t="s">
        <v>1019</v>
      </c>
      <c r="E1264" s="69">
        <v>3</v>
      </c>
      <c r="F1264" s="122">
        <v>109.57</v>
      </c>
      <c r="G1264" s="122">
        <v>136.5</v>
      </c>
      <c r="H1264" s="208">
        <v>409.5</v>
      </c>
      <c r="I1264" s="215"/>
      <c r="J1264" s="215"/>
      <c r="K1264" s="215">
        <v>409.5</v>
      </c>
      <c r="L1264" s="216">
        <v>328.71</v>
      </c>
    </row>
    <row r="1265" spans="1:12" hidden="1">
      <c r="A1265" s="209">
        <v>46233</v>
      </c>
      <c r="B1265" s="69" t="s">
        <v>2207</v>
      </c>
      <c r="C1265" s="69" t="s">
        <v>4661</v>
      </c>
      <c r="D1265" s="96" t="s">
        <v>2208</v>
      </c>
      <c r="E1265" s="69">
        <v>1</v>
      </c>
      <c r="F1265" s="122">
        <v>30.9</v>
      </c>
      <c r="G1265" s="122">
        <v>35.75</v>
      </c>
      <c r="H1265" s="208">
        <v>35.75</v>
      </c>
      <c r="I1265" s="215"/>
      <c r="J1265" s="215"/>
      <c r="K1265" s="215">
        <v>35.75</v>
      </c>
      <c r="L1265" s="216">
        <v>30.9</v>
      </c>
    </row>
    <row r="1266" spans="1:12" hidden="1">
      <c r="A1266" s="209">
        <v>46233</v>
      </c>
      <c r="B1266" s="69" t="s">
        <v>3631</v>
      </c>
      <c r="C1266" s="69" t="s">
        <v>4661</v>
      </c>
      <c r="D1266" s="96" t="s">
        <v>3632</v>
      </c>
      <c r="E1266" s="69">
        <v>1</v>
      </c>
      <c r="F1266" s="122">
        <v>42.87</v>
      </c>
      <c r="G1266" s="122">
        <v>49.5</v>
      </c>
      <c r="H1266" s="208">
        <v>49.5</v>
      </c>
      <c r="I1266" s="215"/>
      <c r="J1266" s="215"/>
      <c r="K1266" s="215">
        <v>49.5</v>
      </c>
      <c r="L1266" s="216">
        <v>42.87</v>
      </c>
    </row>
    <row r="1267" spans="1:12" hidden="1">
      <c r="A1267" s="209">
        <v>46233</v>
      </c>
      <c r="B1267" s="69" t="s">
        <v>2205</v>
      </c>
      <c r="C1267" s="69" t="s">
        <v>4662</v>
      </c>
      <c r="D1267" s="96" t="s">
        <v>2206</v>
      </c>
      <c r="E1267" s="69">
        <v>3</v>
      </c>
      <c r="F1267" s="122">
        <v>302.13</v>
      </c>
      <c r="G1267" s="122">
        <v>362.75</v>
      </c>
      <c r="H1267" s="208">
        <v>1088.25</v>
      </c>
      <c r="I1267" s="215"/>
      <c r="J1267" s="215"/>
      <c r="K1267" s="215">
        <v>1088.25</v>
      </c>
      <c r="L1267" s="216">
        <v>906.39</v>
      </c>
    </row>
    <row r="1268" spans="1:12" hidden="1">
      <c r="A1268" s="209">
        <v>46233</v>
      </c>
      <c r="B1268" s="69" t="s">
        <v>1018</v>
      </c>
      <c r="C1268" s="69" t="s">
        <v>4662</v>
      </c>
      <c r="D1268" s="96" t="s">
        <v>1019</v>
      </c>
      <c r="E1268" s="69">
        <v>3</v>
      </c>
      <c r="F1268" s="122">
        <v>109.57</v>
      </c>
      <c r="G1268" s="122">
        <v>136.5</v>
      </c>
      <c r="H1268" s="208">
        <v>409.5</v>
      </c>
      <c r="I1268" s="215"/>
      <c r="J1268" s="215"/>
      <c r="K1268" s="215">
        <v>409.5</v>
      </c>
      <c r="L1268" s="216">
        <v>328.71</v>
      </c>
    </row>
    <row r="1269" spans="1:12" hidden="1">
      <c r="A1269" s="209">
        <v>46233</v>
      </c>
      <c r="B1269" s="69" t="s">
        <v>899</v>
      </c>
      <c r="C1269" s="69" t="s">
        <v>4662</v>
      </c>
      <c r="D1269" s="96" t="s">
        <v>900</v>
      </c>
      <c r="E1269" s="69">
        <v>3</v>
      </c>
      <c r="F1269" s="122">
        <v>94.58</v>
      </c>
      <c r="G1269" s="122">
        <v>109</v>
      </c>
      <c r="H1269" s="208">
        <v>327</v>
      </c>
      <c r="I1269" s="215"/>
      <c r="J1269" s="215"/>
      <c r="K1269" s="215">
        <v>327</v>
      </c>
      <c r="L1269" s="216">
        <v>283.74</v>
      </c>
    </row>
    <row r="1270" spans="1:12" hidden="1">
      <c r="A1270" s="209">
        <v>46233</v>
      </c>
      <c r="B1270" s="69" t="s">
        <v>1596</v>
      </c>
      <c r="C1270" s="69" t="s">
        <v>4662</v>
      </c>
      <c r="D1270" s="96" t="s">
        <v>1597</v>
      </c>
      <c r="E1270" s="69">
        <v>4</v>
      </c>
      <c r="F1270" s="122">
        <v>13.92</v>
      </c>
      <c r="G1270" s="122">
        <v>22</v>
      </c>
      <c r="H1270" s="208">
        <v>88</v>
      </c>
      <c r="I1270" s="215"/>
      <c r="J1270" s="215"/>
      <c r="K1270" s="215">
        <v>88</v>
      </c>
      <c r="L1270" s="216">
        <v>55.68</v>
      </c>
    </row>
    <row r="1271" spans="1:12" hidden="1">
      <c r="A1271" s="209">
        <v>46233</v>
      </c>
      <c r="B1271" s="69" t="s">
        <v>3666</v>
      </c>
      <c r="C1271" s="69" t="s">
        <v>4662</v>
      </c>
      <c r="D1271" s="96" t="s">
        <v>3667</v>
      </c>
      <c r="E1271" s="69">
        <v>2</v>
      </c>
      <c r="F1271" s="122">
        <v>109.83</v>
      </c>
      <c r="G1271" s="122">
        <v>126.5</v>
      </c>
      <c r="H1271" s="208">
        <v>253</v>
      </c>
      <c r="I1271" s="215"/>
      <c r="J1271" s="215"/>
      <c r="K1271" s="215">
        <v>253</v>
      </c>
      <c r="L1271" s="216">
        <v>219.66</v>
      </c>
    </row>
    <row r="1272" spans="1:12" hidden="1">
      <c r="A1272" s="209">
        <v>46233</v>
      </c>
      <c r="B1272" s="69" t="s">
        <v>2342</v>
      </c>
      <c r="C1272" s="69" t="s">
        <v>4662</v>
      </c>
      <c r="D1272" s="96" t="s">
        <v>2343</v>
      </c>
      <c r="E1272" s="69">
        <v>10</v>
      </c>
      <c r="F1272" s="122">
        <v>65</v>
      </c>
      <c r="G1272" s="122">
        <v>75</v>
      </c>
      <c r="H1272" s="208">
        <v>750</v>
      </c>
      <c r="I1272" s="215"/>
      <c r="J1272" s="215"/>
      <c r="K1272" s="215">
        <v>750</v>
      </c>
      <c r="L1272" s="216">
        <v>650</v>
      </c>
    </row>
    <row r="1273" spans="1:12" hidden="1">
      <c r="A1273" s="209">
        <v>46233</v>
      </c>
      <c r="B1273" s="69" t="s">
        <v>2461</v>
      </c>
      <c r="C1273" s="69" t="s">
        <v>4662</v>
      </c>
      <c r="D1273" s="96" t="s">
        <v>2462</v>
      </c>
      <c r="E1273" s="69">
        <v>24</v>
      </c>
      <c r="F1273" s="122">
        <v>6.35</v>
      </c>
      <c r="G1273" s="122">
        <v>7.5</v>
      </c>
      <c r="H1273" s="208">
        <v>180</v>
      </c>
      <c r="I1273" s="215"/>
      <c r="J1273" s="215"/>
      <c r="K1273" s="215">
        <v>180</v>
      </c>
      <c r="L1273" s="216">
        <v>152.39999999999998</v>
      </c>
    </row>
    <row r="1274" spans="1:12" hidden="1">
      <c r="A1274" s="209">
        <v>46233</v>
      </c>
      <c r="B1274" s="69" t="s">
        <v>2205</v>
      </c>
      <c r="C1274" s="69" t="s">
        <v>4663</v>
      </c>
      <c r="D1274" s="96" t="s">
        <v>2206</v>
      </c>
      <c r="E1274" s="69">
        <v>2</v>
      </c>
      <c r="F1274" s="122">
        <v>302.13</v>
      </c>
      <c r="G1274" s="122">
        <v>362.75</v>
      </c>
      <c r="H1274" s="208">
        <v>725.5</v>
      </c>
      <c r="I1274" s="215"/>
      <c r="J1274" s="215"/>
      <c r="K1274" s="215">
        <v>725.5</v>
      </c>
      <c r="L1274" s="216">
        <v>604.26</v>
      </c>
    </row>
    <row r="1275" spans="1:12" hidden="1">
      <c r="A1275" s="209">
        <v>46233</v>
      </c>
      <c r="B1275" s="69" t="s">
        <v>1024</v>
      </c>
      <c r="C1275" s="69" t="s">
        <v>4663</v>
      </c>
      <c r="D1275" s="96" t="s">
        <v>1025</v>
      </c>
      <c r="E1275" s="69">
        <v>24</v>
      </c>
      <c r="F1275" s="122">
        <v>8.58</v>
      </c>
      <c r="G1275" s="122">
        <v>10</v>
      </c>
      <c r="H1275" s="208">
        <v>240</v>
      </c>
      <c r="I1275" s="215"/>
      <c r="J1275" s="215"/>
      <c r="K1275" s="215">
        <v>240</v>
      </c>
      <c r="L1275" s="216">
        <v>205.92000000000002</v>
      </c>
    </row>
    <row r="1276" spans="1:12" hidden="1">
      <c r="A1276" s="209">
        <v>46233</v>
      </c>
      <c r="B1276" s="69" t="s">
        <v>3621</v>
      </c>
      <c r="C1276" s="69" t="s">
        <v>4663</v>
      </c>
      <c r="D1276" s="96" t="s">
        <v>3622</v>
      </c>
      <c r="E1276" s="69">
        <v>5</v>
      </c>
      <c r="F1276" s="122">
        <v>120.95</v>
      </c>
      <c r="G1276" s="122">
        <v>139.25</v>
      </c>
      <c r="H1276" s="208">
        <v>696.25</v>
      </c>
      <c r="I1276" s="215"/>
      <c r="J1276" s="215"/>
      <c r="K1276" s="215">
        <v>696.25</v>
      </c>
      <c r="L1276" s="216">
        <v>604.75</v>
      </c>
    </row>
    <row r="1277" spans="1:12">
      <c r="A1277" s="209">
        <v>46233</v>
      </c>
      <c r="B1277" s="69" t="s">
        <v>1594</v>
      </c>
      <c r="C1277" s="69" t="s">
        <v>4663</v>
      </c>
      <c r="D1277" s="96" t="s">
        <v>1595</v>
      </c>
      <c r="E1277" s="69">
        <v>4</v>
      </c>
      <c r="F1277" s="122">
        <v>27.84</v>
      </c>
      <c r="G1277" s="122">
        <v>45</v>
      </c>
      <c r="H1277" s="208">
        <v>180</v>
      </c>
      <c r="I1277" s="215"/>
      <c r="J1277" s="215"/>
      <c r="K1277" s="215">
        <v>180</v>
      </c>
      <c r="L1277" s="216">
        <v>111.36</v>
      </c>
    </row>
    <row r="1278" spans="1:12" hidden="1">
      <c r="A1278" s="209">
        <v>46233</v>
      </c>
      <c r="B1278" s="69" t="s">
        <v>3666</v>
      </c>
      <c r="C1278" s="69" t="s">
        <v>4663</v>
      </c>
      <c r="D1278" s="96" t="s">
        <v>3667</v>
      </c>
      <c r="E1278" s="69">
        <v>2</v>
      </c>
      <c r="F1278" s="122">
        <v>109.83</v>
      </c>
      <c r="G1278" s="122">
        <v>126.5</v>
      </c>
      <c r="H1278" s="208">
        <v>253</v>
      </c>
      <c r="I1278" s="215"/>
      <c r="J1278" s="215"/>
      <c r="K1278" s="215">
        <v>253</v>
      </c>
      <c r="L1278" s="216">
        <v>219.66</v>
      </c>
    </row>
    <row r="1279" spans="1:12" hidden="1">
      <c r="A1279" s="209">
        <v>46233</v>
      </c>
      <c r="B1279" s="69" t="s">
        <v>3397</v>
      </c>
      <c r="C1279" s="69" t="s">
        <v>4663</v>
      </c>
      <c r="D1279" s="96" t="s">
        <v>3398</v>
      </c>
      <c r="E1279" s="69">
        <v>5</v>
      </c>
      <c r="F1279" s="122">
        <v>53.64</v>
      </c>
      <c r="G1279" s="122">
        <v>61.75</v>
      </c>
      <c r="H1279" s="208">
        <v>308.75</v>
      </c>
      <c r="I1279" s="215"/>
      <c r="J1279" s="215"/>
      <c r="K1279" s="215">
        <v>308.75</v>
      </c>
      <c r="L1279" s="216">
        <v>268.2</v>
      </c>
    </row>
    <row r="1280" spans="1:12" hidden="1">
      <c r="A1280" s="209">
        <v>46233</v>
      </c>
      <c r="B1280" s="69" t="s">
        <v>2431</v>
      </c>
      <c r="C1280" s="69" t="s">
        <v>4663</v>
      </c>
      <c r="D1280" s="96" t="s">
        <v>2432</v>
      </c>
      <c r="E1280" s="69">
        <v>10</v>
      </c>
      <c r="F1280" s="122">
        <v>19.66</v>
      </c>
      <c r="G1280" s="122">
        <v>23</v>
      </c>
      <c r="H1280" s="208">
        <v>230</v>
      </c>
      <c r="I1280" s="215"/>
      <c r="J1280" s="215"/>
      <c r="K1280" s="215">
        <v>230</v>
      </c>
      <c r="L1280" s="216">
        <v>196.6</v>
      </c>
    </row>
    <row r="1281" spans="1:12" hidden="1">
      <c r="A1281" s="209">
        <v>46233</v>
      </c>
      <c r="B1281" s="69" t="s">
        <v>2603</v>
      </c>
      <c r="C1281" s="69" t="s">
        <v>4663</v>
      </c>
      <c r="D1281" s="96" t="s">
        <v>2604</v>
      </c>
      <c r="E1281" s="69">
        <v>4</v>
      </c>
      <c r="F1281" s="122">
        <v>38.25</v>
      </c>
      <c r="G1281" s="122">
        <v>44</v>
      </c>
      <c r="H1281" s="208">
        <v>176</v>
      </c>
      <c r="I1281" s="215"/>
      <c r="J1281" s="215"/>
      <c r="K1281" s="215">
        <v>176</v>
      </c>
      <c r="L1281" s="216">
        <v>153</v>
      </c>
    </row>
    <row r="1282" spans="1:12" hidden="1">
      <c r="A1282" s="209">
        <v>46233</v>
      </c>
      <c r="B1282" s="69" t="s">
        <v>2461</v>
      </c>
      <c r="C1282" s="69" t="s">
        <v>4663</v>
      </c>
      <c r="D1282" s="96" t="s">
        <v>2462</v>
      </c>
      <c r="E1282" s="69">
        <v>24</v>
      </c>
      <c r="F1282" s="122">
        <v>6.35</v>
      </c>
      <c r="G1282" s="122">
        <v>7.5</v>
      </c>
      <c r="H1282" s="208">
        <v>180</v>
      </c>
      <c r="I1282" s="215"/>
      <c r="J1282" s="215"/>
      <c r="K1282" s="215">
        <v>180</v>
      </c>
      <c r="L1282" s="216">
        <v>152.39999999999998</v>
      </c>
    </row>
    <row r="1283" spans="1:12" hidden="1">
      <c r="A1283" s="209">
        <v>46233</v>
      </c>
      <c r="B1283" s="69" t="s">
        <v>2205</v>
      </c>
      <c r="C1283" s="69" t="s">
        <v>4664</v>
      </c>
      <c r="D1283" s="96" t="s">
        <v>2206</v>
      </c>
      <c r="E1283" s="69">
        <v>10</v>
      </c>
      <c r="F1283" s="122">
        <v>302.13</v>
      </c>
      <c r="G1283" s="122">
        <v>362.75</v>
      </c>
      <c r="H1283" s="208">
        <v>3627.5</v>
      </c>
      <c r="I1283" s="215"/>
      <c r="J1283" s="215"/>
      <c r="K1283" s="215">
        <v>3627.5</v>
      </c>
      <c r="L1283" s="216">
        <v>3021.3</v>
      </c>
    </row>
    <row r="1284" spans="1:12">
      <c r="A1284" s="209">
        <v>46233</v>
      </c>
      <c r="B1284" s="69" t="s">
        <v>1594</v>
      </c>
      <c r="C1284" s="69" t="s">
        <v>4664</v>
      </c>
      <c r="D1284" s="96" t="s">
        <v>1595</v>
      </c>
      <c r="E1284" s="69">
        <v>3</v>
      </c>
      <c r="F1284" s="122">
        <v>27.84</v>
      </c>
      <c r="G1284" s="122">
        <v>45</v>
      </c>
      <c r="H1284" s="208">
        <v>135</v>
      </c>
      <c r="I1284" s="215"/>
      <c r="J1284" s="215"/>
      <c r="K1284" s="215">
        <v>135</v>
      </c>
      <c r="L1284" s="216">
        <v>83.52</v>
      </c>
    </row>
    <row r="1285" spans="1:12" hidden="1">
      <c r="A1285" s="209">
        <v>46233</v>
      </c>
      <c r="B1285" s="69" t="s">
        <v>1596</v>
      </c>
      <c r="C1285" s="69" t="s">
        <v>4664</v>
      </c>
      <c r="D1285" s="96" t="s">
        <v>1597</v>
      </c>
      <c r="E1285" s="69">
        <v>10</v>
      </c>
      <c r="F1285" s="122">
        <v>13.92</v>
      </c>
      <c r="G1285" s="122">
        <v>22</v>
      </c>
      <c r="H1285" s="208">
        <v>220</v>
      </c>
      <c r="I1285" s="215"/>
      <c r="J1285" s="215"/>
      <c r="K1285" s="215">
        <v>220</v>
      </c>
      <c r="L1285" s="216">
        <v>139.19999999999999</v>
      </c>
    </row>
    <row r="1286" spans="1:12" hidden="1">
      <c r="A1286" s="209">
        <v>46233</v>
      </c>
      <c r="B1286" s="69" t="s">
        <v>899</v>
      </c>
      <c r="C1286" s="69" t="s">
        <v>4664</v>
      </c>
      <c r="D1286" s="96" t="s">
        <v>900</v>
      </c>
      <c r="E1286" s="69">
        <v>4</v>
      </c>
      <c r="F1286" s="122">
        <v>94.58</v>
      </c>
      <c r="G1286" s="122">
        <v>109</v>
      </c>
      <c r="H1286" s="208">
        <v>436</v>
      </c>
      <c r="I1286" s="215"/>
      <c r="J1286" s="215"/>
      <c r="K1286" s="215">
        <v>436</v>
      </c>
      <c r="L1286" s="216">
        <v>378.32</v>
      </c>
    </row>
    <row r="1287" spans="1:12" hidden="1">
      <c r="A1287" s="209">
        <v>46233</v>
      </c>
      <c r="B1287" s="69" t="s">
        <v>1016</v>
      </c>
      <c r="C1287" s="69" t="s">
        <v>4664</v>
      </c>
      <c r="D1287" s="96" t="s">
        <v>1017</v>
      </c>
      <c r="E1287" s="69">
        <v>4</v>
      </c>
      <c r="F1287" s="122">
        <v>61.93</v>
      </c>
      <c r="G1287" s="122">
        <v>71.25</v>
      </c>
      <c r="H1287" s="208">
        <v>285</v>
      </c>
      <c r="I1287" s="215"/>
      <c r="J1287" s="215"/>
      <c r="K1287" s="215">
        <v>285</v>
      </c>
      <c r="L1287" s="216">
        <v>247.72</v>
      </c>
    </row>
    <row r="1288" spans="1:12" hidden="1">
      <c r="A1288" s="209">
        <v>46233</v>
      </c>
      <c r="B1288" s="69" t="s">
        <v>1009</v>
      </c>
      <c r="C1288" s="69" t="s">
        <v>4665</v>
      </c>
      <c r="D1288" s="96" t="s">
        <v>1010</v>
      </c>
      <c r="E1288" s="69">
        <v>1</v>
      </c>
      <c r="F1288" s="122">
        <v>10.64</v>
      </c>
      <c r="G1288" s="122">
        <v>12.25</v>
      </c>
      <c r="H1288" s="208">
        <v>12.25</v>
      </c>
      <c r="I1288" s="215"/>
      <c r="J1288" s="215"/>
      <c r="K1288" s="215">
        <v>12.25</v>
      </c>
      <c r="L1288" s="216">
        <v>10.64</v>
      </c>
    </row>
    <row r="1289" spans="1:12" hidden="1">
      <c r="A1289" s="209">
        <v>46233</v>
      </c>
      <c r="B1289" s="69" t="s">
        <v>985</v>
      </c>
      <c r="C1289" s="69" t="s">
        <v>4665</v>
      </c>
      <c r="D1289" s="96" t="s">
        <v>986</v>
      </c>
      <c r="E1289" s="69">
        <v>1</v>
      </c>
      <c r="F1289" s="122">
        <v>13.32</v>
      </c>
      <c r="G1289" s="122">
        <v>15.5</v>
      </c>
      <c r="H1289" s="208">
        <v>15.5</v>
      </c>
      <c r="I1289" s="215"/>
      <c r="J1289" s="215"/>
      <c r="K1289" s="215">
        <v>15.5</v>
      </c>
      <c r="L1289" s="216">
        <v>13.32</v>
      </c>
    </row>
    <row r="1290" spans="1:12" hidden="1">
      <c r="A1290" s="209">
        <v>46233</v>
      </c>
      <c r="B1290" s="69" t="s">
        <v>677</v>
      </c>
      <c r="C1290" s="69" t="s">
        <v>4666</v>
      </c>
      <c r="D1290" s="96" t="s">
        <v>678</v>
      </c>
      <c r="E1290" s="69">
        <v>1</v>
      </c>
      <c r="F1290" s="122">
        <v>49.1</v>
      </c>
      <c r="G1290" s="122">
        <v>56.5</v>
      </c>
      <c r="H1290" s="208">
        <v>56.5</v>
      </c>
      <c r="I1290" s="215"/>
      <c r="J1290" s="215"/>
      <c r="K1290" s="215">
        <v>56.5</v>
      </c>
      <c r="L1290" s="216">
        <v>49.1</v>
      </c>
    </row>
    <row r="1291" spans="1:12" hidden="1">
      <c r="A1291" s="209">
        <v>46233</v>
      </c>
      <c r="B1291" s="69" t="s">
        <v>558</v>
      </c>
      <c r="C1291" s="69" t="s">
        <v>4666</v>
      </c>
      <c r="D1291" s="96" t="s">
        <v>559</v>
      </c>
      <c r="E1291" s="69">
        <v>1</v>
      </c>
      <c r="F1291" s="122">
        <v>91.4</v>
      </c>
      <c r="G1291" s="122">
        <v>105.25</v>
      </c>
      <c r="H1291" s="208">
        <v>105.25</v>
      </c>
      <c r="I1291" s="215"/>
      <c r="J1291" s="215"/>
      <c r="K1291" s="215">
        <v>105.25</v>
      </c>
      <c r="L1291" s="216">
        <v>91.4</v>
      </c>
    </row>
    <row r="1292" spans="1:12" hidden="1">
      <c r="A1292" s="209">
        <v>46233</v>
      </c>
      <c r="B1292" s="69" t="s">
        <v>3894</v>
      </c>
      <c r="C1292" s="69" t="s">
        <v>4666</v>
      </c>
      <c r="D1292" s="96" t="s">
        <v>4400</v>
      </c>
      <c r="E1292" s="69">
        <v>1</v>
      </c>
      <c r="F1292" s="122">
        <v>5.61</v>
      </c>
      <c r="G1292" s="122">
        <v>6.5</v>
      </c>
      <c r="H1292" s="208">
        <v>6.5</v>
      </c>
      <c r="I1292" s="215"/>
      <c r="J1292" s="215"/>
      <c r="K1292" s="215">
        <v>6.5</v>
      </c>
      <c r="L1292" s="216">
        <v>5.61</v>
      </c>
    </row>
    <row r="1293" spans="1:12" hidden="1">
      <c r="A1293" s="209">
        <v>46233</v>
      </c>
      <c r="B1293" s="69" t="s">
        <v>3853</v>
      </c>
      <c r="C1293" s="69" t="s">
        <v>4667</v>
      </c>
      <c r="D1293" s="96" t="s">
        <v>4039</v>
      </c>
      <c r="E1293" s="69">
        <v>2</v>
      </c>
      <c r="F1293" s="122">
        <v>32</v>
      </c>
      <c r="G1293" s="122">
        <v>37</v>
      </c>
      <c r="H1293" s="208">
        <v>74</v>
      </c>
      <c r="I1293" s="215"/>
      <c r="J1293" s="215"/>
      <c r="K1293" s="215">
        <v>74</v>
      </c>
      <c r="L1293" s="216">
        <v>64</v>
      </c>
    </row>
    <row r="1294" spans="1:12" hidden="1">
      <c r="A1294" s="209">
        <v>46233</v>
      </c>
      <c r="B1294" s="69" t="s">
        <v>1437</v>
      </c>
      <c r="C1294" s="69" t="s">
        <v>4668</v>
      </c>
      <c r="D1294" s="96" t="s">
        <v>1438</v>
      </c>
      <c r="E1294" s="69">
        <v>1</v>
      </c>
      <c r="F1294" s="122">
        <v>51.5</v>
      </c>
      <c r="G1294" s="122">
        <v>59.25</v>
      </c>
      <c r="H1294" s="208">
        <v>59.25</v>
      </c>
      <c r="I1294" s="215"/>
      <c r="J1294" s="215"/>
      <c r="K1294" s="215">
        <v>59.25</v>
      </c>
      <c r="L1294" s="216">
        <v>51.5</v>
      </c>
    </row>
    <row r="1295" spans="1:12" hidden="1">
      <c r="A1295" s="209">
        <v>46233</v>
      </c>
      <c r="B1295" s="69" t="s">
        <v>1582</v>
      </c>
      <c r="C1295" s="69" t="s">
        <v>4669</v>
      </c>
      <c r="D1295" s="96" t="s">
        <v>1583</v>
      </c>
      <c r="E1295" s="69">
        <v>12</v>
      </c>
      <c r="F1295" s="122">
        <v>6.12</v>
      </c>
      <c r="G1295" s="122">
        <v>7.25</v>
      </c>
      <c r="H1295" s="208">
        <v>87</v>
      </c>
      <c r="I1295" s="215"/>
      <c r="J1295" s="215"/>
      <c r="K1295" s="215">
        <v>87</v>
      </c>
      <c r="L1295" s="216">
        <v>73.44</v>
      </c>
    </row>
    <row r="1296" spans="1:12" hidden="1">
      <c r="A1296" s="209">
        <v>46233</v>
      </c>
      <c r="B1296" s="69" t="s">
        <v>1580</v>
      </c>
      <c r="C1296" s="69" t="s">
        <v>4669</v>
      </c>
      <c r="D1296" s="96" t="s">
        <v>1581</v>
      </c>
      <c r="E1296" s="69">
        <v>12</v>
      </c>
      <c r="F1296" s="122">
        <v>6.02</v>
      </c>
      <c r="G1296" s="122">
        <v>7.25</v>
      </c>
      <c r="H1296" s="208">
        <v>87</v>
      </c>
      <c r="I1296" s="215"/>
      <c r="J1296" s="215"/>
      <c r="K1296" s="215">
        <v>87</v>
      </c>
      <c r="L1296" s="216">
        <v>72.239999999999995</v>
      </c>
    </row>
    <row r="1297" spans="1:12" hidden="1">
      <c r="A1297" s="209">
        <v>46233</v>
      </c>
      <c r="B1297" s="69" t="s">
        <v>1675</v>
      </c>
      <c r="C1297" s="69" t="s">
        <v>4669</v>
      </c>
      <c r="D1297" s="96" t="s">
        <v>1676</v>
      </c>
      <c r="E1297" s="69">
        <v>1</v>
      </c>
      <c r="F1297" s="122">
        <v>149</v>
      </c>
      <c r="G1297" s="122">
        <v>171.5</v>
      </c>
      <c r="H1297" s="208">
        <v>171.5</v>
      </c>
      <c r="I1297" s="215"/>
      <c r="J1297" s="215"/>
      <c r="K1297" s="215">
        <v>171.5</v>
      </c>
      <c r="L1297" s="216">
        <v>149</v>
      </c>
    </row>
    <row r="1298" spans="1:12" hidden="1">
      <c r="A1298" s="209">
        <v>46233</v>
      </c>
      <c r="B1298" s="69" t="s">
        <v>1403</v>
      </c>
      <c r="C1298" s="69" t="s">
        <v>4670</v>
      </c>
      <c r="D1298" s="96" t="s">
        <v>1404</v>
      </c>
      <c r="E1298" s="69">
        <v>2</v>
      </c>
      <c r="F1298" s="122">
        <v>61.5</v>
      </c>
      <c r="G1298" s="122">
        <v>66.5</v>
      </c>
      <c r="H1298" s="208">
        <v>133</v>
      </c>
      <c r="I1298" s="215"/>
      <c r="J1298" s="215"/>
      <c r="K1298" s="215">
        <v>133</v>
      </c>
      <c r="L1298" s="216">
        <v>123</v>
      </c>
    </row>
    <row r="1299" spans="1:12" hidden="1">
      <c r="A1299" s="209">
        <v>46233</v>
      </c>
      <c r="B1299" s="69" t="s">
        <v>1291</v>
      </c>
      <c r="C1299" s="69" t="s">
        <v>4670</v>
      </c>
      <c r="D1299" s="96" t="s">
        <v>1292</v>
      </c>
      <c r="E1299" s="69">
        <v>3</v>
      </c>
      <c r="F1299" s="122">
        <v>15.91</v>
      </c>
      <c r="G1299" s="122">
        <v>18.5</v>
      </c>
      <c r="H1299" s="208">
        <v>55.5</v>
      </c>
      <c r="I1299" s="215"/>
      <c r="J1299" s="215"/>
      <c r="K1299" s="215">
        <v>55.5</v>
      </c>
      <c r="L1299" s="216">
        <v>47.730000000000004</v>
      </c>
    </row>
    <row r="1300" spans="1:12" hidden="1">
      <c r="A1300" s="209">
        <v>46233</v>
      </c>
      <c r="B1300" s="69" t="s">
        <v>1529</v>
      </c>
      <c r="C1300" s="69" t="s">
        <v>4670</v>
      </c>
      <c r="D1300" s="96" t="s">
        <v>1530</v>
      </c>
      <c r="E1300" s="69">
        <v>1</v>
      </c>
      <c r="F1300" s="122">
        <v>31.19</v>
      </c>
      <c r="G1300" s="122">
        <v>36</v>
      </c>
      <c r="H1300" s="208">
        <v>36</v>
      </c>
      <c r="I1300" s="215"/>
      <c r="J1300" s="215"/>
      <c r="K1300" s="215">
        <v>36</v>
      </c>
      <c r="L1300" s="216">
        <v>31.19</v>
      </c>
    </row>
    <row r="1301" spans="1:12" hidden="1">
      <c r="A1301" s="209">
        <v>46233</v>
      </c>
      <c r="B1301" s="69" t="s">
        <v>1523</v>
      </c>
      <c r="C1301" s="69" t="s">
        <v>4670</v>
      </c>
      <c r="D1301" s="96" t="s">
        <v>1524</v>
      </c>
      <c r="E1301" s="69">
        <v>1</v>
      </c>
      <c r="F1301" s="122">
        <v>90.24</v>
      </c>
      <c r="G1301" s="122">
        <v>103.75</v>
      </c>
      <c r="H1301" s="208">
        <v>103.75</v>
      </c>
      <c r="I1301" s="215"/>
      <c r="J1301" s="215"/>
      <c r="K1301" s="215">
        <v>103.75</v>
      </c>
      <c r="L1301" s="216">
        <v>90.24</v>
      </c>
    </row>
    <row r="1302" spans="1:12" hidden="1">
      <c r="A1302" s="209">
        <v>46233</v>
      </c>
      <c r="B1302" s="69" t="s">
        <v>2455</v>
      </c>
      <c r="C1302" s="69" t="s">
        <v>4671</v>
      </c>
      <c r="D1302" s="96" t="s">
        <v>2456</v>
      </c>
      <c r="E1302" s="69">
        <v>1</v>
      </c>
      <c r="F1302" s="122">
        <v>155.65</v>
      </c>
      <c r="G1302" s="122">
        <v>179</v>
      </c>
      <c r="H1302" s="208">
        <v>179</v>
      </c>
      <c r="I1302" s="215"/>
      <c r="J1302" s="215"/>
      <c r="K1302" s="215">
        <v>179</v>
      </c>
      <c r="L1302" s="216">
        <v>155.65</v>
      </c>
    </row>
    <row r="1303" spans="1:12" hidden="1">
      <c r="A1303" s="209">
        <v>46233</v>
      </c>
      <c r="B1303" s="69" t="s">
        <v>2183</v>
      </c>
      <c r="C1303" s="69" t="s">
        <v>4671</v>
      </c>
      <c r="D1303" s="96" t="s">
        <v>2184</v>
      </c>
      <c r="E1303" s="69">
        <v>1</v>
      </c>
      <c r="F1303" s="122">
        <v>20.57</v>
      </c>
      <c r="G1303" s="122">
        <v>23.75</v>
      </c>
      <c r="H1303" s="208">
        <v>23.75</v>
      </c>
      <c r="I1303" s="215"/>
      <c r="J1303" s="215"/>
      <c r="K1303" s="215">
        <v>23.75</v>
      </c>
      <c r="L1303" s="216">
        <v>20.57</v>
      </c>
    </row>
    <row r="1304" spans="1:12" hidden="1">
      <c r="A1304" s="209">
        <v>46233</v>
      </c>
      <c r="B1304" s="69" t="s">
        <v>2455</v>
      </c>
      <c r="C1304" s="69" t="s">
        <v>4672</v>
      </c>
      <c r="D1304" s="96" t="s">
        <v>2456</v>
      </c>
      <c r="E1304" s="69">
        <v>1</v>
      </c>
      <c r="F1304" s="122">
        <v>155.65</v>
      </c>
      <c r="G1304" s="122">
        <v>179</v>
      </c>
      <c r="H1304" s="208">
        <v>179</v>
      </c>
      <c r="I1304" s="215"/>
      <c r="J1304" s="215"/>
      <c r="K1304" s="215">
        <v>179</v>
      </c>
      <c r="L1304" s="216">
        <v>155.65</v>
      </c>
    </row>
    <row r="1305" spans="1:12" hidden="1">
      <c r="A1305" s="209">
        <v>46233</v>
      </c>
      <c r="B1305" s="69" t="s">
        <v>2183</v>
      </c>
      <c r="C1305" s="69" t="s">
        <v>4673</v>
      </c>
      <c r="D1305" s="96" t="s">
        <v>2184</v>
      </c>
      <c r="E1305" s="69">
        <v>1</v>
      </c>
      <c r="F1305" s="122">
        <v>20.57</v>
      </c>
      <c r="G1305" s="122">
        <v>23.75</v>
      </c>
      <c r="H1305" s="208">
        <v>23.75</v>
      </c>
      <c r="I1305" s="215"/>
      <c r="J1305" s="215"/>
      <c r="K1305" s="215">
        <v>23.75</v>
      </c>
      <c r="L1305" s="216">
        <v>20.57</v>
      </c>
    </row>
    <row r="1306" spans="1:12" hidden="1">
      <c r="A1306" s="209">
        <v>46233</v>
      </c>
      <c r="B1306" s="69" t="s">
        <v>2469</v>
      </c>
      <c r="C1306" s="69" t="s">
        <v>4673</v>
      </c>
      <c r="D1306" s="96" t="s">
        <v>2470</v>
      </c>
      <c r="E1306" s="69">
        <v>1</v>
      </c>
      <c r="F1306" s="122">
        <v>160.51</v>
      </c>
      <c r="G1306" s="122">
        <v>184.75</v>
      </c>
      <c r="H1306" s="208">
        <v>184.75</v>
      </c>
      <c r="I1306" s="215"/>
      <c r="J1306" s="215"/>
      <c r="K1306" s="215">
        <v>184.75</v>
      </c>
      <c r="L1306" s="216">
        <v>160.51</v>
      </c>
    </row>
    <row r="1307" spans="1:12" hidden="1">
      <c r="A1307" s="209">
        <v>46233</v>
      </c>
      <c r="B1307" s="69" t="s">
        <v>2623</v>
      </c>
      <c r="C1307" s="69" t="s">
        <v>4673</v>
      </c>
      <c r="D1307" s="96" t="s">
        <v>2624</v>
      </c>
      <c r="E1307" s="69">
        <v>1</v>
      </c>
      <c r="F1307" s="122">
        <v>265</v>
      </c>
      <c r="G1307" s="122">
        <v>305</v>
      </c>
      <c r="H1307" s="208">
        <v>305</v>
      </c>
      <c r="I1307" s="215"/>
      <c r="J1307" s="215"/>
      <c r="K1307" s="215">
        <v>305</v>
      </c>
      <c r="L1307" s="216">
        <v>265</v>
      </c>
    </row>
    <row r="1308" spans="1:12" hidden="1">
      <c r="A1308" s="209">
        <v>46233</v>
      </c>
      <c r="B1308" s="69" t="s">
        <v>3745</v>
      </c>
      <c r="C1308" s="69" t="s">
        <v>4674</v>
      </c>
      <c r="D1308" s="96" t="s">
        <v>3746</v>
      </c>
      <c r="E1308" s="69">
        <v>1</v>
      </c>
      <c r="F1308" s="122">
        <v>14.5</v>
      </c>
      <c r="G1308" s="122">
        <v>16.75</v>
      </c>
      <c r="H1308" s="208">
        <v>16.75</v>
      </c>
      <c r="I1308" s="215"/>
      <c r="J1308" s="215"/>
      <c r="K1308" s="215">
        <v>16.75</v>
      </c>
      <c r="L1308" s="216">
        <v>14.5</v>
      </c>
    </row>
    <row r="1309" spans="1:12" hidden="1">
      <c r="A1309" s="209">
        <v>46233</v>
      </c>
      <c r="B1309" s="69" t="s">
        <v>552</v>
      </c>
      <c r="C1309" s="69" t="s">
        <v>4675</v>
      </c>
      <c r="D1309" s="96" t="s">
        <v>553</v>
      </c>
      <c r="E1309" s="69">
        <v>1</v>
      </c>
      <c r="F1309" s="122">
        <v>7.41</v>
      </c>
      <c r="G1309" s="122">
        <v>8.75</v>
      </c>
      <c r="H1309" s="208">
        <v>8.75</v>
      </c>
      <c r="I1309" s="215"/>
      <c r="J1309" s="215"/>
      <c r="K1309" s="215">
        <v>8.75</v>
      </c>
      <c r="L1309" s="216">
        <v>7.41</v>
      </c>
    </row>
    <row r="1310" spans="1:12" hidden="1">
      <c r="A1310" s="209">
        <v>46233</v>
      </c>
      <c r="B1310" s="69" t="s">
        <v>552</v>
      </c>
      <c r="C1310" s="69" t="s">
        <v>4676</v>
      </c>
      <c r="D1310" s="96" t="s">
        <v>553</v>
      </c>
      <c r="E1310" s="69">
        <v>3</v>
      </c>
      <c r="F1310" s="122">
        <v>7.41</v>
      </c>
      <c r="G1310" s="122">
        <v>8.75</v>
      </c>
      <c r="H1310" s="208">
        <v>26.25</v>
      </c>
      <c r="I1310" s="215"/>
      <c r="J1310" s="215"/>
      <c r="K1310" s="215">
        <v>26.25</v>
      </c>
      <c r="L1310" s="216">
        <v>22.23</v>
      </c>
    </row>
    <row r="1311" spans="1:12" hidden="1">
      <c r="A1311" s="209">
        <v>46233</v>
      </c>
      <c r="B1311" s="69" t="s">
        <v>3913</v>
      </c>
      <c r="C1311" s="69" t="s">
        <v>4676</v>
      </c>
      <c r="D1311" s="96" t="s">
        <v>4677</v>
      </c>
      <c r="E1311" s="69">
        <v>1</v>
      </c>
      <c r="F1311" s="122">
        <v>56.79</v>
      </c>
      <c r="G1311" s="122">
        <v>65.5</v>
      </c>
      <c r="H1311" s="208">
        <v>65.5</v>
      </c>
      <c r="I1311" s="215"/>
      <c r="J1311" s="215"/>
      <c r="K1311" s="215">
        <v>65.5</v>
      </c>
      <c r="L1311" s="216">
        <v>56.79</v>
      </c>
    </row>
    <row r="1312" spans="1:12" hidden="1">
      <c r="A1312" s="209">
        <v>46233</v>
      </c>
      <c r="B1312" s="69" t="s">
        <v>740</v>
      </c>
      <c r="C1312" s="69" t="s">
        <v>4678</v>
      </c>
      <c r="D1312" s="96" t="s">
        <v>741</v>
      </c>
      <c r="E1312" s="69">
        <v>1</v>
      </c>
      <c r="F1312" s="122">
        <v>23.63</v>
      </c>
      <c r="G1312" s="122">
        <v>27.25</v>
      </c>
      <c r="H1312" s="208">
        <v>27.25</v>
      </c>
      <c r="I1312" s="215"/>
      <c r="J1312" s="215"/>
      <c r="K1312" s="215">
        <v>27.25</v>
      </c>
      <c r="L1312" s="216">
        <v>23.63</v>
      </c>
    </row>
    <row r="1313" spans="1:12" hidden="1">
      <c r="A1313" s="209">
        <v>46233</v>
      </c>
      <c r="B1313" s="69" t="s">
        <v>3749</v>
      </c>
      <c r="C1313" s="69" t="s">
        <v>4678</v>
      </c>
      <c r="D1313" s="96" t="s">
        <v>3750</v>
      </c>
      <c r="E1313" s="69">
        <v>1</v>
      </c>
      <c r="F1313" s="122">
        <v>50.88</v>
      </c>
      <c r="G1313" s="122">
        <v>58.75</v>
      </c>
      <c r="H1313" s="208">
        <v>58.75</v>
      </c>
      <c r="I1313" s="215"/>
      <c r="J1313" s="215"/>
      <c r="K1313" s="215">
        <v>58.75</v>
      </c>
      <c r="L1313" s="216">
        <v>50.88</v>
      </c>
    </row>
    <row r="1314" spans="1:12" hidden="1">
      <c r="A1314" s="209">
        <v>46233</v>
      </c>
      <c r="B1314" s="69" t="s">
        <v>180</v>
      </c>
      <c r="C1314" s="69" t="s">
        <v>4678</v>
      </c>
      <c r="D1314" s="96" t="s">
        <v>181</v>
      </c>
      <c r="E1314" s="69">
        <v>1</v>
      </c>
      <c r="F1314" s="122">
        <v>16.579999999999998</v>
      </c>
      <c r="G1314" s="122">
        <v>19</v>
      </c>
      <c r="H1314" s="208">
        <v>19</v>
      </c>
      <c r="I1314" s="215"/>
      <c r="J1314" s="215"/>
      <c r="K1314" s="215">
        <v>19</v>
      </c>
      <c r="L1314" s="216">
        <v>16.579999999999998</v>
      </c>
    </row>
    <row r="1315" spans="1:12" hidden="1">
      <c r="A1315" s="209">
        <v>46233</v>
      </c>
      <c r="B1315" s="69" t="s">
        <v>552</v>
      </c>
      <c r="C1315" s="69" t="s">
        <v>4679</v>
      </c>
      <c r="D1315" s="96" t="s">
        <v>553</v>
      </c>
      <c r="E1315" s="69">
        <v>1</v>
      </c>
      <c r="F1315" s="122">
        <v>7.41</v>
      </c>
      <c r="G1315" s="122">
        <v>8.75</v>
      </c>
      <c r="H1315" s="208">
        <v>8.75</v>
      </c>
      <c r="I1315" s="215"/>
      <c r="J1315" s="215"/>
      <c r="K1315" s="215">
        <v>8.75</v>
      </c>
      <c r="L1315" s="216">
        <v>7.41</v>
      </c>
    </row>
    <row r="1316" spans="1:12" hidden="1">
      <c r="A1316" s="209">
        <v>46233</v>
      </c>
      <c r="B1316" s="69" t="s">
        <v>3625</v>
      </c>
      <c r="C1316" s="69" t="s">
        <v>4680</v>
      </c>
      <c r="D1316" s="96" t="s">
        <v>3626</v>
      </c>
      <c r="E1316" s="69">
        <v>1</v>
      </c>
      <c r="F1316" s="122">
        <v>759.98</v>
      </c>
      <c r="G1316" s="122">
        <v>874</v>
      </c>
      <c r="H1316" s="208">
        <v>874</v>
      </c>
      <c r="I1316" s="215"/>
      <c r="J1316" s="215"/>
      <c r="K1316" s="215">
        <v>874</v>
      </c>
      <c r="L1316" s="216">
        <v>759.98</v>
      </c>
    </row>
    <row r="1317" spans="1:12" hidden="1">
      <c r="A1317" s="209">
        <v>46233</v>
      </c>
      <c r="B1317" s="69" t="s">
        <v>1604</v>
      </c>
      <c r="C1317" s="69" t="s">
        <v>4680</v>
      </c>
      <c r="D1317" s="96" t="s">
        <v>1605</v>
      </c>
      <c r="E1317" s="69">
        <v>4</v>
      </c>
      <c r="F1317" s="122">
        <v>21.84</v>
      </c>
      <c r="G1317" s="122">
        <v>25.25</v>
      </c>
      <c r="H1317" s="208">
        <v>101</v>
      </c>
      <c r="I1317" s="215"/>
      <c r="J1317" s="215"/>
      <c r="K1317" s="215">
        <v>101</v>
      </c>
      <c r="L1317" s="216">
        <v>87.36</v>
      </c>
    </row>
    <row r="1318" spans="1:12" hidden="1">
      <c r="A1318" s="209">
        <v>46233</v>
      </c>
      <c r="B1318" s="69" t="s">
        <v>1560</v>
      </c>
      <c r="C1318" s="69" t="s">
        <v>4680</v>
      </c>
      <c r="D1318" s="96" t="s">
        <v>1561</v>
      </c>
      <c r="E1318" s="69">
        <v>12</v>
      </c>
      <c r="F1318" s="122">
        <v>6.12</v>
      </c>
      <c r="G1318" s="122">
        <v>7.25</v>
      </c>
      <c r="H1318" s="208">
        <v>87</v>
      </c>
      <c r="I1318" s="215"/>
      <c r="J1318" s="215"/>
      <c r="K1318" s="215">
        <v>87</v>
      </c>
      <c r="L1318" s="216">
        <v>73.44</v>
      </c>
    </row>
    <row r="1319" spans="1:12" hidden="1">
      <c r="A1319" s="209">
        <v>46233</v>
      </c>
      <c r="B1319" s="69" t="s">
        <v>1317</v>
      </c>
      <c r="C1319" s="69" t="s">
        <v>4680</v>
      </c>
      <c r="D1319" s="96" t="s">
        <v>1318</v>
      </c>
      <c r="E1319" s="69">
        <v>1</v>
      </c>
      <c r="F1319" s="122">
        <v>132.80000000000001</v>
      </c>
      <c r="G1319" s="122">
        <v>152.75</v>
      </c>
      <c r="H1319" s="208">
        <v>152.75</v>
      </c>
      <c r="I1319" s="215"/>
      <c r="J1319" s="215"/>
      <c r="K1319" s="215">
        <v>152.75</v>
      </c>
      <c r="L1319" s="216">
        <v>132.80000000000001</v>
      </c>
    </row>
    <row r="1320" spans="1:12" hidden="1">
      <c r="A1320" s="209">
        <v>46233</v>
      </c>
      <c r="B1320" s="69" t="s">
        <v>454</v>
      </c>
      <c r="C1320" s="69" t="s">
        <v>4680</v>
      </c>
      <c r="D1320" s="96" t="s">
        <v>455</v>
      </c>
      <c r="E1320" s="69">
        <v>1</v>
      </c>
      <c r="F1320" s="122">
        <v>84.8</v>
      </c>
      <c r="G1320" s="122">
        <v>94</v>
      </c>
      <c r="H1320" s="208">
        <v>94</v>
      </c>
      <c r="I1320" s="215"/>
      <c r="J1320" s="215"/>
      <c r="K1320" s="215">
        <v>94</v>
      </c>
      <c r="L1320" s="216">
        <v>84.8</v>
      </c>
    </row>
    <row r="1321" spans="1:12" hidden="1">
      <c r="A1321" s="209">
        <v>46233</v>
      </c>
      <c r="B1321" s="69" t="s">
        <v>3892</v>
      </c>
      <c r="C1321" s="69" t="s">
        <v>4680</v>
      </c>
      <c r="D1321" s="96" t="s">
        <v>4384</v>
      </c>
      <c r="E1321" s="69">
        <v>50</v>
      </c>
      <c r="F1321" s="122">
        <v>3.81</v>
      </c>
      <c r="G1321" s="122">
        <v>4.75</v>
      </c>
      <c r="H1321" s="208">
        <v>237.5</v>
      </c>
      <c r="I1321" s="215"/>
      <c r="J1321" s="215"/>
      <c r="K1321" s="215">
        <v>237.5</v>
      </c>
      <c r="L1321" s="216">
        <v>190.5</v>
      </c>
    </row>
    <row r="1322" spans="1:12" hidden="1">
      <c r="A1322" s="209">
        <v>46233</v>
      </c>
      <c r="B1322" s="69" t="s">
        <v>3896</v>
      </c>
      <c r="C1322" s="69" t="s">
        <v>4680</v>
      </c>
      <c r="D1322" s="96" t="s">
        <v>4438</v>
      </c>
      <c r="E1322" s="69">
        <v>50</v>
      </c>
      <c r="F1322" s="122">
        <v>2.76</v>
      </c>
      <c r="G1322" s="122">
        <v>3.5</v>
      </c>
      <c r="H1322" s="208">
        <v>175</v>
      </c>
      <c r="I1322" s="215"/>
      <c r="J1322" s="215"/>
      <c r="K1322" s="215">
        <v>175</v>
      </c>
      <c r="L1322" s="216">
        <v>138</v>
      </c>
    </row>
    <row r="1323" spans="1:12" hidden="1">
      <c r="A1323" s="209">
        <v>46233</v>
      </c>
      <c r="B1323" s="69" t="s">
        <v>50</v>
      </c>
      <c r="C1323" s="69" t="s">
        <v>4681</v>
      </c>
      <c r="D1323" s="96" t="s">
        <v>51</v>
      </c>
      <c r="E1323" s="69">
        <v>1</v>
      </c>
      <c r="F1323" s="122">
        <v>19.100000000000001</v>
      </c>
      <c r="G1323" s="122">
        <v>22</v>
      </c>
      <c r="H1323" s="208">
        <v>22</v>
      </c>
      <c r="I1323" s="215"/>
      <c r="J1323" s="215"/>
      <c r="K1323" s="215">
        <v>22</v>
      </c>
      <c r="L1323" s="216">
        <v>19.100000000000001</v>
      </c>
    </row>
    <row r="1324" spans="1:12" hidden="1">
      <c r="A1324" s="209">
        <v>46233</v>
      </c>
      <c r="B1324" s="69" t="s">
        <v>2205</v>
      </c>
      <c r="C1324" s="69" t="s">
        <v>4682</v>
      </c>
      <c r="D1324" s="96" t="s">
        <v>2206</v>
      </c>
      <c r="E1324" s="69">
        <v>3</v>
      </c>
      <c r="F1324" s="122">
        <v>302.13</v>
      </c>
      <c r="G1324" s="122">
        <v>362.75</v>
      </c>
      <c r="H1324" s="208">
        <v>1088.25</v>
      </c>
      <c r="I1324" s="215"/>
      <c r="J1324" s="215"/>
      <c r="K1324" s="215">
        <v>1088.25</v>
      </c>
      <c r="L1324" s="216">
        <v>906.39</v>
      </c>
    </row>
    <row r="1325" spans="1:12" hidden="1">
      <c r="A1325" s="209">
        <v>46233</v>
      </c>
      <c r="B1325" s="69" t="s">
        <v>1018</v>
      </c>
      <c r="C1325" s="69" t="s">
        <v>4682</v>
      </c>
      <c r="D1325" s="96" t="s">
        <v>1019</v>
      </c>
      <c r="E1325" s="69">
        <v>1</v>
      </c>
      <c r="F1325" s="122">
        <v>109.57</v>
      </c>
      <c r="G1325" s="122">
        <v>136.5</v>
      </c>
      <c r="H1325" s="208">
        <v>136.5</v>
      </c>
      <c r="I1325" s="215"/>
      <c r="J1325" s="215"/>
      <c r="K1325" s="215">
        <v>136.5</v>
      </c>
      <c r="L1325" s="216">
        <v>109.57</v>
      </c>
    </row>
    <row r="1326" spans="1:12" hidden="1">
      <c r="A1326" s="209">
        <v>46233</v>
      </c>
      <c r="B1326" s="69" t="s">
        <v>3056</v>
      </c>
      <c r="C1326" s="69" t="s">
        <v>4683</v>
      </c>
      <c r="D1326" s="96" t="s">
        <v>3057</v>
      </c>
      <c r="E1326" s="69">
        <v>4</v>
      </c>
      <c r="F1326" s="122">
        <v>69.510000000000005</v>
      </c>
      <c r="G1326" s="122">
        <v>80</v>
      </c>
      <c r="H1326" s="208">
        <v>320</v>
      </c>
      <c r="I1326" s="215"/>
      <c r="J1326" s="215"/>
      <c r="K1326" s="215">
        <v>320</v>
      </c>
      <c r="L1326" s="216">
        <v>278.04000000000002</v>
      </c>
    </row>
    <row r="1327" spans="1:12" hidden="1">
      <c r="A1327" s="209">
        <v>46233</v>
      </c>
      <c r="B1327" s="69" t="s">
        <v>3865</v>
      </c>
      <c r="C1327" s="69" t="s">
        <v>4684</v>
      </c>
      <c r="D1327" s="96" t="s">
        <v>4115</v>
      </c>
      <c r="E1327" s="69">
        <v>1</v>
      </c>
      <c r="F1327" s="122">
        <v>40</v>
      </c>
      <c r="G1327" s="122">
        <v>60</v>
      </c>
      <c r="H1327" s="208">
        <v>60</v>
      </c>
      <c r="I1327" s="215"/>
      <c r="J1327" s="215"/>
      <c r="K1327" s="215">
        <v>60</v>
      </c>
      <c r="L1327" s="216">
        <v>40</v>
      </c>
    </row>
    <row r="1328" spans="1:12" hidden="1">
      <c r="A1328" s="209">
        <v>46233</v>
      </c>
      <c r="B1328" s="69" t="s">
        <v>267</v>
      </c>
      <c r="C1328" s="69" t="s">
        <v>4684</v>
      </c>
      <c r="D1328" s="96" t="s">
        <v>268</v>
      </c>
      <c r="E1328" s="69">
        <v>4</v>
      </c>
      <c r="F1328" s="122">
        <v>60</v>
      </c>
      <c r="G1328" s="122">
        <v>75</v>
      </c>
      <c r="H1328" s="208">
        <v>300</v>
      </c>
      <c r="I1328" s="215"/>
      <c r="J1328" s="215"/>
      <c r="K1328" s="215">
        <v>300</v>
      </c>
      <c r="L1328" s="216">
        <v>240</v>
      </c>
    </row>
    <row r="1329" spans="1:12" hidden="1">
      <c r="A1329" s="209">
        <v>46233</v>
      </c>
      <c r="B1329" s="69" t="s">
        <v>2961</v>
      </c>
      <c r="C1329" s="69" t="s">
        <v>4684</v>
      </c>
      <c r="D1329" s="96" t="s">
        <v>2962</v>
      </c>
      <c r="E1329" s="69">
        <v>2</v>
      </c>
      <c r="F1329" s="122">
        <v>90</v>
      </c>
      <c r="G1329" s="122">
        <v>120</v>
      </c>
      <c r="H1329" s="208">
        <v>240</v>
      </c>
      <c r="I1329" s="215"/>
      <c r="J1329" s="215"/>
      <c r="K1329" s="215">
        <v>240</v>
      </c>
      <c r="L1329" s="216">
        <v>180</v>
      </c>
    </row>
    <row r="1330" spans="1:12" hidden="1">
      <c r="A1330" s="209">
        <v>46233</v>
      </c>
      <c r="B1330" s="69" t="s">
        <v>3914</v>
      </c>
      <c r="C1330" s="69" t="s">
        <v>4684</v>
      </c>
      <c r="D1330" s="96" t="s">
        <v>4685</v>
      </c>
      <c r="E1330" s="69">
        <v>1</v>
      </c>
      <c r="F1330" s="122">
        <v>80</v>
      </c>
      <c r="G1330" s="122">
        <v>100</v>
      </c>
      <c r="H1330" s="208">
        <v>100</v>
      </c>
      <c r="I1330" s="215"/>
      <c r="J1330" s="215"/>
      <c r="K1330" s="215">
        <v>100</v>
      </c>
      <c r="L1330" s="216">
        <v>80</v>
      </c>
    </row>
    <row r="1331" spans="1:12" hidden="1">
      <c r="A1331" s="209">
        <v>46233</v>
      </c>
      <c r="B1331" s="69" t="s">
        <v>3915</v>
      </c>
      <c r="C1331" s="69" t="s">
        <v>4684</v>
      </c>
      <c r="D1331" s="96" t="s">
        <v>4686</v>
      </c>
      <c r="E1331" s="69">
        <v>1</v>
      </c>
      <c r="F1331" s="122">
        <v>250</v>
      </c>
      <c r="G1331" s="122">
        <v>320</v>
      </c>
      <c r="H1331" s="208">
        <v>320</v>
      </c>
      <c r="I1331" s="215"/>
      <c r="J1331" s="215"/>
      <c r="K1331" s="215">
        <v>320</v>
      </c>
      <c r="L1331" s="216">
        <v>250</v>
      </c>
    </row>
    <row r="1332" spans="1:12" ht="15.75" hidden="1" thickBot="1">
      <c r="A1332" s="386" t="s">
        <v>12</v>
      </c>
      <c r="B1332" s="387"/>
      <c r="C1332" s="387"/>
      <c r="D1332" s="388"/>
      <c r="E1332" s="314">
        <f t="shared" ref="E1332:L1332" si="0">SUM(E4:E1331)</f>
        <v>3347</v>
      </c>
      <c r="F1332" s="212">
        <f t="shared" si="0"/>
        <v>100229.73000000013</v>
      </c>
      <c r="G1332" s="212">
        <f t="shared" si="0"/>
        <v>113832.70000000003</v>
      </c>
      <c r="H1332" s="212">
        <f t="shared" si="0"/>
        <v>146278.65000000002</v>
      </c>
      <c r="I1332" s="212">
        <f t="shared" si="0"/>
        <v>24000</v>
      </c>
      <c r="J1332" s="212">
        <f t="shared" si="0"/>
        <v>280</v>
      </c>
      <c r="K1332" s="212">
        <f t="shared" si="0"/>
        <v>169998.65000000002</v>
      </c>
      <c r="L1332" s="212">
        <f t="shared" si="0"/>
        <v>146423.08000000022</v>
      </c>
    </row>
  </sheetData>
  <autoFilter ref="A3:L1332" xr:uid="{62D2AB1F-79BE-41D4-B598-CE1C715FCADA}">
    <filterColumn colId="1">
      <filters>
        <filter val="888123456782032"/>
      </filters>
    </filterColumn>
    <filterColumn colId="3">
      <filters>
        <filter val="LUISITA SUGAR WHITE 1/2"/>
        <filter val="LUISITA SUGAR WHITE 1/4"/>
        <filter val="VICTORIA WHITE SUGAR 1/4"/>
      </filters>
    </filterColumn>
  </autoFilter>
  <mergeCells count="3">
    <mergeCell ref="A1332:D1332"/>
    <mergeCell ref="A1:L1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4642-28F3-4BCD-A3CB-04070708321C}">
  <sheetPr>
    <tabColor rgb="FF92D050"/>
  </sheetPr>
  <dimension ref="A1:J196"/>
  <sheetViews>
    <sheetView topLeftCell="A174" zoomScale="80" workbookViewId="0">
      <selection activeCell="E188" sqref="E188"/>
    </sheetView>
  </sheetViews>
  <sheetFormatPr defaultRowHeight="15"/>
  <cols>
    <col min="1" max="1" width="10.7109375" customWidth="1"/>
    <col min="2" max="2" width="39.85546875" customWidth="1"/>
    <col min="3" max="3" width="17.140625" customWidth="1"/>
    <col min="4" max="4" width="10.7109375" style="4" hidden="1" customWidth="1"/>
    <col min="5" max="5" width="53.5703125" style="170" customWidth="1"/>
    <col min="6" max="6" width="10.7109375" style="4" customWidth="1"/>
    <col min="7" max="8" width="10.7109375" customWidth="1"/>
    <col min="9" max="9" width="11.5703125" customWidth="1"/>
    <col min="10" max="10" width="18.28515625" style="170" customWidth="1"/>
  </cols>
  <sheetData>
    <row r="1" spans="1:9">
      <c r="A1" s="391" t="s">
        <v>3773</v>
      </c>
      <c r="B1" s="391"/>
      <c r="C1" s="391"/>
      <c r="D1" s="391"/>
      <c r="E1" s="391"/>
      <c r="F1" s="391"/>
      <c r="G1" s="391"/>
      <c r="H1" s="391"/>
      <c r="I1" s="391"/>
    </row>
    <row r="2" spans="1:9">
      <c r="A2" s="392" t="str">
        <f>PRINTING!B2</f>
        <v>AS OF JULY 2026</v>
      </c>
      <c r="B2" s="392"/>
      <c r="C2" s="392"/>
      <c r="D2" s="392"/>
      <c r="E2" s="392"/>
      <c r="F2" s="392"/>
      <c r="G2" s="392"/>
      <c r="H2" s="392"/>
      <c r="I2" s="392"/>
    </row>
    <row r="3" spans="1:9">
      <c r="A3" s="250" t="s">
        <v>3695</v>
      </c>
      <c r="B3" s="251" t="s">
        <v>13</v>
      </c>
      <c r="C3" s="252" t="s">
        <v>3</v>
      </c>
      <c r="D3" s="251" t="s">
        <v>3774</v>
      </c>
      <c r="E3" s="251" t="s">
        <v>3719</v>
      </c>
      <c r="F3" s="253" t="s">
        <v>3775</v>
      </c>
      <c r="G3" s="254" t="s">
        <v>3712</v>
      </c>
      <c r="H3" s="254" t="s">
        <v>3776</v>
      </c>
      <c r="I3" s="254" t="s">
        <v>3777</v>
      </c>
    </row>
    <row r="4" spans="1:9" ht="15.75" customHeight="1">
      <c r="A4" s="255">
        <v>46209</v>
      </c>
      <c r="B4" s="256" t="s">
        <v>3702</v>
      </c>
      <c r="C4" s="219" t="s">
        <v>2044</v>
      </c>
      <c r="D4" s="218"/>
      <c r="E4" s="257" t="s">
        <v>2045</v>
      </c>
      <c r="F4" s="258">
        <v>30</v>
      </c>
      <c r="G4" s="259" t="s">
        <v>3700</v>
      </c>
      <c r="H4" s="260">
        <v>30.21</v>
      </c>
      <c r="I4" s="260">
        <v>906.3</v>
      </c>
    </row>
    <row r="5" spans="1:9" ht="15.75" customHeight="1">
      <c r="A5" s="255">
        <v>46209</v>
      </c>
      <c r="B5" s="256" t="s">
        <v>3702</v>
      </c>
      <c r="C5" s="219" t="s">
        <v>2032</v>
      </c>
      <c r="D5" s="218"/>
      <c r="E5" s="261" t="s">
        <v>2033</v>
      </c>
      <c r="F5" s="262">
        <v>30</v>
      </c>
      <c r="G5" s="259" t="s">
        <v>3700</v>
      </c>
      <c r="H5" s="260">
        <v>25.37</v>
      </c>
      <c r="I5" s="260">
        <v>761.1</v>
      </c>
    </row>
    <row r="6" spans="1:9" ht="15.75" customHeight="1">
      <c r="A6" s="255">
        <v>46209</v>
      </c>
      <c r="B6" s="256" t="s">
        <v>3702</v>
      </c>
      <c r="C6" s="219" t="s">
        <v>2024</v>
      </c>
      <c r="D6" s="218"/>
      <c r="E6" s="261" t="s">
        <v>2025</v>
      </c>
      <c r="F6" s="262">
        <v>30</v>
      </c>
      <c r="G6" s="259" t="s">
        <v>3700</v>
      </c>
      <c r="H6" s="260">
        <v>27.8</v>
      </c>
      <c r="I6" s="260">
        <v>834</v>
      </c>
    </row>
    <row r="7" spans="1:9" ht="15.75" customHeight="1">
      <c r="A7" s="255">
        <v>46209</v>
      </c>
      <c r="B7" s="256" t="s">
        <v>3702</v>
      </c>
      <c r="C7" s="219" t="s">
        <v>2050</v>
      </c>
      <c r="D7" s="218"/>
      <c r="E7" s="261" t="s">
        <v>2051</v>
      </c>
      <c r="F7" s="262">
        <v>30</v>
      </c>
      <c r="G7" s="259" t="s">
        <v>3700</v>
      </c>
      <c r="H7" s="260">
        <v>22.96</v>
      </c>
      <c r="I7" s="260">
        <v>688.8</v>
      </c>
    </row>
    <row r="8" spans="1:9">
      <c r="A8" s="255">
        <v>46209</v>
      </c>
      <c r="B8" s="256" t="s">
        <v>3702</v>
      </c>
      <c r="C8" s="219" t="s">
        <v>3853</v>
      </c>
      <c r="D8" s="218"/>
      <c r="E8" s="261" t="s">
        <v>4039</v>
      </c>
      <c r="F8" s="262">
        <v>24</v>
      </c>
      <c r="G8" s="259" t="s">
        <v>3699</v>
      </c>
      <c r="H8" s="260">
        <v>32</v>
      </c>
      <c r="I8" s="260">
        <v>768</v>
      </c>
    </row>
    <row r="9" spans="1:9">
      <c r="A9" s="263">
        <v>46209</v>
      </c>
      <c r="B9" s="264" t="s">
        <v>3704</v>
      </c>
      <c r="C9" s="219" t="s">
        <v>1521</v>
      </c>
      <c r="D9" s="218"/>
      <c r="E9" s="261" t="s">
        <v>1522</v>
      </c>
      <c r="F9" s="262">
        <v>12</v>
      </c>
      <c r="G9" s="259" t="s">
        <v>3699</v>
      </c>
      <c r="H9" s="265">
        <v>98.1</v>
      </c>
      <c r="I9" s="260">
        <v>1177.2</v>
      </c>
    </row>
    <row r="10" spans="1:9">
      <c r="A10" s="263">
        <v>46209</v>
      </c>
      <c r="B10" s="264" t="s">
        <v>3704</v>
      </c>
      <c r="C10" s="219" t="s">
        <v>3222</v>
      </c>
      <c r="D10" s="218"/>
      <c r="E10" s="266" t="s">
        <v>3223</v>
      </c>
      <c r="F10" s="262">
        <v>24</v>
      </c>
      <c r="G10" s="259" t="s">
        <v>3699</v>
      </c>
      <c r="H10" s="265">
        <v>22.73</v>
      </c>
      <c r="I10" s="260">
        <v>545.52</v>
      </c>
    </row>
    <row r="11" spans="1:9">
      <c r="A11" s="263">
        <v>46209</v>
      </c>
      <c r="B11" s="264" t="s">
        <v>3704</v>
      </c>
      <c r="C11" s="219" t="s">
        <v>406</v>
      </c>
      <c r="D11" s="218"/>
      <c r="E11" s="266" t="s">
        <v>407</v>
      </c>
      <c r="F11" s="262">
        <v>48</v>
      </c>
      <c r="G11" s="259" t="s">
        <v>3699</v>
      </c>
      <c r="H11" s="267">
        <v>20.68</v>
      </c>
      <c r="I11" s="260">
        <v>992.64</v>
      </c>
    </row>
    <row r="12" spans="1:9">
      <c r="A12" s="263">
        <v>46209</v>
      </c>
      <c r="B12" s="264" t="s">
        <v>3704</v>
      </c>
      <c r="C12" s="219" t="s">
        <v>1497</v>
      </c>
      <c r="D12" s="218"/>
      <c r="E12" s="266" t="s">
        <v>1498</v>
      </c>
      <c r="F12" s="262">
        <v>24</v>
      </c>
      <c r="G12" s="259" t="s">
        <v>3699</v>
      </c>
      <c r="H12" s="267">
        <v>68.571250000000006</v>
      </c>
      <c r="I12" s="260">
        <v>1645.71</v>
      </c>
    </row>
    <row r="13" spans="1:9">
      <c r="A13" s="263">
        <v>46211</v>
      </c>
      <c r="B13" s="264" t="s">
        <v>4687</v>
      </c>
      <c r="C13" s="219" t="s">
        <v>1679</v>
      </c>
      <c r="D13" s="218"/>
      <c r="E13" s="266" t="s">
        <v>1680</v>
      </c>
      <c r="F13" s="262">
        <v>2</v>
      </c>
      <c r="G13" s="259" t="s">
        <v>3699</v>
      </c>
      <c r="H13" s="268">
        <v>1670</v>
      </c>
      <c r="I13" s="260">
        <v>3340</v>
      </c>
    </row>
    <row r="14" spans="1:9">
      <c r="A14" s="263">
        <v>46211</v>
      </c>
      <c r="B14" s="264" t="s">
        <v>4687</v>
      </c>
      <c r="C14" s="219" t="s">
        <v>1673</v>
      </c>
      <c r="D14" s="218"/>
      <c r="E14" s="266" t="s">
        <v>1674</v>
      </c>
      <c r="F14" s="262">
        <v>4</v>
      </c>
      <c r="G14" s="259" t="s">
        <v>3699</v>
      </c>
      <c r="H14" s="267">
        <v>250.75</v>
      </c>
      <c r="I14" s="260">
        <v>1003</v>
      </c>
    </row>
    <row r="15" spans="1:9">
      <c r="A15" s="263">
        <v>46211</v>
      </c>
      <c r="B15" s="264" t="s">
        <v>4687</v>
      </c>
      <c r="C15" s="219" t="s">
        <v>1675</v>
      </c>
      <c r="D15" s="218"/>
      <c r="E15" s="266" t="s">
        <v>1676</v>
      </c>
      <c r="F15" s="262">
        <v>12</v>
      </c>
      <c r="G15" s="259" t="s">
        <v>3699</v>
      </c>
      <c r="H15" s="267">
        <v>149</v>
      </c>
      <c r="I15" s="260">
        <v>1788</v>
      </c>
    </row>
    <row r="16" spans="1:9">
      <c r="A16" s="263">
        <v>46211</v>
      </c>
      <c r="B16" s="264" t="s">
        <v>4687</v>
      </c>
      <c r="C16" s="219" t="s">
        <v>1626</v>
      </c>
      <c r="D16" s="218"/>
      <c r="E16" s="266" t="s">
        <v>1627</v>
      </c>
      <c r="F16" s="262">
        <v>24</v>
      </c>
      <c r="G16" s="259" t="s">
        <v>3699</v>
      </c>
      <c r="H16" s="267">
        <v>37</v>
      </c>
      <c r="I16" s="260">
        <v>888</v>
      </c>
    </row>
    <row r="17" spans="1:9">
      <c r="A17" s="263">
        <v>46211</v>
      </c>
      <c r="B17" s="264" t="s">
        <v>3779</v>
      </c>
      <c r="C17" s="219" t="s">
        <v>454</v>
      </c>
      <c r="D17" s="218"/>
      <c r="E17" s="266" t="s">
        <v>455</v>
      </c>
      <c r="F17" s="262">
        <v>2</v>
      </c>
      <c r="G17" s="259" t="s">
        <v>3699</v>
      </c>
      <c r="H17" s="267">
        <v>84.8</v>
      </c>
      <c r="I17" s="260">
        <v>169.6</v>
      </c>
    </row>
    <row r="18" spans="1:9">
      <c r="A18" s="263">
        <v>46211</v>
      </c>
      <c r="B18" s="264" t="s">
        <v>3779</v>
      </c>
      <c r="C18" s="219" t="s">
        <v>464</v>
      </c>
      <c r="D18" s="218"/>
      <c r="E18" s="266" t="s">
        <v>465</v>
      </c>
      <c r="F18" s="262">
        <v>1</v>
      </c>
      <c r="G18" s="259" t="s">
        <v>3699</v>
      </c>
      <c r="H18" s="267">
        <v>125</v>
      </c>
      <c r="I18" s="260">
        <v>125</v>
      </c>
    </row>
    <row r="19" spans="1:9">
      <c r="A19" s="263">
        <v>46211</v>
      </c>
      <c r="B19" s="264" t="s">
        <v>3779</v>
      </c>
      <c r="C19" s="219" t="s">
        <v>472</v>
      </c>
      <c r="D19" s="218"/>
      <c r="E19" s="266" t="s">
        <v>473</v>
      </c>
      <c r="F19" s="262">
        <v>1</v>
      </c>
      <c r="G19" s="259" t="s">
        <v>3699</v>
      </c>
      <c r="H19" s="267">
        <v>53.9</v>
      </c>
      <c r="I19" s="260">
        <v>53.9</v>
      </c>
    </row>
    <row r="20" spans="1:9">
      <c r="A20" s="263">
        <v>46211</v>
      </c>
      <c r="B20" s="264" t="s">
        <v>3780</v>
      </c>
      <c r="C20" s="219" t="s">
        <v>3871</v>
      </c>
      <c r="D20" s="218"/>
      <c r="E20" s="266" t="s">
        <v>4149</v>
      </c>
      <c r="F20" s="262">
        <v>10</v>
      </c>
      <c r="G20" s="259" t="s">
        <v>3699</v>
      </c>
      <c r="H20" s="269">
        <v>30</v>
      </c>
      <c r="I20" s="260">
        <v>300</v>
      </c>
    </row>
    <row r="21" spans="1:9">
      <c r="A21" s="263">
        <v>46211</v>
      </c>
      <c r="B21" s="264" t="s">
        <v>3780</v>
      </c>
      <c r="C21" s="219" t="s">
        <v>267</v>
      </c>
      <c r="D21" s="218"/>
      <c r="E21" s="266" t="s">
        <v>268</v>
      </c>
      <c r="F21" s="262">
        <v>10</v>
      </c>
      <c r="G21" s="259" t="s">
        <v>3699</v>
      </c>
      <c r="H21" s="269">
        <v>60</v>
      </c>
      <c r="I21" s="260">
        <v>600</v>
      </c>
    </row>
    <row r="22" spans="1:9">
      <c r="A22" s="263">
        <v>46211</v>
      </c>
      <c r="B22" s="264" t="s">
        <v>3780</v>
      </c>
      <c r="C22" s="219" t="s">
        <v>2961</v>
      </c>
      <c r="D22" s="218"/>
      <c r="E22" s="266" t="s">
        <v>2962</v>
      </c>
      <c r="F22" s="262">
        <v>20</v>
      </c>
      <c r="G22" s="259" t="s">
        <v>3699</v>
      </c>
      <c r="H22" s="269">
        <v>90</v>
      </c>
      <c r="I22" s="260">
        <v>1800</v>
      </c>
    </row>
    <row r="23" spans="1:9">
      <c r="A23" s="263">
        <v>46212</v>
      </c>
      <c r="B23" s="264" t="s">
        <v>4688</v>
      </c>
      <c r="C23" s="219" t="s">
        <v>4754</v>
      </c>
      <c r="D23" s="218"/>
      <c r="E23" s="266" t="s">
        <v>4697</v>
      </c>
      <c r="F23" s="262">
        <v>1</v>
      </c>
      <c r="G23" s="259" t="s">
        <v>3699</v>
      </c>
      <c r="H23" s="267">
        <v>600</v>
      </c>
      <c r="I23" s="260">
        <v>600</v>
      </c>
    </row>
    <row r="24" spans="1:9">
      <c r="A24" s="263">
        <v>46212</v>
      </c>
      <c r="B24" s="264" t="s">
        <v>4688</v>
      </c>
      <c r="C24" s="219" t="s">
        <v>4755</v>
      </c>
      <c r="D24" s="218"/>
      <c r="E24" s="266" t="s">
        <v>4698</v>
      </c>
      <c r="F24" s="262">
        <v>1</v>
      </c>
      <c r="G24" s="259" t="s">
        <v>3699</v>
      </c>
      <c r="H24" s="267">
        <v>400</v>
      </c>
      <c r="I24" s="260">
        <v>400</v>
      </c>
    </row>
    <row r="25" spans="1:9">
      <c r="A25" s="263">
        <v>46212</v>
      </c>
      <c r="B25" s="264" t="s">
        <v>4688</v>
      </c>
      <c r="C25" s="219" t="s">
        <v>4756</v>
      </c>
      <c r="D25" s="218"/>
      <c r="E25" s="266" t="s">
        <v>4699</v>
      </c>
      <c r="F25" s="262">
        <v>1</v>
      </c>
      <c r="G25" s="259" t="s">
        <v>3699</v>
      </c>
      <c r="H25" s="267">
        <v>700</v>
      </c>
      <c r="I25" s="260">
        <v>700</v>
      </c>
    </row>
    <row r="26" spans="1:9">
      <c r="A26" s="263">
        <v>46212</v>
      </c>
      <c r="B26" s="264" t="s">
        <v>4688</v>
      </c>
      <c r="C26" s="219" t="s">
        <v>4757</v>
      </c>
      <c r="D26" s="218"/>
      <c r="E26" s="266" t="s">
        <v>4700</v>
      </c>
      <c r="F26" s="262">
        <v>5</v>
      </c>
      <c r="G26" s="259" t="s">
        <v>3699</v>
      </c>
      <c r="H26" s="267">
        <v>90</v>
      </c>
      <c r="I26" s="260">
        <v>450</v>
      </c>
    </row>
    <row r="27" spans="1:9">
      <c r="A27" s="263">
        <v>46212</v>
      </c>
      <c r="B27" s="264" t="s">
        <v>4688</v>
      </c>
      <c r="C27" s="219" t="s">
        <v>4758</v>
      </c>
      <c r="D27" s="218"/>
      <c r="E27" s="266" t="s">
        <v>4701</v>
      </c>
      <c r="F27" s="262">
        <v>5</v>
      </c>
      <c r="G27" s="259" t="s">
        <v>3699</v>
      </c>
      <c r="H27" s="267">
        <v>150</v>
      </c>
      <c r="I27" s="260">
        <v>750</v>
      </c>
    </row>
    <row r="28" spans="1:9">
      <c r="A28" s="263">
        <v>46212</v>
      </c>
      <c r="B28" s="264" t="s">
        <v>4688</v>
      </c>
      <c r="C28" s="219" t="s">
        <v>4759</v>
      </c>
      <c r="D28" s="218"/>
      <c r="E28" s="266" t="s">
        <v>4702</v>
      </c>
      <c r="F28" s="262">
        <v>3</v>
      </c>
      <c r="G28" s="259" t="s">
        <v>3699</v>
      </c>
      <c r="H28" s="267">
        <v>60</v>
      </c>
      <c r="I28" s="260">
        <v>180</v>
      </c>
    </row>
    <row r="29" spans="1:9">
      <c r="A29" s="263">
        <v>46212</v>
      </c>
      <c r="B29" s="264" t="s">
        <v>4688</v>
      </c>
      <c r="C29" s="219" t="s">
        <v>3914</v>
      </c>
      <c r="D29" s="218"/>
      <c r="E29" s="266" t="s">
        <v>4703</v>
      </c>
      <c r="F29" s="262">
        <v>3</v>
      </c>
      <c r="G29" s="259" t="s">
        <v>3699</v>
      </c>
      <c r="H29" s="267">
        <v>80</v>
      </c>
      <c r="I29" s="260">
        <v>240</v>
      </c>
    </row>
    <row r="30" spans="1:9">
      <c r="A30" s="263">
        <v>46212</v>
      </c>
      <c r="B30" s="264" t="s">
        <v>4688</v>
      </c>
      <c r="C30" s="219" t="s">
        <v>3902</v>
      </c>
      <c r="D30" s="218"/>
      <c r="E30" s="266" t="s">
        <v>4704</v>
      </c>
      <c r="F30" s="262">
        <v>6</v>
      </c>
      <c r="G30" s="259" t="s">
        <v>3699</v>
      </c>
      <c r="H30" s="267">
        <v>35</v>
      </c>
      <c r="I30" s="260">
        <v>210</v>
      </c>
    </row>
    <row r="31" spans="1:9">
      <c r="A31" s="263">
        <v>46212</v>
      </c>
      <c r="B31" s="264" t="s">
        <v>4688</v>
      </c>
      <c r="C31" s="219" t="s">
        <v>3862</v>
      </c>
      <c r="D31" s="218"/>
      <c r="E31" s="266" t="s">
        <v>4112</v>
      </c>
      <c r="F31" s="262">
        <v>6</v>
      </c>
      <c r="G31" s="259" t="s">
        <v>3699</v>
      </c>
      <c r="H31" s="267">
        <v>40</v>
      </c>
      <c r="I31" s="260">
        <v>240</v>
      </c>
    </row>
    <row r="32" spans="1:9">
      <c r="A32" s="263">
        <v>46212</v>
      </c>
      <c r="B32" s="264" t="s">
        <v>4688</v>
      </c>
      <c r="C32" s="219" t="s">
        <v>4760</v>
      </c>
      <c r="D32" s="218"/>
      <c r="E32" s="266" t="s">
        <v>4705</v>
      </c>
      <c r="F32" s="262">
        <v>6</v>
      </c>
      <c r="G32" s="259" t="s">
        <v>3699</v>
      </c>
      <c r="H32" s="267">
        <v>55</v>
      </c>
      <c r="I32" s="260">
        <v>330</v>
      </c>
    </row>
    <row r="33" spans="1:9">
      <c r="A33" s="263">
        <v>46212</v>
      </c>
      <c r="B33" s="264" t="s">
        <v>4688</v>
      </c>
      <c r="C33" s="219" t="s">
        <v>4761</v>
      </c>
      <c r="D33" s="218"/>
      <c r="E33" s="266" t="s">
        <v>4706</v>
      </c>
      <c r="F33" s="262">
        <v>1</v>
      </c>
      <c r="G33" s="259" t="s">
        <v>3699</v>
      </c>
      <c r="H33" s="267">
        <v>550</v>
      </c>
      <c r="I33" s="260">
        <v>550</v>
      </c>
    </row>
    <row r="34" spans="1:9">
      <c r="A34" s="263">
        <v>46212</v>
      </c>
      <c r="B34" s="264" t="s">
        <v>4688</v>
      </c>
      <c r="C34" s="219" t="s">
        <v>3915</v>
      </c>
      <c r="D34" s="218"/>
      <c r="E34" s="266" t="s">
        <v>4686</v>
      </c>
      <c r="F34" s="262">
        <v>1</v>
      </c>
      <c r="G34" s="259" t="s">
        <v>3699</v>
      </c>
      <c r="H34" s="267">
        <v>250</v>
      </c>
      <c r="I34" s="260">
        <v>250</v>
      </c>
    </row>
    <row r="35" spans="1:9">
      <c r="A35" s="263">
        <v>46212</v>
      </c>
      <c r="B35" s="264" t="s">
        <v>4688</v>
      </c>
      <c r="C35" s="219" t="s">
        <v>4762</v>
      </c>
      <c r="D35" s="218"/>
      <c r="E35" s="266" t="s">
        <v>4707</v>
      </c>
      <c r="F35" s="262">
        <v>1</v>
      </c>
      <c r="G35" s="259" t="s">
        <v>3699</v>
      </c>
      <c r="H35" s="267">
        <v>190</v>
      </c>
      <c r="I35" s="260">
        <v>190</v>
      </c>
    </row>
    <row r="36" spans="1:9">
      <c r="A36" s="263">
        <v>46212</v>
      </c>
      <c r="B36" s="264" t="s">
        <v>4688</v>
      </c>
      <c r="C36" s="219" t="s">
        <v>4763</v>
      </c>
      <c r="D36" s="218"/>
      <c r="E36" s="266" t="s">
        <v>4708</v>
      </c>
      <c r="F36" s="262">
        <v>1</v>
      </c>
      <c r="G36" s="259" t="s">
        <v>3699</v>
      </c>
      <c r="H36" s="267">
        <v>400</v>
      </c>
      <c r="I36" s="260">
        <v>400</v>
      </c>
    </row>
    <row r="37" spans="1:9">
      <c r="A37" s="263">
        <v>46212</v>
      </c>
      <c r="B37" s="264" t="s">
        <v>4688</v>
      </c>
      <c r="C37" s="219" t="s">
        <v>4764</v>
      </c>
      <c r="D37" s="218"/>
      <c r="E37" s="266" t="s">
        <v>4709</v>
      </c>
      <c r="F37" s="262">
        <v>2</v>
      </c>
      <c r="G37" s="259" t="s">
        <v>3699</v>
      </c>
      <c r="H37" s="267">
        <v>300</v>
      </c>
      <c r="I37" s="260">
        <v>600</v>
      </c>
    </row>
    <row r="38" spans="1:9">
      <c r="A38" s="263">
        <v>46212</v>
      </c>
      <c r="B38" s="264" t="s">
        <v>4688</v>
      </c>
      <c r="C38" s="219" t="s">
        <v>4765</v>
      </c>
      <c r="D38" s="218"/>
      <c r="E38" s="266" t="s">
        <v>4710</v>
      </c>
      <c r="F38" s="262">
        <v>24</v>
      </c>
      <c r="G38" s="259" t="s">
        <v>3699</v>
      </c>
      <c r="H38" s="267">
        <v>50</v>
      </c>
      <c r="I38" s="260">
        <v>1200</v>
      </c>
    </row>
    <row r="39" spans="1:9">
      <c r="A39" s="263">
        <v>46212</v>
      </c>
      <c r="B39" s="264" t="s">
        <v>4688</v>
      </c>
      <c r="C39" s="219" t="s">
        <v>4766</v>
      </c>
      <c r="D39" s="218"/>
      <c r="E39" s="266" t="s">
        <v>4711</v>
      </c>
      <c r="F39" s="262">
        <v>5</v>
      </c>
      <c r="G39" s="259" t="s">
        <v>3699</v>
      </c>
      <c r="H39" s="267">
        <v>65</v>
      </c>
      <c r="I39" s="260">
        <v>325</v>
      </c>
    </row>
    <row r="40" spans="1:9">
      <c r="A40" s="263">
        <v>46212</v>
      </c>
      <c r="B40" s="264" t="s">
        <v>4688</v>
      </c>
      <c r="C40" s="219" t="s">
        <v>4767</v>
      </c>
      <c r="D40" s="218"/>
      <c r="E40" s="266" t="s">
        <v>4712</v>
      </c>
      <c r="F40" s="262">
        <v>2</v>
      </c>
      <c r="G40" s="259" t="s">
        <v>3699</v>
      </c>
      <c r="H40" s="267">
        <v>300</v>
      </c>
      <c r="I40" s="260">
        <v>600</v>
      </c>
    </row>
    <row r="41" spans="1:9">
      <c r="A41" s="263">
        <v>46212</v>
      </c>
      <c r="B41" s="264" t="s">
        <v>4689</v>
      </c>
      <c r="C41" s="219" t="s">
        <v>3863</v>
      </c>
      <c r="D41" s="218"/>
      <c r="E41" s="266" t="s">
        <v>4113</v>
      </c>
      <c r="F41" s="262">
        <v>25</v>
      </c>
      <c r="G41" s="259" t="s">
        <v>3699</v>
      </c>
      <c r="H41" s="267">
        <v>50</v>
      </c>
      <c r="I41" s="260">
        <v>1250</v>
      </c>
    </row>
    <row r="42" spans="1:9">
      <c r="A42" s="263">
        <v>46212</v>
      </c>
      <c r="B42" s="264" t="s">
        <v>4689</v>
      </c>
      <c r="C42" s="219" t="s">
        <v>3864</v>
      </c>
      <c r="D42" s="218"/>
      <c r="E42" s="266" t="s">
        <v>4114</v>
      </c>
      <c r="F42" s="262">
        <v>25</v>
      </c>
      <c r="G42" s="259" t="s">
        <v>3699</v>
      </c>
      <c r="H42" s="267">
        <v>60</v>
      </c>
      <c r="I42" s="260">
        <v>1500</v>
      </c>
    </row>
    <row r="43" spans="1:9">
      <c r="A43" s="263">
        <v>46212</v>
      </c>
      <c r="B43" s="264" t="s">
        <v>4689</v>
      </c>
      <c r="C43" s="219" t="s">
        <v>3865</v>
      </c>
      <c r="D43" s="218"/>
      <c r="E43" s="266" t="s">
        <v>4115</v>
      </c>
      <c r="F43" s="262">
        <v>25</v>
      </c>
      <c r="G43" s="259" t="s">
        <v>3699</v>
      </c>
      <c r="H43" s="267">
        <v>40</v>
      </c>
      <c r="I43" s="260">
        <v>1000</v>
      </c>
    </row>
    <row r="44" spans="1:9">
      <c r="A44" s="263">
        <v>46212</v>
      </c>
      <c r="B44" s="264" t="s">
        <v>4689</v>
      </c>
      <c r="C44" s="219" t="s">
        <v>3866</v>
      </c>
      <c r="D44" s="218"/>
      <c r="E44" s="266" t="s">
        <v>4116</v>
      </c>
      <c r="F44" s="262">
        <v>25</v>
      </c>
      <c r="G44" s="259" t="s">
        <v>3699</v>
      </c>
      <c r="H44" s="267">
        <v>47</v>
      </c>
      <c r="I44" s="260">
        <v>1175</v>
      </c>
    </row>
    <row r="45" spans="1:9">
      <c r="A45" s="263">
        <v>46212</v>
      </c>
      <c r="B45" s="264" t="s">
        <v>4690</v>
      </c>
      <c r="C45" s="219" t="s">
        <v>3867</v>
      </c>
      <c r="D45" s="218"/>
      <c r="E45" s="266" t="s">
        <v>4117</v>
      </c>
      <c r="F45" s="262">
        <v>8</v>
      </c>
      <c r="G45" s="259" t="s">
        <v>3699</v>
      </c>
      <c r="H45" s="267">
        <v>90</v>
      </c>
      <c r="I45" s="260">
        <v>720</v>
      </c>
    </row>
    <row r="46" spans="1:9">
      <c r="A46" s="263">
        <v>46212</v>
      </c>
      <c r="B46" s="264" t="s">
        <v>4688</v>
      </c>
      <c r="C46" s="219" t="s">
        <v>3868</v>
      </c>
      <c r="D46" s="218"/>
      <c r="E46" s="266" t="s">
        <v>4118</v>
      </c>
      <c r="F46" s="262">
        <v>5</v>
      </c>
      <c r="G46" s="259" t="s">
        <v>3699</v>
      </c>
      <c r="H46" s="267">
        <v>190</v>
      </c>
      <c r="I46" s="260">
        <v>950</v>
      </c>
    </row>
    <row r="47" spans="1:9">
      <c r="A47" s="263">
        <v>46212</v>
      </c>
      <c r="B47" s="264" t="s">
        <v>4688</v>
      </c>
      <c r="C47" s="219" t="s">
        <v>3859</v>
      </c>
      <c r="D47" s="218"/>
      <c r="E47" s="266" t="s">
        <v>4108</v>
      </c>
      <c r="F47" s="262">
        <v>5</v>
      </c>
      <c r="G47" s="259" t="s">
        <v>3699</v>
      </c>
      <c r="H47" s="267">
        <v>195</v>
      </c>
      <c r="I47" s="260">
        <v>975</v>
      </c>
    </row>
    <row r="48" spans="1:9">
      <c r="A48" s="263">
        <v>46212</v>
      </c>
      <c r="B48" s="264" t="s">
        <v>4688</v>
      </c>
      <c r="C48" s="219" t="s">
        <v>3879</v>
      </c>
      <c r="D48" s="218"/>
      <c r="E48" s="266" t="s">
        <v>4254</v>
      </c>
      <c r="F48" s="262">
        <v>4</v>
      </c>
      <c r="G48" s="259" t="s">
        <v>3699</v>
      </c>
      <c r="H48" s="267">
        <v>280</v>
      </c>
      <c r="I48" s="260">
        <v>1120</v>
      </c>
    </row>
    <row r="49" spans="1:9">
      <c r="A49" s="263">
        <v>46212</v>
      </c>
      <c r="B49" s="264" t="s">
        <v>4688</v>
      </c>
      <c r="C49" s="219" t="s">
        <v>3901</v>
      </c>
      <c r="D49" s="218"/>
      <c r="E49" s="266" t="s">
        <v>4496</v>
      </c>
      <c r="F49" s="262">
        <v>2</v>
      </c>
      <c r="G49" s="259" t="s">
        <v>3699</v>
      </c>
      <c r="H49" s="267">
        <v>225</v>
      </c>
      <c r="I49" s="260">
        <v>450</v>
      </c>
    </row>
    <row r="50" spans="1:9">
      <c r="A50" s="263">
        <v>46212</v>
      </c>
      <c r="B50" s="264" t="s">
        <v>4688</v>
      </c>
      <c r="C50" s="219" t="s">
        <v>4768</v>
      </c>
      <c r="D50" s="218"/>
      <c r="E50" s="266" t="s">
        <v>4713</v>
      </c>
      <c r="F50" s="262">
        <v>2</v>
      </c>
      <c r="G50" s="259" t="s">
        <v>3699</v>
      </c>
      <c r="H50" s="267">
        <v>225</v>
      </c>
      <c r="I50" s="260">
        <v>450</v>
      </c>
    </row>
    <row r="51" spans="1:9">
      <c r="A51" s="263">
        <v>46212</v>
      </c>
      <c r="B51" s="264" t="s">
        <v>4688</v>
      </c>
      <c r="C51" s="219" t="s">
        <v>4769</v>
      </c>
      <c r="D51" s="218"/>
      <c r="E51" s="266" t="s">
        <v>4714</v>
      </c>
      <c r="F51" s="262">
        <v>2</v>
      </c>
      <c r="G51" s="259" t="s">
        <v>3699</v>
      </c>
      <c r="H51" s="267">
        <v>350</v>
      </c>
      <c r="I51" s="260">
        <v>700</v>
      </c>
    </row>
    <row r="52" spans="1:9">
      <c r="A52" s="263">
        <v>46212</v>
      </c>
      <c r="B52" s="264" t="s">
        <v>4688</v>
      </c>
      <c r="C52" s="219" t="s">
        <v>3861</v>
      </c>
      <c r="D52" s="218"/>
      <c r="E52" s="266" t="s">
        <v>4110</v>
      </c>
      <c r="F52" s="262">
        <v>13</v>
      </c>
      <c r="G52" s="259" t="s">
        <v>3699</v>
      </c>
      <c r="H52" s="267">
        <v>23</v>
      </c>
      <c r="I52" s="260">
        <v>299</v>
      </c>
    </row>
    <row r="53" spans="1:9">
      <c r="A53" s="263">
        <v>46212</v>
      </c>
      <c r="B53" s="264" t="s">
        <v>4688</v>
      </c>
      <c r="C53" s="219" t="s">
        <v>4770</v>
      </c>
      <c r="D53" s="218"/>
      <c r="E53" s="266" t="s">
        <v>4715</v>
      </c>
      <c r="F53" s="262">
        <v>1</v>
      </c>
      <c r="G53" s="259" t="s">
        <v>3699</v>
      </c>
      <c r="H53" s="267">
        <v>21</v>
      </c>
      <c r="I53" s="260">
        <v>21</v>
      </c>
    </row>
    <row r="54" spans="1:9">
      <c r="A54" s="263">
        <v>46212</v>
      </c>
      <c r="B54" s="264" t="s">
        <v>4688</v>
      </c>
      <c r="C54" s="219" t="s">
        <v>3860</v>
      </c>
      <c r="D54" s="218"/>
      <c r="E54" s="266" t="s">
        <v>4109</v>
      </c>
      <c r="F54" s="262">
        <v>6</v>
      </c>
      <c r="G54" s="259" t="s">
        <v>3699</v>
      </c>
      <c r="H54" s="267">
        <v>34</v>
      </c>
      <c r="I54" s="260">
        <v>204</v>
      </c>
    </row>
    <row r="55" spans="1:9">
      <c r="A55" s="263">
        <v>46216</v>
      </c>
      <c r="B55" s="264" t="s">
        <v>3698</v>
      </c>
      <c r="C55" s="219" t="s">
        <v>1582</v>
      </c>
      <c r="D55" s="218"/>
      <c r="E55" s="266" t="s">
        <v>1583</v>
      </c>
      <c r="F55" s="262">
        <v>72</v>
      </c>
      <c r="G55" s="259" t="s">
        <v>3699</v>
      </c>
      <c r="H55" s="267">
        <v>6.12</v>
      </c>
      <c r="I55" s="260">
        <v>440.64</v>
      </c>
    </row>
    <row r="56" spans="1:9">
      <c r="A56" s="263">
        <v>46216</v>
      </c>
      <c r="B56" s="264" t="s">
        <v>3698</v>
      </c>
      <c r="C56" s="219" t="s">
        <v>1578</v>
      </c>
      <c r="D56" s="218"/>
      <c r="E56" s="266" t="s">
        <v>1579</v>
      </c>
      <c r="F56" s="262">
        <v>6</v>
      </c>
      <c r="G56" s="259" t="s">
        <v>3699</v>
      </c>
      <c r="H56" s="267">
        <v>309.11</v>
      </c>
      <c r="I56" s="260">
        <v>1854.66</v>
      </c>
    </row>
    <row r="57" spans="1:9">
      <c r="A57" s="263">
        <v>46219</v>
      </c>
      <c r="B57" s="264" t="s">
        <v>3704</v>
      </c>
      <c r="C57" s="219" t="s">
        <v>1057</v>
      </c>
      <c r="D57" s="218"/>
      <c r="E57" s="266" t="s">
        <v>1058</v>
      </c>
      <c r="F57" s="270">
        <v>16</v>
      </c>
      <c r="G57" s="259" t="s">
        <v>3699</v>
      </c>
      <c r="H57" s="269">
        <v>140</v>
      </c>
      <c r="I57" s="260">
        <v>2240</v>
      </c>
    </row>
    <row r="58" spans="1:9">
      <c r="A58" s="263">
        <v>46219</v>
      </c>
      <c r="B58" s="264" t="s">
        <v>3704</v>
      </c>
      <c r="C58" s="219" t="s">
        <v>4771</v>
      </c>
      <c r="D58" s="218"/>
      <c r="E58" s="271" t="s">
        <v>4716</v>
      </c>
      <c r="F58" s="272">
        <v>24</v>
      </c>
      <c r="G58" s="259" t="s">
        <v>3699</v>
      </c>
      <c r="H58" s="273">
        <v>31.9366666666666</v>
      </c>
      <c r="I58" s="260">
        <v>766.47999999999797</v>
      </c>
    </row>
    <row r="59" spans="1:9">
      <c r="A59" s="263">
        <v>46219</v>
      </c>
      <c r="B59" s="264" t="s">
        <v>3704</v>
      </c>
      <c r="C59" s="219" t="s">
        <v>3909</v>
      </c>
      <c r="D59" s="218"/>
      <c r="E59" s="271" t="s">
        <v>4601</v>
      </c>
      <c r="F59" s="272">
        <v>24</v>
      </c>
      <c r="G59" s="259" t="s">
        <v>3699</v>
      </c>
      <c r="H59" s="273">
        <v>29.508333333333301</v>
      </c>
      <c r="I59" s="260">
        <v>708.19999999999902</v>
      </c>
    </row>
    <row r="60" spans="1:9">
      <c r="A60" s="263">
        <v>46223</v>
      </c>
      <c r="B60" s="264" t="s">
        <v>3781</v>
      </c>
      <c r="C60" s="219" t="s">
        <v>1211</v>
      </c>
      <c r="D60" s="218"/>
      <c r="E60" s="271" t="s">
        <v>1212</v>
      </c>
      <c r="F60" s="274">
        <v>24</v>
      </c>
      <c r="G60" s="259" t="s">
        <v>3699</v>
      </c>
      <c r="H60" s="275">
        <v>34.51</v>
      </c>
      <c r="I60" s="260">
        <v>828.24</v>
      </c>
    </row>
    <row r="61" spans="1:9">
      <c r="A61" s="263">
        <v>46223</v>
      </c>
      <c r="B61" s="264" t="s">
        <v>3781</v>
      </c>
      <c r="C61" s="219" t="s">
        <v>1281</v>
      </c>
      <c r="D61" s="218"/>
      <c r="E61" s="271" t="s">
        <v>1282</v>
      </c>
      <c r="F61" s="274">
        <v>12</v>
      </c>
      <c r="G61" s="259" t="s">
        <v>3699</v>
      </c>
      <c r="H61" s="275">
        <v>41.86</v>
      </c>
      <c r="I61" s="260">
        <v>502.32</v>
      </c>
    </row>
    <row r="62" spans="1:9">
      <c r="A62" s="263">
        <v>46223</v>
      </c>
      <c r="B62" s="264" t="s">
        <v>3781</v>
      </c>
      <c r="C62" s="219" t="s">
        <v>116</v>
      </c>
      <c r="D62" s="218"/>
      <c r="E62" s="271" t="s">
        <v>117</v>
      </c>
      <c r="F62" s="274">
        <v>30</v>
      </c>
      <c r="G62" s="259" t="s">
        <v>3699</v>
      </c>
      <c r="H62" s="257">
        <v>7.75</v>
      </c>
      <c r="I62" s="260">
        <v>232.5</v>
      </c>
    </row>
    <row r="63" spans="1:9">
      <c r="A63" s="263">
        <v>46223</v>
      </c>
      <c r="B63" s="264" t="s">
        <v>3781</v>
      </c>
      <c r="C63" s="219" t="s">
        <v>75</v>
      </c>
      <c r="D63" s="218"/>
      <c r="E63" s="271" t="s">
        <v>76</v>
      </c>
      <c r="F63" s="274">
        <v>20</v>
      </c>
      <c r="G63" s="259" t="s">
        <v>3699</v>
      </c>
      <c r="H63" s="257">
        <v>7.7484999999999999</v>
      </c>
      <c r="I63" s="260">
        <v>154.97</v>
      </c>
    </row>
    <row r="64" spans="1:9">
      <c r="A64" s="263">
        <v>46223</v>
      </c>
      <c r="B64" s="264" t="s">
        <v>3781</v>
      </c>
      <c r="C64" s="219" t="s">
        <v>81</v>
      </c>
      <c r="D64" s="218"/>
      <c r="E64" s="271" t="s">
        <v>82</v>
      </c>
      <c r="F64" s="274">
        <v>15</v>
      </c>
      <c r="G64" s="259" t="s">
        <v>3699</v>
      </c>
      <c r="H64" s="257">
        <v>28.196000000000002</v>
      </c>
      <c r="I64" s="260">
        <v>422.94</v>
      </c>
    </row>
    <row r="65" spans="1:9">
      <c r="A65" s="263">
        <v>46223</v>
      </c>
      <c r="B65" s="264" t="s">
        <v>3781</v>
      </c>
      <c r="C65" s="219" t="s">
        <v>77</v>
      </c>
      <c r="D65" s="220"/>
      <c r="E65" s="276" t="s">
        <v>78</v>
      </c>
      <c r="F65" s="274">
        <v>15</v>
      </c>
      <c r="G65" s="259" t="s">
        <v>3699</v>
      </c>
      <c r="H65" s="257">
        <v>28.196000000000002</v>
      </c>
      <c r="I65" s="260">
        <v>422.94</v>
      </c>
    </row>
    <row r="66" spans="1:9">
      <c r="A66" s="263">
        <v>46223</v>
      </c>
      <c r="B66" s="264" t="s">
        <v>3781</v>
      </c>
      <c r="C66" s="219" t="s">
        <v>4772</v>
      </c>
      <c r="D66" s="220"/>
      <c r="E66" s="276" t="s">
        <v>4717</v>
      </c>
      <c r="F66" s="274">
        <v>3</v>
      </c>
      <c r="G66" s="259" t="s">
        <v>3699</v>
      </c>
      <c r="H66" s="277">
        <v>180.38</v>
      </c>
      <c r="I66" s="260">
        <v>541.14</v>
      </c>
    </row>
    <row r="67" spans="1:9">
      <c r="A67" s="263">
        <v>46223</v>
      </c>
      <c r="B67" s="264" t="s">
        <v>3781</v>
      </c>
      <c r="C67" s="219" t="s">
        <v>4773</v>
      </c>
      <c r="D67" s="220"/>
      <c r="E67" s="276" t="s">
        <v>4718</v>
      </c>
      <c r="F67" s="274">
        <v>3</v>
      </c>
      <c r="G67" s="259" t="s">
        <v>3699</v>
      </c>
      <c r="H67" s="277">
        <v>180.38</v>
      </c>
      <c r="I67" s="260">
        <v>541.14</v>
      </c>
    </row>
    <row r="68" spans="1:9">
      <c r="A68" s="263">
        <v>46223</v>
      </c>
      <c r="B68" s="264" t="s">
        <v>3781</v>
      </c>
      <c r="C68" s="219" t="s">
        <v>4774</v>
      </c>
      <c r="D68" s="220"/>
      <c r="E68" s="276" t="s">
        <v>4719</v>
      </c>
      <c r="F68" s="274">
        <v>3</v>
      </c>
      <c r="G68" s="259" t="s">
        <v>3699</v>
      </c>
      <c r="H68" s="277">
        <v>180.38</v>
      </c>
      <c r="I68" s="260">
        <v>541.14</v>
      </c>
    </row>
    <row r="69" spans="1:9">
      <c r="A69" s="263">
        <v>46223</v>
      </c>
      <c r="B69" s="264" t="s">
        <v>3781</v>
      </c>
      <c r="C69" s="219" t="s">
        <v>4775</v>
      </c>
      <c r="D69" s="220"/>
      <c r="E69" s="276" t="s">
        <v>4720</v>
      </c>
      <c r="F69" s="274">
        <v>3</v>
      </c>
      <c r="G69" s="259" t="s">
        <v>3699</v>
      </c>
      <c r="H69" s="277">
        <v>198.71</v>
      </c>
      <c r="I69" s="260">
        <v>596.13</v>
      </c>
    </row>
    <row r="70" spans="1:9">
      <c r="A70" s="263">
        <v>46223</v>
      </c>
      <c r="B70" s="264" t="s">
        <v>3781</v>
      </c>
      <c r="C70" s="219" t="s">
        <v>511</v>
      </c>
      <c r="D70" s="220"/>
      <c r="E70" s="276" t="s">
        <v>512</v>
      </c>
      <c r="F70" s="274">
        <v>20</v>
      </c>
      <c r="G70" s="259" t="s">
        <v>3699</v>
      </c>
      <c r="H70" s="277">
        <v>12.169</v>
      </c>
      <c r="I70" s="260">
        <v>243.38</v>
      </c>
    </row>
    <row r="71" spans="1:9">
      <c r="A71" s="263">
        <v>46223</v>
      </c>
      <c r="B71" s="264" t="s">
        <v>3781</v>
      </c>
      <c r="C71" s="219" t="s">
        <v>517</v>
      </c>
      <c r="D71" s="220"/>
      <c r="E71" s="276" t="s">
        <v>518</v>
      </c>
      <c r="F71" s="274">
        <v>20</v>
      </c>
      <c r="G71" s="259" t="s">
        <v>3699</v>
      </c>
      <c r="H71" s="277">
        <v>12.169</v>
      </c>
      <c r="I71" s="260">
        <v>243.38</v>
      </c>
    </row>
    <row r="72" spans="1:9">
      <c r="A72" s="263">
        <v>46223</v>
      </c>
      <c r="B72" s="264" t="s">
        <v>3781</v>
      </c>
      <c r="C72" s="219" t="s">
        <v>3883</v>
      </c>
      <c r="D72" s="220"/>
      <c r="E72" s="276" t="s">
        <v>4325</v>
      </c>
      <c r="F72" s="274">
        <v>20</v>
      </c>
      <c r="G72" s="259" t="s">
        <v>3699</v>
      </c>
      <c r="H72" s="277">
        <v>12.169</v>
      </c>
      <c r="I72" s="260">
        <v>243.38</v>
      </c>
    </row>
    <row r="73" spans="1:9">
      <c r="A73" s="263">
        <v>46223</v>
      </c>
      <c r="B73" s="264" t="s">
        <v>3781</v>
      </c>
      <c r="C73" s="219" t="s">
        <v>4776</v>
      </c>
      <c r="D73" s="220"/>
      <c r="E73" s="276" t="s">
        <v>4721</v>
      </c>
      <c r="F73" s="274">
        <v>12</v>
      </c>
      <c r="G73" s="259" t="s">
        <v>3699</v>
      </c>
      <c r="H73" s="273">
        <v>33</v>
      </c>
      <c r="I73" s="260">
        <v>396</v>
      </c>
    </row>
    <row r="74" spans="1:9">
      <c r="A74" s="263">
        <v>46223</v>
      </c>
      <c r="B74" s="264" t="s">
        <v>3781</v>
      </c>
      <c r="C74" s="219" t="s">
        <v>1204</v>
      </c>
      <c r="D74" s="220"/>
      <c r="E74" s="276" t="s">
        <v>1205</v>
      </c>
      <c r="F74" s="274">
        <v>24</v>
      </c>
      <c r="G74" s="259" t="s">
        <v>3699</v>
      </c>
      <c r="H74" s="273">
        <v>56.308999999999997</v>
      </c>
      <c r="I74" s="260">
        <v>1351.4159999999999</v>
      </c>
    </row>
    <row r="75" spans="1:9">
      <c r="A75" s="263">
        <v>46223</v>
      </c>
      <c r="B75" s="264" t="s">
        <v>3781</v>
      </c>
      <c r="C75" s="219" t="s">
        <v>3899</v>
      </c>
      <c r="D75" s="220"/>
      <c r="E75" s="276" t="s">
        <v>4458</v>
      </c>
      <c r="F75" s="274">
        <v>6</v>
      </c>
      <c r="G75" s="259" t="s">
        <v>3699</v>
      </c>
      <c r="H75" s="273">
        <v>35.975999999999999</v>
      </c>
      <c r="I75" s="260">
        <v>215.85599999999999</v>
      </c>
    </row>
    <row r="76" spans="1:9">
      <c r="A76" s="278">
        <v>46223</v>
      </c>
      <c r="B76" s="279" t="s">
        <v>4691</v>
      </c>
      <c r="C76" s="219" t="s">
        <v>59</v>
      </c>
      <c r="D76" s="221"/>
      <c r="E76" s="276" t="s">
        <v>60</v>
      </c>
      <c r="F76" s="274">
        <v>20</v>
      </c>
      <c r="G76" s="259" t="s">
        <v>3699</v>
      </c>
      <c r="H76" s="273">
        <v>18.88</v>
      </c>
      <c r="I76" s="260">
        <v>377.6</v>
      </c>
    </row>
    <row r="77" spans="1:9">
      <c r="A77" s="278">
        <v>46223</v>
      </c>
      <c r="B77" s="279" t="s">
        <v>4691</v>
      </c>
      <c r="C77" s="219" t="s">
        <v>65</v>
      </c>
      <c r="D77" s="218"/>
      <c r="E77" s="276" t="s">
        <v>66</v>
      </c>
      <c r="F77" s="274">
        <v>20</v>
      </c>
      <c r="G77" s="259" t="s">
        <v>3699</v>
      </c>
      <c r="H77" s="273">
        <v>33.75</v>
      </c>
      <c r="I77" s="260">
        <v>675</v>
      </c>
    </row>
    <row r="78" spans="1:9">
      <c r="A78" s="278">
        <v>46223</v>
      </c>
      <c r="B78" s="279" t="s">
        <v>4691</v>
      </c>
      <c r="C78" s="219" t="s">
        <v>50</v>
      </c>
      <c r="D78" s="218"/>
      <c r="E78" s="276" t="s">
        <v>51</v>
      </c>
      <c r="F78" s="274">
        <v>40</v>
      </c>
      <c r="G78" s="259" t="s">
        <v>3699</v>
      </c>
      <c r="H78" s="273">
        <v>19.46</v>
      </c>
      <c r="I78" s="260">
        <v>778.4</v>
      </c>
    </row>
    <row r="79" spans="1:9">
      <c r="A79" s="278">
        <v>46223</v>
      </c>
      <c r="B79" s="279" t="s">
        <v>4691</v>
      </c>
      <c r="C79" s="219" t="s">
        <v>98</v>
      </c>
      <c r="D79" s="218"/>
      <c r="E79" s="276" t="s">
        <v>99</v>
      </c>
      <c r="F79" s="274">
        <v>10</v>
      </c>
      <c r="G79" s="259" t="s">
        <v>3699</v>
      </c>
      <c r="H79" s="273">
        <v>18.649999999999999</v>
      </c>
      <c r="I79" s="260">
        <v>186.5</v>
      </c>
    </row>
    <row r="80" spans="1:9">
      <c r="A80" s="278">
        <v>46223</v>
      </c>
      <c r="B80" s="279" t="s">
        <v>4691</v>
      </c>
      <c r="C80" s="219" t="s">
        <v>100</v>
      </c>
      <c r="D80" s="218"/>
      <c r="E80" s="276" t="s">
        <v>101</v>
      </c>
      <c r="F80" s="274">
        <v>10</v>
      </c>
      <c r="G80" s="259" t="s">
        <v>3699</v>
      </c>
      <c r="H80" s="280">
        <v>18.649999999999999</v>
      </c>
      <c r="I80" s="260">
        <v>186.5</v>
      </c>
    </row>
    <row r="81" spans="1:10">
      <c r="A81" s="278">
        <v>46223</v>
      </c>
      <c r="B81" s="279" t="s">
        <v>4691</v>
      </c>
      <c r="C81" s="219" t="s">
        <v>96</v>
      </c>
      <c r="D81" s="218"/>
      <c r="E81" s="276" t="s">
        <v>97</v>
      </c>
      <c r="F81" s="274">
        <v>10</v>
      </c>
      <c r="G81" s="259" t="s">
        <v>3699</v>
      </c>
      <c r="H81" s="273">
        <v>18.649999999999999</v>
      </c>
      <c r="I81" s="260">
        <v>186.5</v>
      </c>
    </row>
    <row r="82" spans="1:10" ht="30">
      <c r="A82" s="278">
        <v>46223</v>
      </c>
      <c r="B82" s="279" t="s">
        <v>4691</v>
      </c>
      <c r="C82" s="219" t="s">
        <v>94</v>
      </c>
      <c r="D82" s="218"/>
      <c r="E82" s="276" t="s">
        <v>95</v>
      </c>
      <c r="F82" s="274">
        <v>10</v>
      </c>
      <c r="G82" s="259" t="s">
        <v>3699</v>
      </c>
      <c r="H82" s="281">
        <v>18.649999999999999</v>
      </c>
      <c r="I82" s="260">
        <v>186.5</v>
      </c>
    </row>
    <row r="83" spans="1:10">
      <c r="A83" s="278">
        <v>46223</v>
      </c>
      <c r="B83" s="279" t="s">
        <v>4691</v>
      </c>
      <c r="C83" s="219" t="s">
        <v>701</v>
      </c>
      <c r="D83" s="218"/>
      <c r="E83" s="276" t="s">
        <v>702</v>
      </c>
      <c r="F83" s="274">
        <v>2</v>
      </c>
      <c r="G83" s="259" t="s">
        <v>3699</v>
      </c>
      <c r="H83" s="281">
        <v>36</v>
      </c>
      <c r="I83" s="260">
        <v>72</v>
      </c>
    </row>
    <row r="84" spans="1:10" ht="30">
      <c r="A84" s="278">
        <v>46223</v>
      </c>
      <c r="B84" s="279" t="s">
        <v>4691</v>
      </c>
      <c r="C84" s="219" t="s">
        <v>697</v>
      </c>
      <c r="D84" s="218"/>
      <c r="E84" s="276" t="s">
        <v>698</v>
      </c>
      <c r="F84" s="274">
        <v>2</v>
      </c>
      <c r="G84" s="259" t="s">
        <v>3699</v>
      </c>
      <c r="H84" s="281">
        <v>36</v>
      </c>
      <c r="I84" s="260">
        <v>72</v>
      </c>
    </row>
    <row r="85" spans="1:10">
      <c r="A85" s="255">
        <v>46223</v>
      </c>
      <c r="B85" s="282" t="s">
        <v>3780</v>
      </c>
      <c r="C85" s="219" t="s">
        <v>2961</v>
      </c>
      <c r="D85" s="218"/>
      <c r="E85" s="266" t="s">
        <v>2962</v>
      </c>
      <c r="F85" s="262">
        <v>20</v>
      </c>
      <c r="G85" s="259" t="s">
        <v>3699</v>
      </c>
      <c r="H85" s="269">
        <v>90</v>
      </c>
      <c r="I85" s="260">
        <v>1800</v>
      </c>
    </row>
    <row r="86" spans="1:10">
      <c r="A86" s="255">
        <v>46223</v>
      </c>
      <c r="B86" s="282" t="s">
        <v>3780</v>
      </c>
      <c r="C86" s="219" t="s">
        <v>3871</v>
      </c>
      <c r="D86" s="218"/>
      <c r="E86" s="266" t="s">
        <v>4149</v>
      </c>
      <c r="F86" s="262">
        <v>10</v>
      </c>
      <c r="G86" s="259" t="s">
        <v>3699</v>
      </c>
      <c r="H86" s="269">
        <v>30</v>
      </c>
      <c r="I86" s="260">
        <v>300</v>
      </c>
    </row>
    <row r="87" spans="1:10">
      <c r="A87" s="255">
        <v>46223</v>
      </c>
      <c r="B87" s="282" t="s">
        <v>3780</v>
      </c>
      <c r="C87" s="219" t="s">
        <v>267</v>
      </c>
      <c r="D87" s="218"/>
      <c r="E87" s="266" t="s">
        <v>268</v>
      </c>
      <c r="F87" s="262">
        <v>6</v>
      </c>
      <c r="G87" s="259" t="s">
        <v>3699</v>
      </c>
      <c r="H87" s="269">
        <v>60</v>
      </c>
      <c r="I87" s="260">
        <v>360</v>
      </c>
    </row>
    <row r="88" spans="1:10">
      <c r="A88" s="255">
        <v>46223</v>
      </c>
      <c r="B88" s="282" t="s">
        <v>4692</v>
      </c>
      <c r="C88" s="219" t="s">
        <v>4777</v>
      </c>
      <c r="D88" s="218"/>
      <c r="E88" s="271" t="s">
        <v>4722</v>
      </c>
      <c r="F88" s="274">
        <v>2</v>
      </c>
      <c r="G88" s="259" t="s">
        <v>3699</v>
      </c>
      <c r="H88" s="273">
        <v>190</v>
      </c>
      <c r="I88" s="260">
        <v>380</v>
      </c>
    </row>
    <row r="89" spans="1:10">
      <c r="A89" s="255">
        <v>46223</v>
      </c>
      <c r="B89" s="282" t="s">
        <v>4692</v>
      </c>
      <c r="C89" s="219" t="s">
        <v>4778</v>
      </c>
      <c r="D89" s="218"/>
      <c r="E89" s="271" t="s">
        <v>4723</v>
      </c>
      <c r="F89" s="274">
        <v>2</v>
      </c>
      <c r="G89" s="259" t="s">
        <v>3699</v>
      </c>
      <c r="H89" s="273">
        <v>260</v>
      </c>
      <c r="I89" s="260">
        <v>520</v>
      </c>
    </row>
    <row r="90" spans="1:10">
      <c r="A90" s="255">
        <v>46223</v>
      </c>
      <c r="B90" s="282" t="s">
        <v>4692</v>
      </c>
      <c r="C90" s="219" t="s">
        <v>4779</v>
      </c>
      <c r="D90" s="218"/>
      <c r="E90" s="271" t="s">
        <v>4724</v>
      </c>
      <c r="F90" s="274">
        <v>2</v>
      </c>
      <c r="G90" s="259" t="s">
        <v>3699</v>
      </c>
      <c r="H90" s="273">
        <v>320</v>
      </c>
      <c r="I90" s="260">
        <v>640</v>
      </c>
    </row>
    <row r="91" spans="1:10">
      <c r="A91" s="255">
        <v>46223</v>
      </c>
      <c r="B91" s="282" t="s">
        <v>4692</v>
      </c>
      <c r="C91" s="219" t="s">
        <v>4780</v>
      </c>
      <c r="D91" s="218"/>
      <c r="E91" s="271" t="s">
        <v>4725</v>
      </c>
      <c r="F91" s="274">
        <v>1</v>
      </c>
      <c r="G91" s="259" t="s">
        <v>3699</v>
      </c>
      <c r="H91" s="273">
        <v>450</v>
      </c>
      <c r="I91" s="260">
        <v>450</v>
      </c>
    </row>
    <row r="92" spans="1:10">
      <c r="A92" s="255">
        <v>46223</v>
      </c>
      <c r="B92" s="282" t="s">
        <v>3779</v>
      </c>
      <c r="C92" s="219" t="s">
        <v>458</v>
      </c>
      <c r="D92" s="218"/>
      <c r="E92" s="276" t="s">
        <v>459</v>
      </c>
      <c r="F92" s="274">
        <v>1</v>
      </c>
      <c r="G92" s="259" t="s">
        <v>3699</v>
      </c>
      <c r="H92" s="277">
        <v>72.95</v>
      </c>
      <c r="I92" s="260">
        <v>72.95</v>
      </c>
    </row>
    <row r="93" spans="1:10">
      <c r="A93" s="255">
        <v>46223</v>
      </c>
      <c r="B93" s="282" t="s">
        <v>3779</v>
      </c>
      <c r="C93" s="219" t="s">
        <v>472</v>
      </c>
      <c r="D93" s="218"/>
      <c r="E93" s="276" t="s">
        <v>473</v>
      </c>
      <c r="F93" s="274">
        <v>1</v>
      </c>
      <c r="G93" s="259" t="s">
        <v>3699</v>
      </c>
      <c r="H93" s="277">
        <v>53.9</v>
      </c>
      <c r="I93" s="260">
        <v>53.9</v>
      </c>
    </row>
    <row r="94" spans="1:10">
      <c r="A94" s="255">
        <v>46223</v>
      </c>
      <c r="B94" s="282" t="s">
        <v>3779</v>
      </c>
      <c r="C94" s="219" t="s">
        <v>468</v>
      </c>
      <c r="D94" s="218"/>
      <c r="E94" s="276" t="s">
        <v>469</v>
      </c>
      <c r="F94" s="274">
        <v>1</v>
      </c>
      <c r="G94" s="259" t="s">
        <v>3699</v>
      </c>
      <c r="H94" s="277">
        <v>81.849999999999994</v>
      </c>
      <c r="I94" s="260">
        <v>81.849999999999994</v>
      </c>
    </row>
    <row r="95" spans="1:10">
      <c r="A95" s="255">
        <v>46223</v>
      </c>
      <c r="B95" s="282" t="s">
        <v>4693</v>
      </c>
      <c r="C95" s="287" t="s">
        <v>4785</v>
      </c>
      <c r="D95" s="218"/>
      <c r="E95" s="276" t="s">
        <v>4726</v>
      </c>
      <c r="F95" s="274">
        <v>300</v>
      </c>
      <c r="G95" s="259" t="s">
        <v>3699</v>
      </c>
      <c r="H95" s="273">
        <v>5.27</v>
      </c>
      <c r="I95" s="260">
        <v>1581</v>
      </c>
      <c r="J95" s="285"/>
    </row>
    <row r="96" spans="1:10">
      <c r="A96" s="255">
        <v>46223</v>
      </c>
      <c r="B96" s="282" t="s">
        <v>4693</v>
      </c>
      <c r="C96" s="219" t="s">
        <v>4781</v>
      </c>
      <c r="D96" s="218"/>
      <c r="E96" s="276" t="s">
        <v>4727</v>
      </c>
      <c r="F96" s="274">
        <v>300</v>
      </c>
      <c r="G96" s="259" t="s">
        <v>3699</v>
      </c>
      <c r="H96" s="273">
        <v>5.7165999999999997</v>
      </c>
      <c r="I96" s="260">
        <v>1714.94</v>
      </c>
    </row>
    <row r="97" spans="1:9">
      <c r="A97" s="255">
        <v>46223</v>
      </c>
      <c r="B97" s="282" t="s">
        <v>4693</v>
      </c>
      <c r="C97" s="219" t="s">
        <v>4782</v>
      </c>
      <c r="D97" s="218"/>
      <c r="E97" s="276" t="s">
        <v>4728</v>
      </c>
      <c r="F97" s="274">
        <v>500</v>
      </c>
      <c r="G97" s="259" t="s">
        <v>3699</v>
      </c>
      <c r="H97" s="273">
        <v>2.1800000000000002</v>
      </c>
      <c r="I97" s="260">
        <v>1090</v>
      </c>
    </row>
    <row r="98" spans="1:9" ht="30">
      <c r="A98" s="255">
        <v>46223</v>
      </c>
      <c r="B98" s="282" t="s">
        <v>4693</v>
      </c>
      <c r="C98" s="219" t="s">
        <v>3896</v>
      </c>
      <c r="D98" s="218"/>
      <c r="E98" s="276" t="s">
        <v>4438</v>
      </c>
      <c r="F98" s="274">
        <v>500</v>
      </c>
      <c r="G98" s="259" t="s">
        <v>3699</v>
      </c>
      <c r="H98" s="273">
        <v>2.76</v>
      </c>
      <c r="I98" s="260">
        <v>1380</v>
      </c>
    </row>
    <row r="99" spans="1:9">
      <c r="A99" s="255">
        <v>46223</v>
      </c>
      <c r="B99" s="282" t="s">
        <v>4693</v>
      </c>
      <c r="C99" s="219" t="s">
        <v>3912</v>
      </c>
      <c r="D99" s="218"/>
      <c r="E99" s="276" t="s">
        <v>4632</v>
      </c>
      <c r="F99" s="274">
        <v>6</v>
      </c>
      <c r="G99" s="259" t="s">
        <v>3699</v>
      </c>
      <c r="H99" s="273">
        <v>381.67</v>
      </c>
      <c r="I99" s="260">
        <v>2290.02</v>
      </c>
    </row>
    <row r="100" spans="1:9">
      <c r="A100" s="255">
        <v>46223</v>
      </c>
      <c r="B100" s="282" t="s">
        <v>4693</v>
      </c>
      <c r="C100" s="219" t="s">
        <v>3884</v>
      </c>
      <c r="D100" s="218"/>
      <c r="E100" s="276" t="s">
        <v>4337</v>
      </c>
      <c r="F100" s="274">
        <v>6</v>
      </c>
      <c r="G100" s="259" t="s">
        <v>3699</v>
      </c>
      <c r="H100" s="277">
        <v>310</v>
      </c>
      <c r="I100" s="260">
        <v>1860</v>
      </c>
    </row>
    <row r="101" spans="1:9">
      <c r="A101" s="255">
        <v>46223</v>
      </c>
      <c r="B101" s="282" t="s">
        <v>4693</v>
      </c>
      <c r="C101" s="219" t="s">
        <v>3888</v>
      </c>
      <c r="D101" s="218"/>
      <c r="E101" s="276" t="s">
        <v>4363</v>
      </c>
      <c r="F101" s="274">
        <v>5</v>
      </c>
      <c r="G101" s="259" t="s">
        <v>3699</v>
      </c>
      <c r="H101" s="277">
        <v>22</v>
      </c>
      <c r="I101" s="260">
        <v>110</v>
      </c>
    </row>
    <row r="102" spans="1:9">
      <c r="A102" s="255">
        <v>46223</v>
      </c>
      <c r="B102" s="282" t="s">
        <v>4693</v>
      </c>
      <c r="C102" s="219" t="s">
        <v>3904</v>
      </c>
      <c r="D102" s="218"/>
      <c r="E102" s="276" t="s">
        <v>4508</v>
      </c>
      <c r="F102" s="274">
        <v>1000</v>
      </c>
      <c r="G102" s="259" t="s">
        <v>3699</v>
      </c>
      <c r="H102" s="277">
        <v>1.29</v>
      </c>
      <c r="I102" s="260">
        <v>1290</v>
      </c>
    </row>
    <row r="103" spans="1:9">
      <c r="A103" s="255">
        <v>46223</v>
      </c>
      <c r="B103" s="282" t="s">
        <v>4693</v>
      </c>
      <c r="C103" s="219" t="s">
        <v>3885</v>
      </c>
      <c r="D103" s="218"/>
      <c r="E103" s="276" t="s">
        <v>4338</v>
      </c>
      <c r="F103" s="274">
        <v>8</v>
      </c>
      <c r="G103" s="259" t="s">
        <v>3699</v>
      </c>
      <c r="H103" s="277">
        <v>74.38</v>
      </c>
      <c r="I103" s="260">
        <v>595.04</v>
      </c>
    </row>
    <row r="104" spans="1:9">
      <c r="A104" s="255">
        <v>46223</v>
      </c>
      <c r="B104" s="282" t="s">
        <v>4693</v>
      </c>
      <c r="C104" s="219" t="s">
        <v>3903</v>
      </c>
      <c r="D104" s="218"/>
      <c r="E104" s="276" t="s">
        <v>4507</v>
      </c>
      <c r="F104" s="274">
        <v>150</v>
      </c>
      <c r="G104" s="259" t="s">
        <v>3699</v>
      </c>
      <c r="H104" s="277">
        <v>7.73</v>
      </c>
      <c r="I104" s="260">
        <v>1159.5</v>
      </c>
    </row>
    <row r="105" spans="1:9">
      <c r="A105" s="255">
        <v>46223</v>
      </c>
      <c r="B105" s="282" t="s">
        <v>4693</v>
      </c>
      <c r="C105" s="219" t="s">
        <v>4783</v>
      </c>
      <c r="D105" s="218"/>
      <c r="E105" s="276" t="s">
        <v>4729</v>
      </c>
      <c r="F105" s="274">
        <v>150</v>
      </c>
      <c r="G105" s="259" t="s">
        <v>3699</v>
      </c>
      <c r="H105" s="277">
        <v>7.51</v>
      </c>
      <c r="I105" s="260">
        <v>1126.5</v>
      </c>
    </row>
    <row r="106" spans="1:9">
      <c r="A106" s="255">
        <v>46223</v>
      </c>
      <c r="B106" s="282" t="s">
        <v>4693</v>
      </c>
      <c r="C106" s="219" t="s">
        <v>3892</v>
      </c>
      <c r="D106" s="218"/>
      <c r="E106" s="276" t="s">
        <v>4384</v>
      </c>
      <c r="F106" s="274">
        <v>300</v>
      </c>
      <c r="G106" s="259" t="s">
        <v>3699</v>
      </c>
      <c r="H106" s="277">
        <v>3.81</v>
      </c>
      <c r="I106" s="260">
        <v>1143</v>
      </c>
    </row>
    <row r="107" spans="1:9">
      <c r="A107" s="255">
        <v>46223</v>
      </c>
      <c r="B107" s="282" t="s">
        <v>4693</v>
      </c>
      <c r="C107" s="219" t="s">
        <v>4784</v>
      </c>
      <c r="D107" s="218"/>
      <c r="E107" s="276" t="s">
        <v>4730</v>
      </c>
      <c r="F107" s="274">
        <v>300</v>
      </c>
      <c r="G107" s="259" t="s">
        <v>3699</v>
      </c>
      <c r="H107" s="277">
        <v>4</v>
      </c>
      <c r="I107" s="260">
        <v>1200</v>
      </c>
    </row>
    <row r="108" spans="1:9">
      <c r="A108" s="255">
        <v>46226</v>
      </c>
      <c r="B108" s="282" t="s">
        <v>3792</v>
      </c>
      <c r="C108" s="219" t="s">
        <v>2668</v>
      </c>
      <c r="D108" s="218"/>
      <c r="E108" s="276" t="s">
        <v>2669</v>
      </c>
      <c r="F108" s="274">
        <v>24</v>
      </c>
      <c r="G108" s="259" t="s">
        <v>3699</v>
      </c>
      <c r="H108" s="273">
        <v>45.302100000000003</v>
      </c>
      <c r="I108" s="260">
        <v>1087.2503999999999</v>
      </c>
    </row>
    <row r="109" spans="1:9">
      <c r="A109" s="255">
        <v>46226</v>
      </c>
      <c r="B109" s="282" t="s">
        <v>3792</v>
      </c>
      <c r="C109" s="219" t="s">
        <v>2682</v>
      </c>
      <c r="D109" s="218"/>
      <c r="E109" s="276" t="s">
        <v>2683</v>
      </c>
      <c r="F109" s="274">
        <v>24</v>
      </c>
      <c r="G109" s="259" t="s">
        <v>3699</v>
      </c>
      <c r="H109" s="273">
        <v>74.8</v>
      </c>
      <c r="I109" s="260">
        <v>1795.2</v>
      </c>
    </row>
    <row r="110" spans="1:9">
      <c r="A110" s="255">
        <v>46226</v>
      </c>
      <c r="B110" s="282" t="s">
        <v>3792</v>
      </c>
      <c r="C110" s="219" t="s">
        <v>4786</v>
      </c>
      <c r="D110" s="218"/>
      <c r="E110" s="276" t="s">
        <v>4731</v>
      </c>
      <c r="F110" s="274">
        <v>2</v>
      </c>
      <c r="G110" s="259" t="s">
        <v>3699</v>
      </c>
      <c r="H110" s="273">
        <v>56.784999999999997</v>
      </c>
      <c r="I110" s="260">
        <v>113.57</v>
      </c>
    </row>
    <row r="111" spans="1:9">
      <c r="A111" s="255">
        <v>46226</v>
      </c>
      <c r="B111" s="282" t="s">
        <v>3792</v>
      </c>
      <c r="C111" s="219" t="s">
        <v>4787</v>
      </c>
      <c r="D111" s="218"/>
      <c r="E111" s="276" t="s">
        <v>4732</v>
      </c>
      <c r="F111" s="274">
        <v>2</v>
      </c>
      <c r="G111" s="259" t="s">
        <v>3699</v>
      </c>
      <c r="H111" s="273">
        <v>39.844999999999999</v>
      </c>
      <c r="I111" s="260">
        <v>79.69</v>
      </c>
    </row>
    <row r="112" spans="1:9">
      <c r="A112" s="255">
        <v>46226</v>
      </c>
      <c r="B112" s="282" t="s">
        <v>3792</v>
      </c>
      <c r="C112" s="219" t="s">
        <v>4788</v>
      </c>
      <c r="D112" s="218"/>
      <c r="E112" s="276" t="s">
        <v>4733</v>
      </c>
      <c r="F112" s="274">
        <v>2</v>
      </c>
      <c r="G112" s="259" t="s">
        <v>3699</v>
      </c>
      <c r="H112" s="273">
        <v>56.784999999999997</v>
      </c>
      <c r="I112" s="260">
        <v>113.57</v>
      </c>
    </row>
    <row r="113" spans="1:9" ht="30">
      <c r="A113" s="255">
        <v>46226</v>
      </c>
      <c r="B113" s="282" t="s">
        <v>3792</v>
      </c>
      <c r="C113" s="219" t="s">
        <v>3911</v>
      </c>
      <c r="D113" s="218"/>
      <c r="E113" s="276" t="s">
        <v>4619</v>
      </c>
      <c r="F113" s="274">
        <v>2</v>
      </c>
      <c r="G113" s="259" t="s">
        <v>3699</v>
      </c>
      <c r="H113" s="273">
        <v>39.844999999999999</v>
      </c>
      <c r="I113" s="260">
        <v>79.69</v>
      </c>
    </row>
    <row r="114" spans="1:9" ht="30">
      <c r="A114" s="255">
        <v>46226</v>
      </c>
      <c r="B114" s="282" t="s">
        <v>3792</v>
      </c>
      <c r="C114" s="219" t="s">
        <v>4789</v>
      </c>
      <c r="D114" s="218"/>
      <c r="E114" s="276" t="s">
        <v>4734</v>
      </c>
      <c r="F114" s="274">
        <v>2</v>
      </c>
      <c r="G114" s="259" t="s">
        <v>3699</v>
      </c>
      <c r="H114" s="273">
        <v>56.784999999999997</v>
      </c>
      <c r="I114" s="260">
        <v>113.57</v>
      </c>
    </row>
    <row r="115" spans="1:9">
      <c r="A115" s="255">
        <v>46226</v>
      </c>
      <c r="B115" s="282" t="s">
        <v>3792</v>
      </c>
      <c r="C115" s="219" t="s">
        <v>4790</v>
      </c>
      <c r="D115" s="218"/>
      <c r="E115" s="276" t="s">
        <v>4735</v>
      </c>
      <c r="F115" s="274">
        <v>2</v>
      </c>
      <c r="G115" s="259" t="s">
        <v>3699</v>
      </c>
      <c r="H115" s="273">
        <v>39.844999999999999</v>
      </c>
      <c r="I115" s="260">
        <v>79.69</v>
      </c>
    </row>
    <row r="116" spans="1:9">
      <c r="A116" s="255">
        <v>46226</v>
      </c>
      <c r="B116" s="282" t="s">
        <v>3792</v>
      </c>
      <c r="C116" s="219" t="s">
        <v>4791</v>
      </c>
      <c r="D116" s="218"/>
      <c r="E116" s="276" t="s">
        <v>4736</v>
      </c>
      <c r="F116" s="274">
        <v>2</v>
      </c>
      <c r="G116" s="259" t="s">
        <v>3699</v>
      </c>
      <c r="H116" s="273">
        <v>56.784999999999997</v>
      </c>
      <c r="I116" s="260">
        <v>113.57</v>
      </c>
    </row>
    <row r="117" spans="1:9">
      <c r="A117" s="255">
        <v>46226</v>
      </c>
      <c r="B117" s="282" t="s">
        <v>3792</v>
      </c>
      <c r="C117" s="219" t="s">
        <v>4792</v>
      </c>
      <c r="D117" s="218"/>
      <c r="E117" s="276" t="s">
        <v>4737</v>
      </c>
      <c r="F117" s="274">
        <v>2</v>
      </c>
      <c r="G117" s="259" t="s">
        <v>3699</v>
      </c>
      <c r="H117" s="273">
        <v>39.844999999999999</v>
      </c>
      <c r="I117" s="260">
        <v>79.69</v>
      </c>
    </row>
    <row r="118" spans="1:9" ht="30">
      <c r="A118" s="255">
        <v>46226</v>
      </c>
      <c r="B118" s="282" t="s">
        <v>3792</v>
      </c>
      <c r="C118" s="219" t="s">
        <v>4793</v>
      </c>
      <c r="D118" s="218"/>
      <c r="E118" s="276" t="s">
        <v>4738</v>
      </c>
      <c r="F118" s="274">
        <v>2</v>
      </c>
      <c r="G118" s="259" t="s">
        <v>3699</v>
      </c>
      <c r="H118" s="273">
        <v>56.784999999999997</v>
      </c>
      <c r="I118" s="260">
        <v>113.57</v>
      </c>
    </row>
    <row r="119" spans="1:9">
      <c r="A119" s="255">
        <v>46226</v>
      </c>
      <c r="B119" s="282" t="s">
        <v>3792</v>
      </c>
      <c r="C119" s="219" t="s">
        <v>4794</v>
      </c>
      <c r="D119" s="218"/>
      <c r="E119" s="276" t="s">
        <v>4739</v>
      </c>
      <c r="F119" s="274">
        <v>2</v>
      </c>
      <c r="G119" s="259" t="s">
        <v>3699</v>
      </c>
      <c r="H119" s="273">
        <v>39.844999999999999</v>
      </c>
      <c r="I119" s="260">
        <v>79.69</v>
      </c>
    </row>
    <row r="120" spans="1:9">
      <c r="A120" s="255">
        <v>46226</v>
      </c>
      <c r="B120" s="282" t="s">
        <v>3792</v>
      </c>
      <c r="C120" s="219" t="s">
        <v>4795</v>
      </c>
      <c r="D120" s="218"/>
      <c r="E120" s="276" t="s">
        <v>4740</v>
      </c>
      <c r="F120" s="274">
        <v>2</v>
      </c>
      <c r="G120" s="259" t="s">
        <v>3699</v>
      </c>
      <c r="H120" s="273">
        <v>56.784999999999997</v>
      </c>
      <c r="I120" s="260">
        <v>113.57</v>
      </c>
    </row>
    <row r="121" spans="1:9">
      <c r="A121" s="255">
        <v>46226</v>
      </c>
      <c r="B121" s="282" t="s">
        <v>3792</v>
      </c>
      <c r="C121" s="219" t="s">
        <v>4796</v>
      </c>
      <c r="D121" s="218"/>
      <c r="E121" s="276" t="s">
        <v>4741</v>
      </c>
      <c r="F121" s="274">
        <v>2</v>
      </c>
      <c r="G121" s="259" t="s">
        <v>3699</v>
      </c>
      <c r="H121" s="273">
        <v>39.844999999999999</v>
      </c>
      <c r="I121" s="260">
        <v>79.69</v>
      </c>
    </row>
    <row r="122" spans="1:9">
      <c r="A122" s="255">
        <v>46226</v>
      </c>
      <c r="B122" s="282" t="s">
        <v>3792</v>
      </c>
      <c r="C122" s="219" t="s">
        <v>3913</v>
      </c>
      <c r="D122" s="218"/>
      <c r="E122" s="276" t="s">
        <v>4677</v>
      </c>
      <c r="F122" s="274">
        <v>2</v>
      </c>
      <c r="G122" s="259" t="s">
        <v>3699</v>
      </c>
      <c r="H122" s="273">
        <v>56.784999999999997</v>
      </c>
      <c r="I122" s="260">
        <v>113.57</v>
      </c>
    </row>
    <row r="123" spans="1:9">
      <c r="A123" s="255">
        <v>46226</v>
      </c>
      <c r="B123" s="282" t="s">
        <v>3792</v>
      </c>
      <c r="C123" s="219" t="s">
        <v>4797</v>
      </c>
      <c r="D123" s="218"/>
      <c r="E123" s="276" t="s">
        <v>4742</v>
      </c>
      <c r="F123" s="274">
        <v>2</v>
      </c>
      <c r="G123" s="259" t="s">
        <v>3699</v>
      </c>
      <c r="H123" s="273">
        <v>39.844999999999999</v>
      </c>
      <c r="I123" s="260">
        <v>79.69</v>
      </c>
    </row>
    <row r="124" spans="1:9">
      <c r="A124" s="255">
        <v>46226</v>
      </c>
      <c r="B124" s="282" t="s">
        <v>3792</v>
      </c>
      <c r="C124" s="219" t="s">
        <v>4798</v>
      </c>
      <c r="D124" s="218"/>
      <c r="E124" s="276" t="s">
        <v>4743</v>
      </c>
      <c r="F124" s="274">
        <v>1</v>
      </c>
      <c r="G124" s="259" t="s">
        <v>3699</v>
      </c>
      <c r="H124" s="273">
        <v>56.784999999999997</v>
      </c>
      <c r="I124" s="260">
        <v>56.784999999999997</v>
      </c>
    </row>
    <row r="125" spans="1:9">
      <c r="A125" s="255">
        <v>46226</v>
      </c>
      <c r="B125" s="282" t="s">
        <v>3792</v>
      </c>
      <c r="C125" s="219" t="s">
        <v>4799</v>
      </c>
      <c r="D125" s="218"/>
      <c r="E125" s="276" t="s">
        <v>4744</v>
      </c>
      <c r="F125" s="274">
        <v>2</v>
      </c>
      <c r="G125" s="259" t="s">
        <v>3699</v>
      </c>
      <c r="H125" s="273">
        <v>56.784999999999997</v>
      </c>
      <c r="I125" s="260">
        <v>113.57</v>
      </c>
    </row>
    <row r="126" spans="1:9">
      <c r="A126" s="255">
        <v>46226</v>
      </c>
      <c r="B126" s="282" t="s">
        <v>3792</v>
      </c>
      <c r="C126" s="219" t="s">
        <v>4800</v>
      </c>
      <c r="D126" s="218"/>
      <c r="E126" s="276" t="s">
        <v>4745</v>
      </c>
      <c r="F126" s="274">
        <v>2</v>
      </c>
      <c r="G126" s="259" t="s">
        <v>3699</v>
      </c>
      <c r="H126" s="273">
        <v>39.844999999999999</v>
      </c>
      <c r="I126" s="260">
        <v>79.69</v>
      </c>
    </row>
    <row r="127" spans="1:9">
      <c r="A127" s="255">
        <v>46226</v>
      </c>
      <c r="B127" s="282" t="s">
        <v>3792</v>
      </c>
      <c r="C127" s="219" t="s">
        <v>4801</v>
      </c>
      <c r="D127" s="218"/>
      <c r="E127" s="276" t="s">
        <v>4746</v>
      </c>
      <c r="F127" s="274">
        <v>2</v>
      </c>
      <c r="G127" s="259" t="s">
        <v>3699</v>
      </c>
      <c r="H127" s="273">
        <v>56.784999999999997</v>
      </c>
      <c r="I127" s="260">
        <v>113.57</v>
      </c>
    </row>
    <row r="128" spans="1:9">
      <c r="A128" s="255">
        <v>46226</v>
      </c>
      <c r="B128" s="282" t="s">
        <v>3792</v>
      </c>
      <c r="C128" s="219" t="s">
        <v>4802</v>
      </c>
      <c r="D128" s="218"/>
      <c r="E128" s="276" t="s">
        <v>4747</v>
      </c>
      <c r="F128" s="274">
        <v>2</v>
      </c>
      <c r="G128" s="259" t="s">
        <v>3699</v>
      </c>
      <c r="H128" s="273">
        <v>39.844999999999999</v>
      </c>
      <c r="I128" s="260">
        <v>79.69</v>
      </c>
    </row>
    <row r="129" spans="1:9">
      <c r="A129" s="255">
        <v>46226</v>
      </c>
      <c r="B129" s="282" t="s">
        <v>3792</v>
      </c>
      <c r="C129" s="219" t="s">
        <v>4803</v>
      </c>
      <c r="D129" s="218"/>
      <c r="E129" s="276" t="s">
        <v>4748</v>
      </c>
      <c r="F129" s="274">
        <v>2</v>
      </c>
      <c r="G129" s="259" t="s">
        <v>3699</v>
      </c>
      <c r="H129" s="273">
        <v>39.844999999999999</v>
      </c>
      <c r="I129" s="260">
        <v>79.69</v>
      </c>
    </row>
    <row r="130" spans="1:9">
      <c r="A130" s="255">
        <v>46227</v>
      </c>
      <c r="B130" s="282" t="s">
        <v>3778</v>
      </c>
      <c r="C130" s="219" t="s">
        <v>2488</v>
      </c>
      <c r="D130" s="218"/>
      <c r="E130" s="276" t="s">
        <v>2489</v>
      </c>
      <c r="F130" s="274">
        <v>12</v>
      </c>
      <c r="G130" s="259" t="s">
        <v>3699</v>
      </c>
      <c r="H130" s="277">
        <v>217.65</v>
      </c>
      <c r="I130" s="260">
        <v>2611.8000000000002</v>
      </c>
    </row>
    <row r="131" spans="1:9">
      <c r="A131" s="255">
        <v>46227</v>
      </c>
      <c r="B131" s="282" t="s">
        <v>3778</v>
      </c>
      <c r="C131" s="219" t="s">
        <v>1927</v>
      </c>
      <c r="D131" s="218"/>
      <c r="E131" s="276" t="s">
        <v>1928</v>
      </c>
      <c r="F131" s="274">
        <v>6</v>
      </c>
      <c r="G131" s="259" t="s">
        <v>3699</v>
      </c>
      <c r="H131" s="277">
        <v>52.35</v>
      </c>
      <c r="I131" s="260">
        <v>314.10000000000002</v>
      </c>
    </row>
    <row r="132" spans="1:9">
      <c r="A132" s="255">
        <v>46227</v>
      </c>
      <c r="B132" s="282" t="s">
        <v>3778</v>
      </c>
      <c r="C132" s="219" t="s">
        <v>4804</v>
      </c>
      <c r="D132" s="218"/>
      <c r="E132" s="276" t="s">
        <v>4749</v>
      </c>
      <c r="F132" s="274">
        <v>6</v>
      </c>
      <c r="G132" s="259" t="s">
        <v>3699</v>
      </c>
      <c r="H132" s="277">
        <v>52.35</v>
      </c>
      <c r="I132" s="260">
        <v>314.10000000000002</v>
      </c>
    </row>
    <row r="133" spans="1:9">
      <c r="A133" s="255">
        <v>46227</v>
      </c>
      <c r="B133" s="282" t="s">
        <v>3778</v>
      </c>
      <c r="C133" s="219" t="s">
        <v>1315</v>
      </c>
      <c r="D133" s="218"/>
      <c r="E133" s="276" t="s">
        <v>1316</v>
      </c>
      <c r="F133" s="274">
        <v>12</v>
      </c>
      <c r="G133" s="259" t="s">
        <v>3699</v>
      </c>
      <c r="H133" s="277">
        <v>66.5</v>
      </c>
      <c r="I133" s="260">
        <v>798</v>
      </c>
    </row>
    <row r="134" spans="1:9">
      <c r="A134" s="255">
        <v>46227</v>
      </c>
      <c r="B134" s="282" t="s">
        <v>3778</v>
      </c>
      <c r="C134" s="219" t="s">
        <v>1317</v>
      </c>
      <c r="D134" s="218"/>
      <c r="E134" s="276" t="s">
        <v>1318</v>
      </c>
      <c r="F134" s="274">
        <v>16</v>
      </c>
      <c r="G134" s="259" t="s">
        <v>3699</v>
      </c>
      <c r="H134" s="277">
        <v>132.80000000000001</v>
      </c>
      <c r="I134" s="260">
        <v>2124.8000000000002</v>
      </c>
    </row>
    <row r="135" spans="1:9">
      <c r="A135" s="255">
        <v>46227</v>
      </c>
      <c r="B135" s="282" t="s">
        <v>3706</v>
      </c>
      <c r="C135" s="219" t="s">
        <v>497</v>
      </c>
      <c r="D135" s="218"/>
      <c r="E135" s="276" t="s">
        <v>498</v>
      </c>
      <c r="F135" s="274">
        <v>5</v>
      </c>
      <c r="G135" s="259" t="s">
        <v>3699</v>
      </c>
      <c r="H135" s="277">
        <v>57.41</v>
      </c>
      <c r="I135" s="260">
        <v>287.05</v>
      </c>
    </row>
    <row r="136" spans="1:9">
      <c r="A136" s="255">
        <v>46227</v>
      </c>
      <c r="B136" s="282" t="s">
        <v>3706</v>
      </c>
      <c r="C136" s="219" t="s">
        <v>501</v>
      </c>
      <c r="D136" s="218"/>
      <c r="E136" s="276" t="s">
        <v>502</v>
      </c>
      <c r="F136" s="274">
        <v>5</v>
      </c>
      <c r="G136" s="259" t="s">
        <v>3699</v>
      </c>
      <c r="H136" s="277">
        <v>57.41</v>
      </c>
      <c r="I136" s="260">
        <v>287.05</v>
      </c>
    </row>
    <row r="137" spans="1:9">
      <c r="A137" s="255">
        <v>46227</v>
      </c>
      <c r="B137" s="282" t="s">
        <v>3706</v>
      </c>
      <c r="C137" s="219" t="s">
        <v>375</v>
      </c>
      <c r="D137" s="218"/>
      <c r="E137" s="276" t="s">
        <v>376</v>
      </c>
      <c r="F137" s="274">
        <v>15</v>
      </c>
      <c r="G137" s="259" t="s">
        <v>3699</v>
      </c>
      <c r="H137" s="277">
        <v>44.8</v>
      </c>
      <c r="I137" s="260">
        <v>672</v>
      </c>
    </row>
    <row r="138" spans="1:9">
      <c r="A138" s="255">
        <v>46227</v>
      </c>
      <c r="B138" s="282" t="s">
        <v>3706</v>
      </c>
      <c r="C138" s="219" t="s">
        <v>377</v>
      </c>
      <c r="D138" s="218"/>
      <c r="E138" s="276" t="s">
        <v>378</v>
      </c>
      <c r="F138" s="274">
        <v>10</v>
      </c>
      <c r="G138" s="259" t="s">
        <v>3699</v>
      </c>
      <c r="H138" s="277">
        <v>44.8</v>
      </c>
      <c r="I138" s="260">
        <v>448</v>
      </c>
    </row>
    <row r="139" spans="1:9">
      <c r="A139" s="255">
        <v>46227</v>
      </c>
      <c r="B139" s="282" t="s">
        <v>3706</v>
      </c>
      <c r="C139" s="219" t="s">
        <v>3898</v>
      </c>
      <c r="D139" s="218"/>
      <c r="E139" s="276" t="s">
        <v>4448</v>
      </c>
      <c r="F139" s="274">
        <v>5</v>
      </c>
      <c r="G139" s="259" t="s">
        <v>3699</v>
      </c>
      <c r="H139" s="277">
        <v>61.5</v>
      </c>
      <c r="I139" s="260">
        <v>307.5</v>
      </c>
    </row>
    <row r="140" spans="1:9">
      <c r="A140" s="255">
        <v>46227</v>
      </c>
      <c r="B140" s="282" t="s">
        <v>3706</v>
      </c>
      <c r="C140" s="219" t="s">
        <v>4805</v>
      </c>
      <c r="D140" s="218"/>
      <c r="E140" s="276" t="s">
        <v>4750</v>
      </c>
      <c r="F140" s="274">
        <v>10</v>
      </c>
      <c r="G140" s="259" t="s">
        <v>3699</v>
      </c>
      <c r="H140" s="277">
        <v>32</v>
      </c>
      <c r="I140" s="260">
        <v>320</v>
      </c>
    </row>
    <row r="141" spans="1:9">
      <c r="A141" s="255">
        <v>46227</v>
      </c>
      <c r="B141" s="282" t="s">
        <v>3706</v>
      </c>
      <c r="C141" s="219" t="s">
        <v>831</v>
      </c>
      <c r="D141" s="218"/>
      <c r="E141" s="276" t="s">
        <v>832</v>
      </c>
      <c r="F141" s="274">
        <v>5</v>
      </c>
      <c r="G141" s="259" t="s">
        <v>3699</v>
      </c>
      <c r="H141" s="277">
        <v>42</v>
      </c>
      <c r="I141" s="260">
        <v>210</v>
      </c>
    </row>
    <row r="142" spans="1:9">
      <c r="A142" s="255">
        <v>46227</v>
      </c>
      <c r="B142" s="282" t="s">
        <v>3779</v>
      </c>
      <c r="C142" s="219" t="s">
        <v>452</v>
      </c>
      <c r="D142" s="218"/>
      <c r="E142" s="276" t="s">
        <v>453</v>
      </c>
      <c r="F142" s="274">
        <v>1</v>
      </c>
      <c r="G142" s="259" t="s">
        <v>3699</v>
      </c>
      <c r="H142" s="277">
        <v>58.45</v>
      </c>
      <c r="I142" s="260">
        <v>58.45</v>
      </c>
    </row>
    <row r="143" spans="1:9">
      <c r="A143" s="255">
        <v>46227</v>
      </c>
      <c r="B143" s="282" t="s">
        <v>3779</v>
      </c>
      <c r="C143" s="219" t="s">
        <v>454</v>
      </c>
      <c r="D143" s="218"/>
      <c r="E143" s="276" t="s">
        <v>455</v>
      </c>
      <c r="F143" s="274">
        <v>3</v>
      </c>
      <c r="G143" s="259" t="s">
        <v>3699</v>
      </c>
      <c r="H143" s="277">
        <v>84.8</v>
      </c>
      <c r="I143" s="260">
        <v>254.4</v>
      </c>
    </row>
    <row r="144" spans="1:9">
      <c r="A144" s="255">
        <v>46227</v>
      </c>
      <c r="B144" s="282" t="s">
        <v>3779</v>
      </c>
      <c r="C144" s="219" t="s">
        <v>446</v>
      </c>
      <c r="D144" s="218"/>
      <c r="E144" s="276" t="s">
        <v>447</v>
      </c>
      <c r="F144" s="274">
        <v>2</v>
      </c>
      <c r="G144" s="259" t="s">
        <v>3699</v>
      </c>
      <c r="H144" s="277">
        <v>65</v>
      </c>
      <c r="I144" s="260">
        <v>130</v>
      </c>
    </row>
    <row r="145" spans="1:9">
      <c r="A145" s="255">
        <v>46231</v>
      </c>
      <c r="B145" s="282" t="s">
        <v>3701</v>
      </c>
      <c r="C145" s="219" t="s">
        <v>3625</v>
      </c>
      <c r="D145" s="218"/>
      <c r="E145" s="276" t="s">
        <v>3626</v>
      </c>
      <c r="F145" s="274">
        <v>4</v>
      </c>
      <c r="G145" s="259" t="s">
        <v>3699</v>
      </c>
      <c r="H145" s="277">
        <v>759.98</v>
      </c>
      <c r="I145" s="260">
        <v>3039.92</v>
      </c>
    </row>
    <row r="146" spans="1:9">
      <c r="A146" s="255">
        <v>46231</v>
      </c>
      <c r="B146" s="282" t="s">
        <v>3701</v>
      </c>
      <c r="C146" s="219" t="s">
        <v>1092</v>
      </c>
      <c r="D146" s="218"/>
      <c r="E146" s="276" t="s">
        <v>1093</v>
      </c>
      <c r="F146" s="274">
        <v>24</v>
      </c>
      <c r="G146" s="259" t="s">
        <v>3699</v>
      </c>
      <c r="H146" s="277">
        <v>9</v>
      </c>
      <c r="I146" s="260">
        <v>216</v>
      </c>
    </row>
    <row r="147" spans="1:9">
      <c r="A147" s="255">
        <v>46231</v>
      </c>
      <c r="B147" s="282" t="s">
        <v>3701</v>
      </c>
      <c r="C147" s="219" t="s">
        <v>1123</v>
      </c>
      <c r="D147" s="218"/>
      <c r="E147" s="276" t="s">
        <v>1124</v>
      </c>
      <c r="F147" s="274">
        <v>24</v>
      </c>
      <c r="G147" s="259" t="s">
        <v>3699</v>
      </c>
      <c r="H147" s="277">
        <v>14.75</v>
      </c>
      <c r="I147" s="260">
        <v>354</v>
      </c>
    </row>
    <row r="148" spans="1:9">
      <c r="A148" s="255">
        <v>46231</v>
      </c>
      <c r="B148" s="282" t="s">
        <v>3701</v>
      </c>
      <c r="C148" s="219" t="s">
        <v>1133</v>
      </c>
      <c r="D148" s="218"/>
      <c r="E148" s="276" t="s">
        <v>1134</v>
      </c>
      <c r="F148" s="274">
        <v>24</v>
      </c>
      <c r="G148" s="259" t="s">
        <v>3699</v>
      </c>
      <c r="H148" s="277">
        <v>14.75</v>
      </c>
      <c r="I148" s="260">
        <v>354</v>
      </c>
    </row>
    <row r="149" spans="1:9">
      <c r="A149" s="255">
        <v>46231</v>
      </c>
      <c r="B149" s="282" t="s">
        <v>3701</v>
      </c>
      <c r="C149" s="219" t="s">
        <v>1135</v>
      </c>
      <c r="D149" s="218"/>
      <c r="E149" s="276" t="s">
        <v>1136</v>
      </c>
      <c r="F149" s="274">
        <v>12</v>
      </c>
      <c r="G149" s="259" t="s">
        <v>3699</v>
      </c>
      <c r="H149" s="277">
        <v>19</v>
      </c>
      <c r="I149" s="260">
        <v>228</v>
      </c>
    </row>
    <row r="150" spans="1:9">
      <c r="A150" s="255">
        <v>46231</v>
      </c>
      <c r="B150" s="282" t="s">
        <v>3701</v>
      </c>
      <c r="C150" s="219" t="s">
        <v>1131</v>
      </c>
      <c r="D150" s="218"/>
      <c r="E150" s="276" t="s">
        <v>1132</v>
      </c>
      <c r="F150" s="274">
        <v>12</v>
      </c>
      <c r="G150" s="259" t="s">
        <v>3699</v>
      </c>
      <c r="H150" s="277">
        <v>19</v>
      </c>
      <c r="I150" s="260">
        <v>228</v>
      </c>
    </row>
    <row r="151" spans="1:9">
      <c r="A151" s="255">
        <v>46231</v>
      </c>
      <c r="B151" s="282" t="s">
        <v>3701</v>
      </c>
      <c r="C151" s="219" t="s">
        <v>1141</v>
      </c>
      <c r="D151" s="218"/>
      <c r="E151" s="276" t="s">
        <v>1142</v>
      </c>
      <c r="F151" s="274">
        <v>12</v>
      </c>
      <c r="G151" s="259" t="s">
        <v>3699</v>
      </c>
      <c r="H151" s="277">
        <v>19</v>
      </c>
      <c r="I151" s="260">
        <v>228</v>
      </c>
    </row>
    <row r="152" spans="1:9">
      <c r="A152" s="255">
        <v>46231</v>
      </c>
      <c r="B152" s="282" t="s">
        <v>3701</v>
      </c>
      <c r="C152" s="219" t="s">
        <v>1126</v>
      </c>
      <c r="D152" s="218"/>
      <c r="E152" s="276" t="s">
        <v>1127</v>
      </c>
      <c r="F152" s="274">
        <v>12</v>
      </c>
      <c r="G152" s="259" t="s">
        <v>3699</v>
      </c>
      <c r="H152" s="277">
        <v>19</v>
      </c>
      <c r="I152" s="260">
        <v>228</v>
      </c>
    </row>
    <row r="153" spans="1:9">
      <c r="A153" s="255">
        <v>46231</v>
      </c>
      <c r="B153" s="282" t="s">
        <v>3701</v>
      </c>
      <c r="C153" s="219" t="s">
        <v>418</v>
      </c>
      <c r="D153" s="218"/>
      <c r="E153" s="276" t="s">
        <v>419</v>
      </c>
      <c r="F153" s="274">
        <v>6</v>
      </c>
      <c r="G153" s="259" t="s">
        <v>3700</v>
      </c>
      <c r="H153" s="277">
        <v>67.75</v>
      </c>
      <c r="I153" s="260">
        <v>406.5</v>
      </c>
    </row>
    <row r="154" spans="1:9">
      <c r="A154" s="255">
        <v>46231</v>
      </c>
      <c r="B154" s="282" t="s">
        <v>3701</v>
      </c>
      <c r="C154" s="219" t="s">
        <v>420</v>
      </c>
      <c r="D154" s="218"/>
      <c r="E154" s="276" t="s">
        <v>421</v>
      </c>
      <c r="F154" s="274">
        <v>6</v>
      </c>
      <c r="G154" s="259" t="s">
        <v>3700</v>
      </c>
      <c r="H154" s="277">
        <v>67.75</v>
      </c>
      <c r="I154" s="260">
        <v>406.5</v>
      </c>
    </row>
    <row r="155" spans="1:9">
      <c r="A155" s="255">
        <v>46231</v>
      </c>
      <c r="B155" s="282" t="s">
        <v>3701</v>
      </c>
      <c r="C155" s="219" t="s">
        <v>416</v>
      </c>
      <c r="D155" s="218"/>
      <c r="E155" s="276" t="s">
        <v>417</v>
      </c>
      <c r="F155" s="274">
        <v>6</v>
      </c>
      <c r="G155" s="259" t="s">
        <v>3700</v>
      </c>
      <c r="H155" s="277">
        <v>58.2</v>
      </c>
      <c r="I155" s="260">
        <v>349.2</v>
      </c>
    </row>
    <row r="156" spans="1:9">
      <c r="A156" s="255">
        <v>46231</v>
      </c>
      <c r="B156" s="282" t="s">
        <v>3701</v>
      </c>
      <c r="C156" s="219" t="s">
        <v>650</v>
      </c>
      <c r="D156" s="218"/>
      <c r="E156" s="276" t="s">
        <v>651</v>
      </c>
      <c r="F156" s="274">
        <v>6</v>
      </c>
      <c r="G156" s="259" t="s">
        <v>3700</v>
      </c>
      <c r="H156" s="277">
        <v>68.5</v>
      </c>
      <c r="I156" s="260">
        <v>411</v>
      </c>
    </row>
    <row r="157" spans="1:9">
      <c r="A157" s="255">
        <v>46231</v>
      </c>
      <c r="B157" s="282" t="s">
        <v>3701</v>
      </c>
      <c r="C157" s="219" t="s">
        <v>664</v>
      </c>
      <c r="D157" s="218"/>
      <c r="E157" s="276" t="s">
        <v>665</v>
      </c>
      <c r="F157" s="274">
        <v>6</v>
      </c>
      <c r="G157" s="259" t="s">
        <v>3700</v>
      </c>
      <c r="H157" s="273">
        <v>68.5</v>
      </c>
      <c r="I157" s="260">
        <v>411</v>
      </c>
    </row>
    <row r="158" spans="1:9">
      <c r="A158" s="255">
        <v>46231</v>
      </c>
      <c r="B158" s="282" t="s">
        <v>3701</v>
      </c>
      <c r="C158" s="219" t="s">
        <v>371</v>
      </c>
      <c r="D158" s="218"/>
      <c r="E158" s="276" t="s">
        <v>372</v>
      </c>
      <c r="F158" s="274">
        <v>6</v>
      </c>
      <c r="G158" s="259" t="s">
        <v>3700</v>
      </c>
      <c r="H158" s="273">
        <v>59.3</v>
      </c>
      <c r="I158" s="260">
        <v>355.8</v>
      </c>
    </row>
    <row r="159" spans="1:9">
      <c r="A159" s="255">
        <v>46231</v>
      </c>
      <c r="B159" s="282" t="s">
        <v>3701</v>
      </c>
      <c r="C159" s="219" t="s">
        <v>369</v>
      </c>
      <c r="D159" s="218"/>
      <c r="E159" s="276" t="s">
        <v>370</v>
      </c>
      <c r="F159" s="274">
        <v>6</v>
      </c>
      <c r="G159" s="259" t="s">
        <v>3700</v>
      </c>
      <c r="H159" s="273">
        <v>39.15</v>
      </c>
      <c r="I159" s="260">
        <v>234.9</v>
      </c>
    </row>
    <row r="160" spans="1:9">
      <c r="A160" s="255">
        <v>46231</v>
      </c>
      <c r="B160" s="282" t="s">
        <v>3701</v>
      </c>
      <c r="C160" s="219" t="s">
        <v>558</v>
      </c>
      <c r="D160" s="218"/>
      <c r="E160" s="276" t="s">
        <v>559</v>
      </c>
      <c r="F160" s="274">
        <v>6</v>
      </c>
      <c r="G160" s="259" t="s">
        <v>3700</v>
      </c>
      <c r="H160" s="273">
        <v>85.25</v>
      </c>
      <c r="I160" s="260">
        <v>511.5</v>
      </c>
    </row>
    <row r="161" spans="1:9">
      <c r="A161" s="255">
        <v>46231</v>
      </c>
      <c r="B161" s="282" t="s">
        <v>3701</v>
      </c>
      <c r="C161" s="219" t="s">
        <v>562</v>
      </c>
      <c r="D161" s="218"/>
      <c r="E161" s="276" t="s">
        <v>563</v>
      </c>
      <c r="F161" s="274">
        <v>3</v>
      </c>
      <c r="G161" s="259" t="s">
        <v>3700</v>
      </c>
      <c r="H161" s="273">
        <v>185</v>
      </c>
      <c r="I161" s="260">
        <v>555</v>
      </c>
    </row>
    <row r="162" spans="1:9">
      <c r="A162" s="255">
        <v>46231</v>
      </c>
      <c r="B162" s="282" t="s">
        <v>3701</v>
      </c>
      <c r="C162" s="219" t="s">
        <v>1604</v>
      </c>
      <c r="D162" s="218"/>
      <c r="E162" s="276" t="s">
        <v>1605</v>
      </c>
      <c r="F162" s="274">
        <v>60</v>
      </c>
      <c r="G162" s="259" t="s">
        <v>3699</v>
      </c>
      <c r="H162" s="273">
        <v>21.84</v>
      </c>
      <c r="I162" s="260">
        <v>1310.4000000000001</v>
      </c>
    </row>
    <row r="163" spans="1:9">
      <c r="A163" s="255">
        <v>46231</v>
      </c>
      <c r="B163" s="282" t="s">
        <v>3701</v>
      </c>
      <c r="C163" s="219" t="s">
        <v>1610</v>
      </c>
      <c r="D163" s="218"/>
      <c r="E163" s="276" t="s">
        <v>1611</v>
      </c>
      <c r="F163" s="274">
        <v>24</v>
      </c>
      <c r="G163" s="259" t="s">
        <v>3699</v>
      </c>
      <c r="H163" s="273">
        <v>37.47</v>
      </c>
      <c r="I163" s="260">
        <v>899.28</v>
      </c>
    </row>
    <row r="164" spans="1:9">
      <c r="A164" s="255">
        <v>46231</v>
      </c>
      <c r="B164" s="282" t="s">
        <v>3701</v>
      </c>
      <c r="C164" s="219" t="s">
        <v>1622</v>
      </c>
      <c r="D164" s="218"/>
      <c r="E164" s="276" t="s">
        <v>1623</v>
      </c>
      <c r="F164" s="274">
        <v>24</v>
      </c>
      <c r="G164" s="259" t="s">
        <v>3699</v>
      </c>
      <c r="H164" s="273">
        <v>39.33</v>
      </c>
      <c r="I164" s="260">
        <v>943.92</v>
      </c>
    </row>
    <row r="165" spans="1:9">
      <c r="A165" s="255">
        <v>46232</v>
      </c>
      <c r="B165" s="282" t="s">
        <v>3698</v>
      </c>
      <c r="C165" s="219" t="s">
        <v>1570</v>
      </c>
      <c r="D165" s="218"/>
      <c r="E165" s="276" t="s">
        <v>1571</v>
      </c>
      <c r="F165" s="274">
        <v>60</v>
      </c>
      <c r="G165" s="259" t="s">
        <v>3699</v>
      </c>
      <c r="H165" s="273">
        <v>51.968899999999998</v>
      </c>
      <c r="I165" s="260">
        <v>3118.134</v>
      </c>
    </row>
    <row r="166" spans="1:9">
      <c r="A166" s="255">
        <v>46232</v>
      </c>
      <c r="B166" s="282" t="s">
        <v>3698</v>
      </c>
      <c r="C166" s="219" t="s">
        <v>1560</v>
      </c>
      <c r="D166" s="218"/>
      <c r="E166" s="276" t="s">
        <v>1561</v>
      </c>
      <c r="F166" s="274">
        <v>144</v>
      </c>
      <c r="G166" s="259" t="s">
        <v>3699</v>
      </c>
      <c r="H166" s="273">
        <v>6.12</v>
      </c>
      <c r="I166" s="260">
        <v>881.28</v>
      </c>
    </row>
    <row r="167" spans="1:9">
      <c r="A167" s="255">
        <v>46232</v>
      </c>
      <c r="B167" s="283" t="s">
        <v>4694</v>
      </c>
      <c r="C167" s="219" t="s">
        <v>2449</v>
      </c>
      <c r="D167" s="218"/>
      <c r="E167" s="276" t="s">
        <v>2450</v>
      </c>
      <c r="F167" s="274">
        <v>6</v>
      </c>
      <c r="G167" s="259" t="s">
        <v>3699</v>
      </c>
      <c r="H167" s="277">
        <v>6.3448000000000002</v>
      </c>
      <c r="I167" s="260">
        <v>38.068800000000003</v>
      </c>
    </row>
    <row r="168" spans="1:9">
      <c r="A168" s="255">
        <v>46232</v>
      </c>
      <c r="B168" s="283" t="s">
        <v>4694</v>
      </c>
      <c r="C168" s="219" t="s">
        <v>4806</v>
      </c>
      <c r="D168" s="218"/>
      <c r="E168" s="276" t="s">
        <v>4751</v>
      </c>
      <c r="F168" s="274">
        <v>6</v>
      </c>
      <c r="G168" s="259" t="s">
        <v>3699</v>
      </c>
      <c r="H168" s="277">
        <v>6.3448000000000002</v>
      </c>
      <c r="I168" s="260">
        <v>38.068800000000003</v>
      </c>
    </row>
    <row r="169" spans="1:9">
      <c r="A169" s="255">
        <v>46232</v>
      </c>
      <c r="B169" s="283" t="s">
        <v>4694</v>
      </c>
      <c r="C169" s="219" t="s">
        <v>2455</v>
      </c>
      <c r="D169" s="218"/>
      <c r="E169" s="276" t="s">
        <v>2456</v>
      </c>
      <c r="F169" s="274">
        <v>8</v>
      </c>
      <c r="G169" s="259" t="s">
        <v>3699</v>
      </c>
      <c r="H169" s="277">
        <v>155.63999999999999</v>
      </c>
      <c r="I169" s="260">
        <v>1245.1199999999999</v>
      </c>
    </row>
    <row r="170" spans="1:9">
      <c r="A170" s="255">
        <v>46232</v>
      </c>
      <c r="B170" s="283" t="s">
        <v>4694</v>
      </c>
      <c r="C170" s="219" t="s">
        <v>2469</v>
      </c>
      <c r="D170" s="218"/>
      <c r="E170" s="276" t="s">
        <v>2470</v>
      </c>
      <c r="F170" s="274">
        <v>16</v>
      </c>
      <c r="G170" s="259" t="s">
        <v>3699</v>
      </c>
      <c r="H170" s="277">
        <v>160.51</v>
      </c>
      <c r="I170" s="260">
        <v>2568.16</v>
      </c>
    </row>
    <row r="171" spans="1:9">
      <c r="A171" s="255">
        <v>46232</v>
      </c>
      <c r="B171" s="283" t="s">
        <v>4694</v>
      </c>
      <c r="C171" s="219" t="s">
        <v>2511</v>
      </c>
      <c r="D171" s="218"/>
      <c r="E171" s="276" t="s">
        <v>2512</v>
      </c>
      <c r="F171" s="274">
        <v>16</v>
      </c>
      <c r="G171" s="259" t="s">
        <v>3699</v>
      </c>
      <c r="H171" s="277">
        <v>144.30799999999999</v>
      </c>
      <c r="I171" s="260">
        <v>2308.9279999999999</v>
      </c>
    </row>
    <row r="172" spans="1:9">
      <c r="A172" s="255">
        <v>46232</v>
      </c>
      <c r="B172" s="283" t="s">
        <v>4694</v>
      </c>
      <c r="C172" s="219" t="s">
        <v>4807</v>
      </c>
      <c r="D172" s="218"/>
      <c r="E172" s="276" t="s">
        <v>4752</v>
      </c>
      <c r="F172" s="274">
        <v>1</v>
      </c>
      <c r="G172" s="259" t="s">
        <v>3699</v>
      </c>
      <c r="H172" s="277">
        <v>50.086399999999998</v>
      </c>
      <c r="I172" s="260">
        <v>50.086399999999998</v>
      </c>
    </row>
    <row r="173" spans="1:9">
      <c r="A173" s="255">
        <v>46232</v>
      </c>
      <c r="B173" s="283" t="s">
        <v>4694</v>
      </c>
      <c r="C173" s="219" t="s">
        <v>2633</v>
      </c>
      <c r="D173" s="218"/>
      <c r="E173" s="276" t="s">
        <v>2634</v>
      </c>
      <c r="F173" s="274">
        <v>6</v>
      </c>
      <c r="G173" s="259" t="s">
        <v>3699</v>
      </c>
      <c r="H173" s="277">
        <v>14.9185</v>
      </c>
      <c r="I173" s="260">
        <v>89.510999999999996</v>
      </c>
    </row>
    <row r="174" spans="1:9">
      <c r="A174" s="255">
        <v>46232</v>
      </c>
      <c r="B174" s="283" t="s">
        <v>4694</v>
      </c>
      <c r="C174" s="219" t="s">
        <v>2635</v>
      </c>
      <c r="D174" s="218"/>
      <c r="E174" s="276" t="s">
        <v>2636</v>
      </c>
      <c r="F174" s="274">
        <v>6</v>
      </c>
      <c r="G174" s="259" t="s">
        <v>3700</v>
      </c>
      <c r="H174" s="277">
        <v>14.92</v>
      </c>
      <c r="I174" s="260">
        <v>89.52</v>
      </c>
    </row>
    <row r="175" spans="1:9">
      <c r="A175" s="255">
        <v>46232</v>
      </c>
      <c r="B175" s="283" t="s">
        <v>4694</v>
      </c>
      <c r="C175" s="219" t="s">
        <v>2372</v>
      </c>
      <c r="D175" s="218"/>
      <c r="E175" s="276" t="s">
        <v>2373</v>
      </c>
      <c r="F175" s="274">
        <v>6</v>
      </c>
      <c r="G175" s="259" t="s">
        <v>3699</v>
      </c>
      <c r="H175" s="277">
        <v>14.917999999999999</v>
      </c>
      <c r="I175" s="260">
        <v>89.507999999999996</v>
      </c>
    </row>
    <row r="176" spans="1:9">
      <c r="A176" s="255">
        <v>46232</v>
      </c>
      <c r="B176" s="283" t="s">
        <v>4694</v>
      </c>
      <c r="C176" s="219" t="s">
        <v>2368</v>
      </c>
      <c r="D176" s="218"/>
      <c r="E176" s="276" t="s">
        <v>2369</v>
      </c>
      <c r="F176" s="274">
        <v>6</v>
      </c>
      <c r="G176" s="259" t="s">
        <v>3699</v>
      </c>
      <c r="H176" s="277">
        <v>14.917999999999999</v>
      </c>
      <c r="I176" s="260">
        <v>89.507999999999996</v>
      </c>
    </row>
    <row r="177" spans="1:9">
      <c r="A177" s="255">
        <v>46232</v>
      </c>
      <c r="B177" s="283" t="s">
        <v>4694</v>
      </c>
      <c r="C177" s="219" t="s">
        <v>2366</v>
      </c>
      <c r="D177" s="218"/>
      <c r="E177" s="276" t="s">
        <v>2367</v>
      </c>
      <c r="F177" s="274">
        <v>6</v>
      </c>
      <c r="G177" s="259" t="s">
        <v>3700</v>
      </c>
      <c r="H177" s="277">
        <v>14.917999999999999</v>
      </c>
      <c r="I177" s="260">
        <v>89.507999999999996</v>
      </c>
    </row>
    <row r="178" spans="1:9">
      <c r="A178" s="255">
        <v>46232</v>
      </c>
      <c r="B178" s="283" t="s">
        <v>4694</v>
      </c>
      <c r="C178" s="219" t="s">
        <v>2461</v>
      </c>
      <c r="D178" s="218"/>
      <c r="E178" s="276" t="s">
        <v>2462</v>
      </c>
      <c r="F178" s="274">
        <v>6</v>
      </c>
      <c r="G178" s="259" t="s">
        <v>3699</v>
      </c>
      <c r="H178" s="277">
        <v>6.3490000000000002</v>
      </c>
      <c r="I178" s="260">
        <v>38.094000000000001</v>
      </c>
    </row>
    <row r="179" spans="1:9">
      <c r="A179" s="255">
        <v>46232</v>
      </c>
      <c r="B179" s="283" t="s">
        <v>4694</v>
      </c>
      <c r="C179" s="219" t="s">
        <v>2463</v>
      </c>
      <c r="D179" s="219"/>
      <c r="E179" s="276" t="s">
        <v>2464</v>
      </c>
      <c r="F179" s="274">
        <v>6</v>
      </c>
      <c r="G179" s="259" t="s">
        <v>3699</v>
      </c>
      <c r="H179" s="277">
        <v>6.3490000000000002</v>
      </c>
      <c r="I179" s="260">
        <v>38.094000000000001</v>
      </c>
    </row>
    <row r="180" spans="1:9">
      <c r="A180" s="255">
        <v>46232</v>
      </c>
      <c r="B180" s="283" t="s">
        <v>4694</v>
      </c>
      <c r="C180" s="219" t="s">
        <v>2109</v>
      </c>
      <c r="D180" s="219"/>
      <c r="E180" s="276" t="s">
        <v>2110</v>
      </c>
      <c r="F180" s="274">
        <v>12</v>
      </c>
      <c r="G180" s="259" t="s">
        <v>3700</v>
      </c>
      <c r="H180" s="277">
        <v>6.9619999999999997</v>
      </c>
      <c r="I180" s="260">
        <v>83.543999999999997</v>
      </c>
    </row>
    <row r="181" spans="1:9">
      <c r="A181" s="255">
        <v>46232</v>
      </c>
      <c r="B181" s="283" t="s">
        <v>4695</v>
      </c>
      <c r="C181" s="219" t="s">
        <v>3910</v>
      </c>
      <c r="D181" s="219"/>
      <c r="E181" s="276" t="s">
        <v>4612</v>
      </c>
      <c r="F181" s="274">
        <v>1</v>
      </c>
      <c r="G181" s="259" t="s">
        <v>3699</v>
      </c>
      <c r="H181" s="277">
        <v>22000</v>
      </c>
      <c r="I181" s="260">
        <v>22000</v>
      </c>
    </row>
    <row r="182" spans="1:9">
      <c r="A182" s="255">
        <v>46233</v>
      </c>
      <c r="B182" s="283" t="s">
        <v>3779</v>
      </c>
      <c r="C182" s="219" t="s">
        <v>452</v>
      </c>
      <c r="D182" s="219"/>
      <c r="E182" s="276" t="s">
        <v>453</v>
      </c>
      <c r="F182" s="274">
        <v>1</v>
      </c>
      <c r="G182" s="259" t="s">
        <v>3700</v>
      </c>
      <c r="H182" s="277">
        <v>58.45</v>
      </c>
      <c r="I182" s="260">
        <v>58.45</v>
      </c>
    </row>
    <row r="183" spans="1:9">
      <c r="A183" s="255">
        <v>46233</v>
      </c>
      <c r="B183" s="283" t="s">
        <v>3779</v>
      </c>
      <c r="C183" s="219" t="s">
        <v>454</v>
      </c>
      <c r="D183" s="219"/>
      <c r="E183" s="276" t="s">
        <v>455</v>
      </c>
      <c r="F183" s="274">
        <v>2</v>
      </c>
      <c r="G183" s="259" t="s">
        <v>3700</v>
      </c>
      <c r="H183" s="277">
        <v>84.8</v>
      </c>
      <c r="I183" s="260">
        <v>169.6</v>
      </c>
    </row>
    <row r="184" spans="1:9">
      <c r="A184" s="255">
        <v>46233</v>
      </c>
      <c r="B184" s="283" t="s">
        <v>3779</v>
      </c>
      <c r="C184" s="219" t="s">
        <v>458</v>
      </c>
      <c r="D184" s="219"/>
      <c r="E184" s="276" t="s">
        <v>459</v>
      </c>
      <c r="F184" s="274">
        <v>1</v>
      </c>
      <c r="G184" s="259" t="s">
        <v>3700</v>
      </c>
      <c r="H184" s="277">
        <v>72.95</v>
      </c>
      <c r="I184" s="260">
        <v>72.95</v>
      </c>
    </row>
    <row r="185" spans="1:9">
      <c r="A185" s="255">
        <v>46233</v>
      </c>
      <c r="B185" s="283" t="s">
        <v>3779</v>
      </c>
      <c r="C185" s="219" t="s">
        <v>462</v>
      </c>
      <c r="D185" s="219"/>
      <c r="E185" s="276" t="s">
        <v>463</v>
      </c>
      <c r="F185" s="274">
        <v>1</v>
      </c>
      <c r="G185" s="259" t="s">
        <v>3700</v>
      </c>
      <c r="H185" s="277">
        <v>97.95</v>
      </c>
      <c r="I185" s="260">
        <v>97.95</v>
      </c>
    </row>
    <row r="186" spans="1:9">
      <c r="A186" s="255">
        <v>46233</v>
      </c>
      <c r="B186" s="283" t="s">
        <v>3779</v>
      </c>
      <c r="C186" s="219" t="s">
        <v>446</v>
      </c>
      <c r="D186" s="219"/>
      <c r="E186" s="276" t="s">
        <v>447</v>
      </c>
      <c r="F186" s="274">
        <v>2</v>
      </c>
      <c r="G186" s="259" t="s">
        <v>3700</v>
      </c>
      <c r="H186" s="277">
        <v>65</v>
      </c>
      <c r="I186" s="260">
        <v>130</v>
      </c>
    </row>
    <row r="187" spans="1:9">
      <c r="A187" s="255">
        <v>46233</v>
      </c>
      <c r="B187" s="283" t="s">
        <v>3779</v>
      </c>
      <c r="C187" s="219" t="s">
        <v>472</v>
      </c>
      <c r="D187" s="219"/>
      <c r="E187" s="276" t="s">
        <v>473</v>
      </c>
      <c r="F187" s="274">
        <v>2</v>
      </c>
      <c r="G187" s="259" t="s">
        <v>3700</v>
      </c>
      <c r="H187" s="277">
        <v>53.9</v>
      </c>
      <c r="I187" s="260">
        <v>107.8</v>
      </c>
    </row>
    <row r="188" spans="1:9">
      <c r="A188" s="255">
        <v>46233</v>
      </c>
      <c r="B188" s="283" t="s">
        <v>3780</v>
      </c>
      <c r="C188" s="219" t="s">
        <v>267</v>
      </c>
      <c r="D188" s="219"/>
      <c r="E188" s="276" t="s">
        <v>268</v>
      </c>
      <c r="F188" s="274">
        <v>6</v>
      </c>
      <c r="G188" s="259" t="s">
        <v>3699</v>
      </c>
      <c r="H188" s="277">
        <v>60</v>
      </c>
      <c r="I188" s="260">
        <v>360</v>
      </c>
    </row>
    <row r="189" spans="1:9">
      <c r="A189" s="255">
        <v>46234</v>
      </c>
      <c r="B189" s="283" t="s">
        <v>3705</v>
      </c>
      <c r="C189" s="219" t="s">
        <v>108</v>
      </c>
      <c r="D189" s="219"/>
      <c r="E189" s="276" t="s">
        <v>109</v>
      </c>
      <c r="F189" s="274">
        <v>30</v>
      </c>
      <c r="G189" s="259" t="s">
        <v>3699</v>
      </c>
      <c r="H189" s="277">
        <v>7.056</v>
      </c>
      <c r="I189" s="260">
        <v>211.68</v>
      </c>
    </row>
    <row r="190" spans="1:9">
      <c r="A190" s="255">
        <v>46234</v>
      </c>
      <c r="B190" s="283" t="s">
        <v>3705</v>
      </c>
      <c r="C190" s="219" t="s">
        <v>269</v>
      </c>
      <c r="D190" s="219"/>
      <c r="E190" s="276" t="s">
        <v>270</v>
      </c>
      <c r="F190" s="274">
        <v>24</v>
      </c>
      <c r="G190" s="259" t="s">
        <v>3699</v>
      </c>
      <c r="H190" s="277">
        <v>15.512</v>
      </c>
      <c r="I190" s="260">
        <v>372.28800000000001</v>
      </c>
    </row>
    <row r="191" spans="1:9">
      <c r="A191" s="255">
        <v>46234</v>
      </c>
      <c r="B191" s="283" t="s">
        <v>3705</v>
      </c>
      <c r="C191" s="219" t="s">
        <v>279</v>
      </c>
      <c r="D191" s="219"/>
      <c r="E191" s="276" t="s">
        <v>280</v>
      </c>
      <c r="F191" s="274">
        <v>25</v>
      </c>
      <c r="G191" s="259" t="s">
        <v>3699</v>
      </c>
      <c r="H191" s="277">
        <v>32.256</v>
      </c>
      <c r="I191" s="260">
        <v>806.4</v>
      </c>
    </row>
    <row r="192" spans="1:9">
      <c r="A192" s="255">
        <v>46234</v>
      </c>
      <c r="B192" s="283" t="s">
        <v>3705</v>
      </c>
      <c r="C192" s="219" t="s">
        <v>281</v>
      </c>
      <c r="D192" s="219"/>
      <c r="E192" s="276" t="s">
        <v>282</v>
      </c>
      <c r="F192" s="274">
        <v>24</v>
      </c>
      <c r="G192" s="259" t="s">
        <v>3699</v>
      </c>
      <c r="H192" s="277">
        <v>15.512</v>
      </c>
      <c r="I192" s="260">
        <v>372.28800000000001</v>
      </c>
    </row>
    <row r="193" spans="1:9">
      <c r="A193" s="255">
        <v>46234</v>
      </c>
      <c r="B193" s="283" t="s">
        <v>4696</v>
      </c>
      <c r="C193" s="219" t="s">
        <v>2646</v>
      </c>
      <c r="D193" s="219"/>
      <c r="E193" s="276" t="s">
        <v>2647</v>
      </c>
      <c r="F193" s="274">
        <v>48</v>
      </c>
      <c r="G193" s="259" t="s">
        <v>3699</v>
      </c>
      <c r="H193" s="277">
        <v>166.145833333333</v>
      </c>
      <c r="I193" s="260">
        <v>7974.99999999998</v>
      </c>
    </row>
    <row r="194" spans="1:9">
      <c r="A194" s="255">
        <v>46234</v>
      </c>
      <c r="B194" s="283" t="s">
        <v>4696</v>
      </c>
      <c r="C194" s="219" t="s">
        <v>4808</v>
      </c>
      <c r="D194" s="219"/>
      <c r="E194" s="284" t="s">
        <v>4753</v>
      </c>
      <c r="F194" s="274">
        <v>1</v>
      </c>
      <c r="G194" s="259" t="s">
        <v>3699</v>
      </c>
      <c r="H194" s="277">
        <v>220</v>
      </c>
      <c r="I194" s="260">
        <v>220</v>
      </c>
    </row>
    <row r="195" spans="1:9">
      <c r="F195" s="230">
        <f>SUM(F4:F194)</f>
        <v>5589</v>
      </c>
      <c r="G195" s="244"/>
      <c r="H195" s="244">
        <f t="shared" ref="H195:I195" si="0">SUM(H4:H194)</f>
        <v>40720.004683333318</v>
      </c>
      <c r="I195" s="244">
        <f t="shared" si="0"/>
        <v>144198.29640000005</v>
      </c>
    </row>
    <row r="196" spans="1:9">
      <c r="G196" s="35"/>
      <c r="H196" s="35"/>
      <c r="I196" s="35"/>
    </row>
  </sheetData>
  <autoFilter ref="A3:J133" xr:uid="{9BC14642-28F3-4BCD-A3CB-04070708321C}"/>
  <mergeCells count="2">
    <mergeCell ref="A1:I1"/>
    <mergeCell ref="A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87C8-997F-498A-86CA-06EE5D12682E}">
  <sheetPr>
    <tabColor rgb="FF92D050"/>
  </sheetPr>
  <dimension ref="A1:H74"/>
  <sheetViews>
    <sheetView topLeftCell="A4" workbookViewId="0">
      <selection activeCell="E21" sqref="E21"/>
    </sheetView>
  </sheetViews>
  <sheetFormatPr defaultRowHeight="15"/>
  <cols>
    <col min="1" max="1" width="13.140625" style="164" customWidth="1"/>
    <col min="2" max="2" width="22" customWidth="1"/>
    <col min="3" max="3" width="17.5703125" customWidth="1"/>
    <col min="4" max="4" width="43.28515625" customWidth="1"/>
    <col min="5" max="5" width="10" style="4" customWidth="1"/>
  </cols>
  <sheetData>
    <row r="1" spans="1:8">
      <c r="A1" s="391" t="s">
        <v>3710</v>
      </c>
      <c r="B1" s="391"/>
      <c r="C1" s="391"/>
      <c r="D1" s="391"/>
      <c r="E1" s="391"/>
    </row>
    <row r="2" spans="1:8">
      <c r="A2" s="391" t="str">
        <f>PRINTING!B2</f>
        <v>AS OF JULY 2026</v>
      </c>
      <c r="B2" s="391"/>
      <c r="C2" s="391"/>
      <c r="D2" s="391"/>
      <c r="E2" s="391"/>
    </row>
    <row r="3" spans="1:8" s="4" customFormat="1">
      <c r="A3" s="162" t="s">
        <v>3695</v>
      </c>
      <c r="B3" s="163" t="s">
        <v>3696</v>
      </c>
      <c r="C3" s="163" t="s">
        <v>3</v>
      </c>
      <c r="D3" s="163" t="s">
        <v>3697</v>
      </c>
      <c r="E3" s="163" t="s">
        <v>47</v>
      </c>
      <c r="F3" s="163" t="s">
        <v>3712</v>
      </c>
      <c r="G3" s="4" t="s">
        <v>4814</v>
      </c>
      <c r="H3" s="4" t="s">
        <v>4815</v>
      </c>
    </row>
    <row r="4" spans="1:8" s="35" customFormat="1">
      <c r="A4" s="200">
        <v>46210</v>
      </c>
      <c r="B4" s="289" t="s">
        <v>4811</v>
      </c>
      <c r="C4" s="35" t="s">
        <v>3330</v>
      </c>
      <c r="D4" s="35" t="s">
        <v>3331</v>
      </c>
      <c r="E4" s="199">
        <v>10</v>
      </c>
      <c r="F4" s="289" t="s">
        <v>3811</v>
      </c>
      <c r="G4" s="292">
        <v>4.4800000000000004</v>
      </c>
      <c r="H4" s="292">
        <f>G4*E4</f>
        <v>44.800000000000004</v>
      </c>
    </row>
    <row r="5" spans="1:8" s="35" customFormat="1">
      <c r="A5" s="200"/>
      <c r="B5" s="289" t="s">
        <v>4812</v>
      </c>
      <c r="C5" s="35" t="s">
        <v>3854</v>
      </c>
      <c r="D5" s="35" t="s">
        <v>4053</v>
      </c>
      <c r="E5" s="199">
        <v>10</v>
      </c>
      <c r="F5" s="289" t="s">
        <v>3811</v>
      </c>
      <c r="G5" s="292">
        <v>5.8</v>
      </c>
      <c r="H5" s="292">
        <f t="shared" ref="H5:H51" si="0">G5*E5</f>
        <v>58</v>
      </c>
    </row>
    <row r="6" spans="1:8" s="35" customFormat="1">
      <c r="A6" s="200"/>
      <c r="B6" s="289" t="s">
        <v>4813</v>
      </c>
      <c r="C6" s="35" t="s">
        <v>3857</v>
      </c>
      <c r="D6" s="35" t="s">
        <v>4079</v>
      </c>
      <c r="E6" s="199">
        <v>24</v>
      </c>
      <c r="F6" s="289" t="s">
        <v>3811</v>
      </c>
      <c r="G6" s="292">
        <v>1</v>
      </c>
      <c r="H6" s="292">
        <f t="shared" si="0"/>
        <v>24</v>
      </c>
    </row>
    <row r="7" spans="1:8" s="35" customFormat="1">
      <c r="A7" s="200">
        <v>46241</v>
      </c>
      <c r="B7" s="289" t="s">
        <v>4811</v>
      </c>
      <c r="C7" s="35" t="s">
        <v>3856</v>
      </c>
      <c r="D7" s="288" t="s">
        <v>4816</v>
      </c>
      <c r="E7" s="199">
        <v>20</v>
      </c>
      <c r="F7" s="289" t="s">
        <v>3811</v>
      </c>
      <c r="G7" s="35">
        <v>3.7</v>
      </c>
      <c r="H7" s="292">
        <f t="shared" si="0"/>
        <v>74</v>
      </c>
    </row>
    <row r="8" spans="1:8" s="35" customFormat="1">
      <c r="A8" s="200"/>
      <c r="B8" s="242"/>
      <c r="C8" s="35" t="s">
        <v>3741</v>
      </c>
      <c r="D8" s="35" t="s">
        <v>3742</v>
      </c>
      <c r="E8" s="199">
        <v>10</v>
      </c>
      <c r="F8" s="289" t="s">
        <v>3811</v>
      </c>
      <c r="G8" s="35">
        <v>6.15</v>
      </c>
      <c r="H8" s="292">
        <f t="shared" si="0"/>
        <v>61.5</v>
      </c>
    </row>
    <row r="9" spans="1:8" s="35" customFormat="1">
      <c r="A9" s="200"/>
      <c r="B9" s="242"/>
      <c r="C9" s="35" t="s">
        <v>3875</v>
      </c>
      <c r="D9" s="35" t="s">
        <v>4205</v>
      </c>
      <c r="E9" s="199">
        <v>10</v>
      </c>
      <c r="F9" s="289" t="s">
        <v>3811</v>
      </c>
      <c r="G9" s="35">
        <v>5.85</v>
      </c>
      <c r="H9" s="292">
        <f t="shared" si="0"/>
        <v>58.5</v>
      </c>
    </row>
    <row r="10" spans="1:8" s="35" customFormat="1">
      <c r="A10" s="200"/>
      <c r="B10" s="242"/>
      <c r="C10" s="35" t="s">
        <v>3876</v>
      </c>
      <c r="D10" s="35" t="s">
        <v>4208</v>
      </c>
      <c r="E10" s="199">
        <v>10</v>
      </c>
      <c r="F10" s="289" t="s">
        <v>3811</v>
      </c>
      <c r="G10" s="35">
        <v>6.18</v>
      </c>
      <c r="H10" s="292">
        <f t="shared" si="0"/>
        <v>61.8</v>
      </c>
    </row>
    <row r="11" spans="1:8" s="35" customFormat="1">
      <c r="A11" s="200"/>
      <c r="B11" s="289" t="s">
        <v>4812</v>
      </c>
      <c r="C11" s="288" t="s">
        <v>4819</v>
      </c>
      <c r="D11" s="35" t="s">
        <v>4053</v>
      </c>
      <c r="E11" s="199">
        <v>10</v>
      </c>
      <c r="F11" s="289" t="s">
        <v>3811</v>
      </c>
      <c r="G11" s="35">
        <v>5.8</v>
      </c>
      <c r="H11" s="292">
        <f t="shared" si="0"/>
        <v>58</v>
      </c>
    </row>
    <row r="12" spans="1:8" s="35" customFormat="1">
      <c r="A12" s="200">
        <v>42186</v>
      </c>
      <c r="B12" s="289" t="s">
        <v>4823</v>
      </c>
      <c r="C12" s="35" t="s">
        <v>3342</v>
      </c>
      <c r="D12" s="288" t="s">
        <v>3343</v>
      </c>
      <c r="E12" s="199">
        <v>50</v>
      </c>
      <c r="F12" s="289" t="s">
        <v>3811</v>
      </c>
      <c r="G12" s="35">
        <v>0.76</v>
      </c>
      <c r="H12" s="292">
        <f t="shared" si="0"/>
        <v>38</v>
      </c>
    </row>
    <row r="13" spans="1:8" s="35" customFormat="1">
      <c r="A13" s="200"/>
      <c r="B13" s="242"/>
      <c r="C13" s="201" t="s">
        <v>3636</v>
      </c>
      <c r="D13" s="35" t="s">
        <v>3637</v>
      </c>
      <c r="E13" s="199">
        <v>50</v>
      </c>
      <c r="F13" s="289" t="s">
        <v>3811</v>
      </c>
      <c r="G13" s="35">
        <v>0.76</v>
      </c>
      <c r="H13" s="292">
        <f t="shared" si="0"/>
        <v>38</v>
      </c>
    </row>
    <row r="14" spans="1:8" s="35" customFormat="1">
      <c r="A14" s="200">
        <v>44013</v>
      </c>
      <c r="B14" s="289" t="s">
        <v>4830</v>
      </c>
      <c r="C14" s="35" t="s">
        <v>3890</v>
      </c>
      <c r="D14" s="288" t="s">
        <v>4829</v>
      </c>
      <c r="E14" s="199">
        <v>10</v>
      </c>
      <c r="F14" s="289" t="s">
        <v>3811</v>
      </c>
      <c r="G14" s="35">
        <v>6.82</v>
      </c>
      <c r="H14" s="292">
        <f t="shared" si="0"/>
        <v>68.2</v>
      </c>
    </row>
    <row r="15" spans="1:8" s="35" customFormat="1">
      <c r="A15" s="200"/>
      <c r="B15" s="289" t="s">
        <v>4831</v>
      </c>
      <c r="C15" s="35" t="s">
        <v>3334</v>
      </c>
      <c r="D15" s="35" t="s">
        <v>3335</v>
      </c>
      <c r="E15" s="199">
        <v>20</v>
      </c>
      <c r="F15" s="289" t="s">
        <v>3811</v>
      </c>
      <c r="G15" s="35">
        <v>3.6</v>
      </c>
      <c r="H15" s="292">
        <f t="shared" si="0"/>
        <v>72</v>
      </c>
    </row>
    <row r="16" spans="1:8" s="35" customFormat="1">
      <c r="A16" s="200"/>
      <c r="B16" s="242"/>
      <c r="C16" s="35" t="s">
        <v>3336</v>
      </c>
      <c r="D16" s="35" t="s">
        <v>3337</v>
      </c>
      <c r="E16" s="199">
        <v>20</v>
      </c>
      <c r="F16" s="289" t="s">
        <v>3811</v>
      </c>
      <c r="G16" s="35">
        <v>3.6</v>
      </c>
      <c r="H16" s="292">
        <f t="shared" si="0"/>
        <v>72</v>
      </c>
    </row>
    <row r="17" spans="1:8" s="35" customFormat="1">
      <c r="A17" s="243"/>
      <c r="B17" s="289" t="s">
        <v>4832</v>
      </c>
      <c r="C17" s="35" t="s">
        <v>3894</v>
      </c>
      <c r="D17" s="35" t="s">
        <v>4400</v>
      </c>
      <c r="E17" s="199">
        <v>12</v>
      </c>
      <c r="F17" s="289" t="s">
        <v>3811</v>
      </c>
      <c r="G17" s="35">
        <v>5.61</v>
      </c>
      <c r="H17" s="292">
        <f t="shared" si="0"/>
        <v>67.320000000000007</v>
      </c>
    </row>
    <row r="18" spans="1:8" s="35" customFormat="1">
      <c r="A18" s="200"/>
      <c r="B18" s="242"/>
      <c r="C18" s="35" t="s">
        <v>3889</v>
      </c>
      <c r="D18" s="35" t="s">
        <v>4372</v>
      </c>
      <c r="E18" s="199">
        <v>12</v>
      </c>
      <c r="F18" s="289" t="s">
        <v>3811</v>
      </c>
      <c r="G18" s="35">
        <v>5.61</v>
      </c>
      <c r="H18" s="292">
        <f t="shared" si="0"/>
        <v>67.320000000000007</v>
      </c>
    </row>
    <row r="19" spans="1:8" s="35" customFormat="1">
      <c r="A19" s="200">
        <v>45108</v>
      </c>
      <c r="B19" s="288" t="s">
        <v>4811</v>
      </c>
      <c r="C19" s="35" t="s">
        <v>3348</v>
      </c>
      <c r="D19" s="35" t="s">
        <v>3349</v>
      </c>
      <c r="E19" s="199">
        <v>10</v>
      </c>
      <c r="F19" s="289" t="s">
        <v>3811</v>
      </c>
      <c r="G19" s="35">
        <v>5.74</v>
      </c>
      <c r="H19" s="292">
        <f t="shared" si="0"/>
        <v>57.400000000000006</v>
      </c>
    </row>
    <row r="20" spans="1:8" s="35" customFormat="1">
      <c r="A20" s="243"/>
      <c r="C20" s="35" t="s">
        <v>3906</v>
      </c>
      <c r="D20" s="35" t="s">
        <v>4519</v>
      </c>
      <c r="E20" s="199">
        <v>10</v>
      </c>
      <c r="F20" s="289" t="s">
        <v>3811</v>
      </c>
      <c r="G20" s="35">
        <v>5.74</v>
      </c>
      <c r="H20" s="292">
        <f t="shared" si="0"/>
        <v>57.400000000000006</v>
      </c>
    </row>
    <row r="21" spans="1:8" s="35" customFormat="1">
      <c r="A21" s="200"/>
      <c r="E21" s="230">
        <f>SUM(E4:E20)</f>
        <v>298</v>
      </c>
      <c r="H21" s="292"/>
    </row>
    <row r="22" spans="1:8" s="35" customFormat="1">
      <c r="A22" s="200"/>
      <c r="E22" s="199"/>
      <c r="H22" s="292"/>
    </row>
    <row r="23" spans="1:8" s="35" customFormat="1">
      <c r="A23" s="200"/>
      <c r="E23" s="199"/>
      <c r="H23" s="292"/>
    </row>
    <row r="24" spans="1:8" s="35" customFormat="1">
      <c r="A24" s="200"/>
      <c r="E24" s="199"/>
      <c r="H24" s="292"/>
    </row>
    <row r="25" spans="1:8" s="35" customFormat="1">
      <c r="A25" s="200"/>
      <c r="E25" s="199"/>
      <c r="H25" s="292"/>
    </row>
    <row r="26" spans="1:8" s="35" customFormat="1">
      <c r="A26" s="200"/>
      <c r="E26" s="199"/>
      <c r="H26" s="292"/>
    </row>
    <row r="27" spans="1:8" s="35" customFormat="1">
      <c r="A27" s="200"/>
      <c r="E27" s="199"/>
      <c r="H27" s="292"/>
    </row>
    <row r="28" spans="1:8" s="35" customFormat="1">
      <c r="A28" s="200"/>
      <c r="E28" s="199"/>
      <c r="H28" s="292"/>
    </row>
    <row r="29" spans="1:8" s="35" customFormat="1">
      <c r="A29" s="200"/>
      <c r="B29" s="201"/>
      <c r="E29" s="244"/>
      <c r="H29" s="292"/>
    </row>
    <row r="30" spans="1:8">
      <c r="H30" s="292"/>
    </row>
    <row r="31" spans="1:8">
      <c r="B31" s="88"/>
      <c r="H31" s="292"/>
    </row>
    <row r="32" spans="1:8">
      <c r="H32" s="292"/>
    </row>
    <row r="33" spans="8:8">
      <c r="H33" s="292"/>
    </row>
    <row r="34" spans="8:8">
      <c r="H34" s="292"/>
    </row>
    <row r="35" spans="8:8">
      <c r="H35" s="292"/>
    </row>
    <row r="36" spans="8:8">
      <c r="H36" s="292"/>
    </row>
    <row r="37" spans="8:8">
      <c r="H37" s="292"/>
    </row>
    <row r="38" spans="8:8">
      <c r="H38" s="292"/>
    </row>
    <row r="39" spans="8:8">
      <c r="H39" s="292"/>
    </row>
    <row r="40" spans="8:8">
      <c r="H40" s="292"/>
    </row>
    <row r="41" spans="8:8">
      <c r="H41" s="292"/>
    </row>
    <row r="42" spans="8:8">
      <c r="H42" s="292"/>
    </row>
    <row r="43" spans="8:8">
      <c r="H43" s="292"/>
    </row>
    <row r="44" spans="8:8">
      <c r="H44" s="292"/>
    </row>
    <row r="45" spans="8:8">
      <c r="H45" s="292"/>
    </row>
    <row r="46" spans="8:8">
      <c r="H46" s="292"/>
    </row>
    <row r="47" spans="8:8">
      <c r="H47" s="292"/>
    </row>
    <row r="48" spans="8:8">
      <c r="H48" s="292"/>
    </row>
    <row r="49" spans="2:8">
      <c r="B49" s="88"/>
      <c r="H49" s="292"/>
    </row>
    <row r="50" spans="2:8">
      <c r="H50" s="292"/>
    </row>
    <row r="51" spans="2:8">
      <c r="H51" s="292">
        <f t="shared" si="0"/>
        <v>0</v>
      </c>
    </row>
    <row r="56" spans="2:8">
      <c r="B56" s="88"/>
    </row>
    <row r="58" spans="2:8">
      <c r="B58" s="88"/>
    </row>
    <row r="63" spans="2:8" ht="18.75">
      <c r="D63" s="166"/>
      <c r="E63" s="167"/>
      <c r="F63" s="168"/>
    </row>
    <row r="64" spans="2:8" ht="18.75">
      <c r="D64" s="166"/>
      <c r="E64" s="167"/>
      <c r="F64" s="168"/>
    </row>
    <row r="65" spans="2:6" ht="18.75">
      <c r="D65" s="166"/>
      <c r="E65" s="167"/>
      <c r="F65" s="168"/>
    </row>
    <row r="66" spans="2:6" ht="18.75">
      <c r="D66" s="166"/>
      <c r="E66" s="167"/>
      <c r="F66" s="168"/>
    </row>
    <row r="67" spans="2:6" ht="18.75">
      <c r="D67" s="166"/>
      <c r="E67" s="167"/>
      <c r="F67" s="168"/>
    </row>
    <row r="68" spans="2:6" ht="18.75">
      <c r="C68" s="165"/>
      <c r="D68" s="166"/>
      <c r="E68" s="167"/>
      <c r="F68" s="168"/>
    </row>
    <row r="69" spans="2:6" ht="18.75">
      <c r="B69" s="88"/>
      <c r="C69" s="165"/>
      <c r="D69" s="166"/>
      <c r="E69" s="167"/>
      <c r="F69" s="168"/>
    </row>
    <row r="70" spans="2:6" ht="18.75">
      <c r="C70" s="165"/>
      <c r="D70" s="166"/>
      <c r="E70" s="167"/>
      <c r="F70" s="168"/>
    </row>
    <row r="71" spans="2:6" ht="18.75">
      <c r="C71" s="165"/>
      <c r="D71" s="166"/>
      <c r="E71" s="167"/>
      <c r="F71" s="168"/>
    </row>
    <row r="72" spans="2:6" ht="18.75">
      <c r="C72" s="165"/>
      <c r="D72" s="166"/>
      <c r="E72" s="167"/>
      <c r="F72" s="168"/>
    </row>
    <row r="73" spans="2:6" ht="18.75">
      <c r="C73" s="165"/>
      <c r="D73" s="166"/>
      <c r="E73" s="167"/>
      <c r="F73" s="168"/>
    </row>
    <row r="74" spans="2:6" ht="18.75">
      <c r="C74" s="169"/>
      <c r="D74" s="166"/>
      <c r="E74" s="167"/>
      <c r="F74" s="168"/>
    </row>
  </sheetData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38C4-00BF-477B-94F6-3868DFC4C2F3}">
  <sheetPr>
    <tabColor rgb="FFFF0000"/>
  </sheetPr>
  <dimension ref="A1:I93"/>
  <sheetViews>
    <sheetView topLeftCell="A34" workbookViewId="0">
      <selection activeCell="H34" sqref="H34:H61"/>
    </sheetView>
  </sheetViews>
  <sheetFormatPr defaultRowHeight="15"/>
  <cols>
    <col min="1" max="1" width="13.140625" style="164" customWidth="1"/>
    <col min="2" max="2" width="22" style="4" customWidth="1"/>
    <col min="3" max="3" width="17.5703125" customWidth="1"/>
    <col min="4" max="4" width="43.28515625" customWidth="1"/>
    <col min="5" max="5" width="10" style="4" customWidth="1"/>
  </cols>
  <sheetData>
    <row r="1" spans="1:9">
      <c r="A1" s="389" t="s">
        <v>3711</v>
      </c>
      <c r="B1" s="389"/>
      <c r="C1" s="389"/>
      <c r="D1" s="389"/>
      <c r="E1" s="389"/>
      <c r="F1" s="389"/>
    </row>
    <row r="2" spans="1:9">
      <c r="A2" s="389" t="str">
        <f>PRINTING!B2</f>
        <v>AS OF JULY 2026</v>
      </c>
      <c r="B2" s="389"/>
      <c r="C2" s="389"/>
      <c r="D2" s="389"/>
      <c r="E2" s="389"/>
      <c r="F2" s="389"/>
    </row>
    <row r="3" spans="1:9">
      <c r="A3" s="225" t="s">
        <v>1852</v>
      </c>
      <c r="B3" s="224"/>
      <c r="C3" s="224"/>
      <c r="D3" s="224"/>
      <c r="E3" s="224"/>
      <c r="F3" s="35"/>
    </row>
    <row r="4" spans="1:9" s="4" customFormat="1">
      <c r="A4" s="162" t="s">
        <v>3695</v>
      </c>
      <c r="B4" s="163" t="s">
        <v>3696</v>
      </c>
      <c r="C4" s="163" t="s">
        <v>3</v>
      </c>
      <c r="D4" s="163" t="s">
        <v>3697</v>
      </c>
      <c r="E4" s="163" t="s">
        <v>47</v>
      </c>
      <c r="F4" s="163" t="s">
        <v>3712</v>
      </c>
      <c r="G4" s="286" t="s">
        <v>4810</v>
      </c>
      <c r="H4" s="286" t="s">
        <v>38</v>
      </c>
    </row>
    <row r="5" spans="1:9" s="35" customFormat="1">
      <c r="A5" s="243">
        <v>46180</v>
      </c>
      <c r="B5" s="289" t="s">
        <v>4809</v>
      </c>
      <c r="C5" s="35" t="s">
        <v>2044</v>
      </c>
      <c r="D5" s="35" t="s">
        <v>2045</v>
      </c>
      <c r="E5" s="199">
        <v>9</v>
      </c>
      <c r="F5" s="35" t="s">
        <v>3700</v>
      </c>
      <c r="G5" s="292">
        <v>30.9</v>
      </c>
      <c r="H5" s="292">
        <f>E5*G5</f>
        <v>278.09999999999997</v>
      </c>
    </row>
    <row r="6" spans="1:9" s="35" customFormat="1">
      <c r="A6" s="243"/>
      <c r="B6" s="242"/>
      <c r="C6" s="35" t="s">
        <v>1893</v>
      </c>
      <c r="D6" s="35" t="s">
        <v>1894</v>
      </c>
      <c r="E6" s="199">
        <v>1</v>
      </c>
      <c r="F6" s="35" t="s">
        <v>3700</v>
      </c>
      <c r="G6" s="292">
        <v>186.43</v>
      </c>
      <c r="H6" s="292">
        <f t="shared" ref="H6:H33" si="0">E6*G6</f>
        <v>186.43</v>
      </c>
    </row>
    <row r="7" spans="1:9" s="35" customFormat="1">
      <c r="A7" s="243"/>
      <c r="B7" s="199"/>
      <c r="C7" s="35" t="s">
        <v>1736</v>
      </c>
      <c r="D7" s="35" t="s">
        <v>1737</v>
      </c>
      <c r="E7" s="199">
        <v>1</v>
      </c>
      <c r="F7" s="35" t="s">
        <v>3700</v>
      </c>
      <c r="G7" s="292">
        <v>68.64</v>
      </c>
      <c r="H7" s="292">
        <f t="shared" si="0"/>
        <v>68.64</v>
      </c>
    </row>
    <row r="8" spans="1:9" s="35" customFormat="1">
      <c r="A8" s="243"/>
      <c r="B8" s="290"/>
      <c r="C8" s="35" t="s">
        <v>1746</v>
      </c>
      <c r="D8" s="35" t="s">
        <v>1747</v>
      </c>
      <c r="E8" s="199">
        <v>1</v>
      </c>
      <c r="F8" s="35" t="s">
        <v>3700</v>
      </c>
      <c r="G8" s="292">
        <v>206.23</v>
      </c>
      <c r="H8" s="292">
        <f t="shared" si="0"/>
        <v>206.23</v>
      </c>
    </row>
    <row r="9" spans="1:9" s="35" customFormat="1">
      <c r="A9" s="291" t="s">
        <v>3710</v>
      </c>
      <c r="B9" s="242"/>
      <c r="C9" s="35" t="s">
        <v>2044</v>
      </c>
      <c r="D9" s="35" t="s">
        <v>2045</v>
      </c>
      <c r="E9" s="199">
        <v>27</v>
      </c>
      <c r="F9" s="35" t="s">
        <v>3700</v>
      </c>
      <c r="G9" s="292">
        <v>30.21</v>
      </c>
      <c r="H9" s="292">
        <f t="shared" si="0"/>
        <v>815.67000000000007</v>
      </c>
    </row>
    <row r="10" spans="1:9" s="35" customFormat="1">
      <c r="A10" s="200">
        <v>46210</v>
      </c>
      <c r="B10" s="289" t="s">
        <v>4811</v>
      </c>
      <c r="C10" s="35" t="s">
        <v>375</v>
      </c>
      <c r="D10" s="35" t="s">
        <v>376</v>
      </c>
      <c r="E10" s="199">
        <v>1</v>
      </c>
      <c r="F10" s="35" t="s">
        <v>3700</v>
      </c>
      <c r="G10" s="292">
        <v>44.8</v>
      </c>
      <c r="H10" s="292">
        <f t="shared" si="0"/>
        <v>44.8</v>
      </c>
    </row>
    <row r="11" spans="1:9" s="35" customFormat="1">
      <c r="A11" s="200"/>
      <c r="B11" s="289" t="s">
        <v>4812</v>
      </c>
      <c r="C11" s="35" t="s">
        <v>652</v>
      </c>
      <c r="D11" s="35" t="s">
        <v>653</v>
      </c>
      <c r="E11" s="199">
        <v>1</v>
      </c>
      <c r="F11" s="35" t="s">
        <v>3700</v>
      </c>
      <c r="G11" s="292">
        <v>57.95</v>
      </c>
      <c r="H11" s="292">
        <f t="shared" si="0"/>
        <v>57.95</v>
      </c>
    </row>
    <row r="12" spans="1:9" s="35" customFormat="1">
      <c r="A12" s="200"/>
      <c r="B12" s="312" t="s">
        <v>4813</v>
      </c>
      <c r="C12" s="311" t="s">
        <v>811</v>
      </c>
      <c r="D12" s="311" t="s">
        <v>812</v>
      </c>
      <c r="E12" s="312">
        <v>1</v>
      </c>
      <c r="F12" s="311" t="s">
        <v>3700</v>
      </c>
      <c r="G12" s="313">
        <v>23.97</v>
      </c>
      <c r="H12" s="313">
        <f t="shared" si="0"/>
        <v>23.97</v>
      </c>
      <c r="I12" s="311" t="s">
        <v>4835</v>
      </c>
    </row>
    <row r="13" spans="1:9" s="35" customFormat="1">
      <c r="A13" s="200">
        <v>46241</v>
      </c>
      <c r="B13" s="289" t="s">
        <v>4811</v>
      </c>
      <c r="C13" s="35" t="s">
        <v>3708</v>
      </c>
      <c r="D13" s="35" t="s">
        <v>3709</v>
      </c>
      <c r="E13" s="199">
        <v>1</v>
      </c>
      <c r="F13" s="35" t="s">
        <v>3700</v>
      </c>
      <c r="G13" s="292">
        <v>74</v>
      </c>
      <c r="H13" s="292">
        <f t="shared" si="0"/>
        <v>74</v>
      </c>
    </row>
    <row r="14" spans="1:9" s="35" customFormat="1">
      <c r="A14" s="200">
        <v>46302</v>
      </c>
      <c r="B14" s="289" t="s">
        <v>4817</v>
      </c>
      <c r="C14" s="35" t="s">
        <v>446</v>
      </c>
      <c r="D14" s="288" t="s">
        <v>4818</v>
      </c>
      <c r="E14" s="199">
        <v>1</v>
      </c>
      <c r="F14" s="35" t="s">
        <v>3700</v>
      </c>
      <c r="G14" s="35">
        <v>65</v>
      </c>
      <c r="H14" s="292">
        <f t="shared" si="0"/>
        <v>65</v>
      </c>
    </row>
    <row r="15" spans="1:9" s="35" customFormat="1">
      <c r="A15" s="200">
        <v>41456</v>
      </c>
      <c r="B15" s="289" t="s">
        <v>4811</v>
      </c>
      <c r="C15" s="35" t="s">
        <v>381</v>
      </c>
      <c r="D15" s="35" t="s">
        <v>382</v>
      </c>
      <c r="E15" s="199">
        <v>1</v>
      </c>
      <c r="F15" s="35" t="s">
        <v>3700</v>
      </c>
      <c r="G15" s="35">
        <v>61.5</v>
      </c>
      <c r="H15" s="292">
        <f t="shared" si="0"/>
        <v>61.5</v>
      </c>
    </row>
    <row r="16" spans="1:9" s="35" customFormat="1">
      <c r="A16" s="200"/>
      <c r="B16" s="242"/>
      <c r="C16" s="35" t="s">
        <v>379</v>
      </c>
      <c r="D16" s="35" t="s">
        <v>380</v>
      </c>
      <c r="E16" s="199">
        <v>1</v>
      </c>
      <c r="F16" s="35" t="s">
        <v>3700</v>
      </c>
      <c r="G16" s="35">
        <v>58.45</v>
      </c>
      <c r="H16" s="292">
        <f t="shared" si="0"/>
        <v>58.45</v>
      </c>
    </row>
    <row r="17" spans="1:8" s="35" customFormat="1">
      <c r="A17" s="200"/>
      <c r="B17" s="242"/>
      <c r="C17" s="35" t="s">
        <v>3809</v>
      </c>
      <c r="D17" s="35" t="s">
        <v>3796</v>
      </c>
      <c r="E17" s="199">
        <v>1</v>
      </c>
      <c r="F17" s="35" t="s">
        <v>3700</v>
      </c>
      <c r="G17" s="35">
        <v>61.75</v>
      </c>
      <c r="H17" s="292">
        <f t="shared" si="0"/>
        <v>61.75</v>
      </c>
    </row>
    <row r="18" spans="1:8" s="35" customFormat="1">
      <c r="A18" s="200"/>
      <c r="B18" s="289" t="s">
        <v>4812</v>
      </c>
      <c r="C18" s="35" t="s">
        <v>652</v>
      </c>
      <c r="D18" s="35" t="s">
        <v>653</v>
      </c>
      <c r="E18" s="199">
        <v>2</v>
      </c>
      <c r="F18" s="35" t="s">
        <v>3700</v>
      </c>
      <c r="G18" s="35">
        <v>57.95</v>
      </c>
      <c r="H18" s="292">
        <f t="shared" si="0"/>
        <v>115.9</v>
      </c>
    </row>
    <row r="19" spans="1:8" s="35" customFormat="1">
      <c r="A19" s="200">
        <v>42186</v>
      </c>
      <c r="B19" s="289" t="s">
        <v>4820</v>
      </c>
      <c r="C19" s="35" t="s">
        <v>1293</v>
      </c>
      <c r="D19" s="288" t="s">
        <v>4821</v>
      </c>
      <c r="E19" s="199">
        <v>14</v>
      </c>
      <c r="F19" s="289" t="s">
        <v>3811</v>
      </c>
      <c r="G19" s="35">
        <v>96.19</v>
      </c>
      <c r="H19" s="292">
        <f t="shared" si="0"/>
        <v>1346.6599999999999</v>
      </c>
    </row>
    <row r="20" spans="1:8" s="35" customFormat="1">
      <c r="A20" s="200">
        <v>42552</v>
      </c>
      <c r="B20" s="289" t="s">
        <v>4822</v>
      </c>
      <c r="C20" s="35" t="s">
        <v>718</v>
      </c>
      <c r="D20" s="35" t="s">
        <v>719</v>
      </c>
      <c r="E20" s="199">
        <v>1</v>
      </c>
      <c r="F20" s="35" t="s">
        <v>3700</v>
      </c>
      <c r="G20" s="35">
        <v>38</v>
      </c>
      <c r="H20" s="292">
        <f t="shared" si="0"/>
        <v>38</v>
      </c>
    </row>
    <row r="21" spans="1:8" s="35" customFormat="1">
      <c r="A21" s="200"/>
      <c r="B21" s="199"/>
      <c r="C21" s="241" t="s">
        <v>721</v>
      </c>
      <c r="D21" s="35" t="s">
        <v>722</v>
      </c>
      <c r="E21" s="199">
        <v>1</v>
      </c>
      <c r="F21" s="35" t="s">
        <v>3700</v>
      </c>
      <c r="G21" s="35">
        <v>38</v>
      </c>
      <c r="H21" s="292">
        <f t="shared" si="0"/>
        <v>38</v>
      </c>
    </row>
    <row r="22" spans="1:8" s="35" customFormat="1">
      <c r="A22" s="200">
        <v>43282</v>
      </c>
      <c r="B22" s="289" t="s">
        <v>4824</v>
      </c>
      <c r="C22" s="35" t="s">
        <v>116</v>
      </c>
      <c r="D22" s="35" t="s">
        <v>117</v>
      </c>
      <c r="E22" s="199">
        <v>64</v>
      </c>
      <c r="F22" s="288" t="s">
        <v>3811</v>
      </c>
      <c r="G22" s="35">
        <v>7.51</v>
      </c>
      <c r="H22" s="292">
        <f t="shared" si="0"/>
        <v>480.64</v>
      </c>
    </row>
    <row r="23" spans="1:8" s="35" customFormat="1">
      <c r="A23" s="200">
        <v>44013</v>
      </c>
      <c r="B23" s="289" t="s">
        <v>4817</v>
      </c>
      <c r="C23" s="35" t="s">
        <v>458</v>
      </c>
      <c r="D23" s="35" t="s">
        <v>459</v>
      </c>
      <c r="E23" s="199">
        <v>1</v>
      </c>
      <c r="F23" s="35" t="s">
        <v>3700</v>
      </c>
      <c r="G23" s="35">
        <v>72.95</v>
      </c>
      <c r="H23" s="292">
        <f t="shared" si="0"/>
        <v>72.95</v>
      </c>
    </row>
    <row r="24" spans="1:8" s="35" customFormat="1">
      <c r="A24" s="200"/>
      <c r="B24" s="199"/>
      <c r="C24" s="35" t="s">
        <v>472</v>
      </c>
      <c r="D24" s="35" t="s">
        <v>473</v>
      </c>
      <c r="E24" s="199">
        <v>1</v>
      </c>
      <c r="F24" s="35" t="s">
        <v>3700</v>
      </c>
      <c r="G24" s="35">
        <v>53.9</v>
      </c>
      <c r="H24" s="292">
        <f t="shared" si="0"/>
        <v>53.9</v>
      </c>
    </row>
    <row r="25" spans="1:8" s="35" customFormat="1">
      <c r="A25" s="200"/>
      <c r="B25" s="199"/>
      <c r="C25" s="35" t="s">
        <v>472</v>
      </c>
      <c r="D25" s="35" t="s">
        <v>473</v>
      </c>
      <c r="E25" s="199">
        <v>1</v>
      </c>
      <c r="F25" s="35" t="s">
        <v>3700</v>
      </c>
      <c r="G25" s="35">
        <v>53.9</v>
      </c>
      <c r="H25" s="292">
        <f t="shared" si="0"/>
        <v>53.9</v>
      </c>
    </row>
    <row r="26" spans="1:8" s="35" customFormat="1">
      <c r="A26" s="200">
        <v>44013</v>
      </c>
      <c r="B26" s="289" t="s">
        <v>4826</v>
      </c>
      <c r="C26" s="35" t="s">
        <v>478</v>
      </c>
      <c r="D26" s="35" t="s">
        <v>479</v>
      </c>
      <c r="E26" s="199">
        <v>1</v>
      </c>
      <c r="F26" s="35" t="s">
        <v>3700</v>
      </c>
      <c r="G26" s="35">
        <v>68.2</v>
      </c>
      <c r="H26" s="292">
        <f t="shared" si="0"/>
        <v>68.2</v>
      </c>
    </row>
    <row r="27" spans="1:8" s="35" customFormat="1">
      <c r="A27" s="200"/>
      <c r="B27" s="289" t="s">
        <v>4825</v>
      </c>
      <c r="C27" s="35" t="s">
        <v>697</v>
      </c>
      <c r="D27" s="35" t="s">
        <v>698</v>
      </c>
      <c r="E27" s="199">
        <v>2</v>
      </c>
      <c r="F27" s="35" t="s">
        <v>3700</v>
      </c>
      <c r="G27" s="35">
        <v>36</v>
      </c>
      <c r="H27" s="292">
        <f t="shared" si="0"/>
        <v>72</v>
      </c>
    </row>
    <row r="28" spans="1:8" s="35" customFormat="1">
      <c r="A28" s="200"/>
      <c r="B28" s="199"/>
      <c r="C28" s="35" t="s">
        <v>701</v>
      </c>
      <c r="D28" s="35" t="s">
        <v>702</v>
      </c>
      <c r="E28" s="199">
        <v>2</v>
      </c>
      <c r="F28" s="35" t="s">
        <v>3700</v>
      </c>
      <c r="G28" s="35">
        <v>36</v>
      </c>
      <c r="H28" s="292">
        <f t="shared" si="0"/>
        <v>72</v>
      </c>
    </row>
    <row r="29" spans="1:8" s="35" customFormat="1">
      <c r="A29" s="200"/>
      <c r="B29" s="289" t="s">
        <v>4827</v>
      </c>
      <c r="C29" s="35" t="s">
        <v>602</v>
      </c>
      <c r="D29" s="35" t="s">
        <v>603</v>
      </c>
      <c r="E29" s="199">
        <v>1</v>
      </c>
      <c r="F29" s="35" t="s">
        <v>3700</v>
      </c>
      <c r="G29" s="293" t="s">
        <v>4828</v>
      </c>
      <c r="H29" s="292" t="str">
        <f>G29</f>
        <v xml:space="preserve">67.28	</v>
      </c>
    </row>
    <row r="30" spans="1:8" s="35" customFormat="1">
      <c r="A30" s="200"/>
      <c r="B30" s="290"/>
      <c r="C30" s="35" t="s">
        <v>600</v>
      </c>
      <c r="D30" s="35" t="s">
        <v>601</v>
      </c>
      <c r="E30" s="199">
        <v>1</v>
      </c>
      <c r="F30" s="35" t="s">
        <v>3700</v>
      </c>
      <c r="G30" s="293" t="s">
        <v>4828</v>
      </c>
      <c r="H30" s="292" t="str">
        <f>G30</f>
        <v xml:space="preserve">67.28	</v>
      </c>
    </row>
    <row r="31" spans="1:8" s="35" customFormat="1">
      <c r="A31" s="200">
        <v>45108</v>
      </c>
      <c r="B31" s="289" t="s">
        <v>4833</v>
      </c>
      <c r="C31" s="35" t="s">
        <v>1933</v>
      </c>
      <c r="D31" s="35" t="s">
        <v>1934</v>
      </c>
      <c r="E31" s="199">
        <v>2</v>
      </c>
      <c r="F31" s="288" t="s">
        <v>3811</v>
      </c>
      <c r="G31" s="35">
        <v>125</v>
      </c>
      <c r="H31" s="292">
        <f t="shared" si="0"/>
        <v>250</v>
      </c>
    </row>
    <row r="32" spans="1:8" s="35" customFormat="1">
      <c r="A32" s="200"/>
      <c r="B32" s="289" t="s">
        <v>4811</v>
      </c>
      <c r="C32" s="35" t="s">
        <v>501</v>
      </c>
      <c r="D32" s="35" t="s">
        <v>502</v>
      </c>
      <c r="E32" s="199">
        <v>1</v>
      </c>
      <c r="F32" s="35" t="s">
        <v>3700</v>
      </c>
      <c r="G32" s="35">
        <v>57.4</v>
      </c>
      <c r="H32" s="292">
        <f t="shared" si="0"/>
        <v>57.4</v>
      </c>
    </row>
    <row r="33" spans="1:8" s="35" customFormat="1">
      <c r="A33" s="200"/>
      <c r="B33" s="242"/>
      <c r="C33" s="35" t="s">
        <v>497</v>
      </c>
      <c r="D33" s="35" t="s">
        <v>498</v>
      </c>
      <c r="E33" s="199">
        <v>1</v>
      </c>
      <c r="F33" s="35" t="s">
        <v>3700</v>
      </c>
      <c r="G33" s="35">
        <v>57.4</v>
      </c>
      <c r="H33" s="292">
        <f t="shared" si="0"/>
        <v>57.4</v>
      </c>
    </row>
    <row r="34" spans="1:8" s="35" customFormat="1">
      <c r="A34" s="200"/>
      <c r="B34" s="199"/>
      <c r="E34" s="230">
        <f>SUM(E5:E33)</f>
        <v>143</v>
      </c>
      <c r="H34" s="292"/>
    </row>
    <row r="35" spans="1:8" s="35" customFormat="1">
      <c r="A35" s="200"/>
      <c r="B35" s="199"/>
      <c r="E35" s="199"/>
      <c r="H35" s="292"/>
    </row>
    <row r="36" spans="1:8" s="35" customFormat="1">
      <c r="A36" s="200"/>
      <c r="B36" s="199"/>
      <c r="E36" s="199"/>
      <c r="H36" s="292"/>
    </row>
    <row r="37" spans="1:8" s="35" customFormat="1">
      <c r="A37" s="200"/>
      <c r="B37" s="199"/>
      <c r="E37" s="199"/>
      <c r="H37" s="292"/>
    </row>
    <row r="38" spans="1:8" s="35" customFormat="1">
      <c r="A38" s="200"/>
      <c r="B38" s="199"/>
      <c r="E38" s="199"/>
      <c r="H38" s="292"/>
    </row>
    <row r="39" spans="1:8" s="35" customFormat="1">
      <c r="A39" s="200"/>
      <c r="B39" s="199"/>
      <c r="E39" s="199"/>
      <c r="H39" s="292"/>
    </row>
    <row r="40" spans="1:8" s="35" customFormat="1">
      <c r="A40" s="200"/>
      <c r="B40" s="199"/>
      <c r="E40" s="199"/>
      <c r="H40" s="292"/>
    </row>
    <row r="41" spans="1:8" s="35" customFormat="1">
      <c r="A41" s="200"/>
      <c r="B41" s="199"/>
      <c r="E41" s="199"/>
      <c r="H41" s="292"/>
    </row>
    <row r="42" spans="1:8" s="35" customFormat="1">
      <c r="A42" s="200"/>
      <c r="B42" s="199"/>
      <c r="E42" s="199"/>
      <c r="H42" s="292"/>
    </row>
    <row r="43" spans="1:8" s="35" customFormat="1">
      <c r="A43" s="200"/>
      <c r="B43" s="199"/>
      <c r="E43" s="199"/>
      <c r="H43" s="292"/>
    </row>
    <row r="44" spans="1:8" s="35" customFormat="1">
      <c r="A44" s="200"/>
      <c r="B44" s="199"/>
      <c r="E44" s="199"/>
      <c r="H44" s="292"/>
    </row>
    <row r="45" spans="1:8" s="35" customFormat="1">
      <c r="A45" s="200"/>
      <c r="B45" s="199"/>
      <c r="E45" s="199"/>
      <c r="H45" s="292"/>
    </row>
    <row r="46" spans="1:8" s="35" customFormat="1">
      <c r="A46" s="200"/>
      <c r="B46" s="199"/>
      <c r="E46" s="199"/>
      <c r="H46" s="292"/>
    </row>
    <row r="47" spans="1:8" s="35" customFormat="1">
      <c r="A47" s="200"/>
      <c r="B47" s="199"/>
      <c r="E47" s="199"/>
      <c r="H47" s="292"/>
    </row>
    <row r="48" spans="1:8" s="35" customFormat="1">
      <c r="A48" s="200"/>
      <c r="B48" s="199"/>
      <c r="E48" s="199"/>
      <c r="H48" s="292"/>
    </row>
    <row r="49" spans="1:8" s="35" customFormat="1">
      <c r="A49" s="200"/>
      <c r="B49" s="242"/>
      <c r="E49" s="199"/>
      <c r="H49" s="292"/>
    </row>
    <row r="50" spans="1:8" s="35" customFormat="1">
      <c r="A50" s="200"/>
      <c r="B50" s="199"/>
      <c r="E50" s="199"/>
      <c r="H50" s="292"/>
    </row>
    <row r="51" spans="1:8" s="35" customFormat="1">
      <c r="A51" s="200"/>
      <c r="B51" s="199"/>
      <c r="E51" s="199"/>
      <c r="H51" s="292"/>
    </row>
    <row r="52" spans="1:8" s="35" customFormat="1">
      <c r="A52" s="200"/>
      <c r="B52" s="199"/>
      <c r="E52" s="199"/>
      <c r="H52" s="292"/>
    </row>
    <row r="53" spans="1:8" s="35" customFormat="1">
      <c r="A53" s="200"/>
      <c r="B53" s="199"/>
      <c r="E53" s="199"/>
      <c r="H53" s="292"/>
    </row>
    <row r="54" spans="1:8" s="35" customFormat="1">
      <c r="A54" s="200"/>
      <c r="B54" s="199"/>
      <c r="E54" s="199"/>
      <c r="H54" s="292"/>
    </row>
    <row r="55" spans="1:8" s="35" customFormat="1">
      <c r="A55" s="200"/>
      <c r="B55" s="199"/>
      <c r="E55" s="199"/>
      <c r="H55" s="292"/>
    </row>
    <row r="56" spans="1:8" s="35" customFormat="1">
      <c r="A56" s="200"/>
      <c r="B56" s="290"/>
      <c r="E56" s="199"/>
      <c r="H56" s="292"/>
    </row>
    <row r="57" spans="1:8" s="35" customFormat="1">
      <c r="A57" s="200"/>
      <c r="B57" s="199"/>
      <c r="E57" s="199"/>
      <c r="H57" s="292"/>
    </row>
    <row r="58" spans="1:8" s="35" customFormat="1">
      <c r="A58" s="200"/>
      <c r="B58" s="242"/>
      <c r="E58" s="199"/>
      <c r="H58" s="292"/>
    </row>
    <row r="59" spans="1:8" s="35" customFormat="1">
      <c r="A59" s="200"/>
      <c r="B59" s="199"/>
      <c r="E59" s="199"/>
      <c r="H59" s="292"/>
    </row>
    <row r="60" spans="1:8" s="35" customFormat="1">
      <c r="A60" s="200"/>
      <c r="B60" s="242"/>
      <c r="E60" s="199"/>
      <c r="H60" s="292"/>
    </row>
    <row r="61" spans="1:8" s="35" customFormat="1">
      <c r="A61" s="200"/>
      <c r="B61" s="199"/>
      <c r="E61" s="199"/>
    </row>
    <row r="62" spans="1:8" s="35" customFormat="1" ht="15.75">
      <c r="A62" s="200"/>
      <c r="B62" s="199"/>
      <c r="D62" s="245"/>
      <c r="E62" s="199"/>
      <c r="F62" s="246"/>
    </row>
    <row r="63" spans="1:8" s="35" customFormat="1" ht="15.75">
      <c r="A63" s="200"/>
      <c r="B63" s="199"/>
      <c r="D63" s="245"/>
      <c r="E63" s="199"/>
      <c r="F63" s="246"/>
    </row>
    <row r="64" spans="1:8" s="35" customFormat="1" ht="15.75">
      <c r="A64" s="200"/>
      <c r="B64" s="199"/>
      <c r="D64" s="245"/>
      <c r="E64" s="199"/>
      <c r="F64" s="246"/>
    </row>
    <row r="65" spans="1:6" s="35" customFormat="1" ht="15.75">
      <c r="A65" s="200"/>
      <c r="B65" s="199"/>
      <c r="D65" s="245"/>
      <c r="E65" s="199"/>
      <c r="F65" s="246"/>
    </row>
    <row r="66" spans="1:6" s="35" customFormat="1" ht="15.75">
      <c r="A66" s="200"/>
      <c r="B66" s="199"/>
      <c r="C66" s="247"/>
      <c r="D66" s="245"/>
      <c r="E66" s="199"/>
      <c r="F66" s="246"/>
    </row>
    <row r="67" spans="1:6" s="35" customFormat="1" ht="15.75">
      <c r="A67" s="200"/>
      <c r="B67" s="290"/>
      <c r="C67" s="247"/>
      <c r="D67" s="245"/>
      <c r="E67" s="199"/>
      <c r="F67" s="246"/>
    </row>
    <row r="68" spans="1:6" s="35" customFormat="1" ht="15.75">
      <c r="A68" s="200"/>
      <c r="B68" s="199"/>
      <c r="C68" s="247"/>
      <c r="D68" s="245"/>
      <c r="E68" s="199"/>
      <c r="F68" s="246"/>
    </row>
    <row r="69" spans="1:6" s="35" customFormat="1" ht="15.75">
      <c r="A69" s="200"/>
      <c r="B69" s="199"/>
      <c r="C69" s="247"/>
      <c r="D69" s="245"/>
      <c r="E69" s="199"/>
      <c r="F69" s="246"/>
    </row>
    <row r="70" spans="1:6" s="35" customFormat="1" ht="15.75">
      <c r="A70" s="200"/>
      <c r="B70" s="199"/>
      <c r="C70" s="247"/>
      <c r="D70" s="245"/>
      <c r="E70" s="199"/>
      <c r="F70" s="246"/>
    </row>
    <row r="71" spans="1:6" s="35" customFormat="1" ht="15.75">
      <c r="A71" s="200"/>
      <c r="B71" s="199"/>
      <c r="C71" s="247"/>
      <c r="D71" s="245"/>
      <c r="E71" s="199"/>
      <c r="F71" s="246"/>
    </row>
    <row r="72" spans="1:6" s="35" customFormat="1" ht="15.75">
      <c r="A72" s="200"/>
      <c r="B72" s="199"/>
      <c r="C72" s="248"/>
      <c r="D72" s="245"/>
      <c r="E72" s="199"/>
      <c r="F72" s="246"/>
    </row>
    <row r="73" spans="1:6" s="35" customFormat="1">
      <c r="A73" s="200"/>
      <c r="B73" s="199"/>
      <c r="E73" s="199"/>
    </row>
    <row r="74" spans="1:6" s="35" customFormat="1">
      <c r="A74" s="200"/>
      <c r="B74" s="199"/>
      <c r="E74" s="199"/>
    </row>
    <row r="75" spans="1:6" s="35" customFormat="1">
      <c r="A75" s="200"/>
      <c r="B75" s="199"/>
      <c r="E75" s="199"/>
    </row>
    <row r="76" spans="1:6" s="35" customFormat="1">
      <c r="A76" s="200"/>
      <c r="B76" s="199"/>
      <c r="E76" s="199"/>
    </row>
    <row r="77" spans="1:6" s="35" customFormat="1">
      <c r="A77" s="200"/>
      <c r="B77" s="199"/>
      <c r="E77" s="199"/>
    </row>
    <row r="78" spans="1:6" s="35" customFormat="1">
      <c r="A78" s="200"/>
      <c r="B78" s="199"/>
      <c r="E78" s="199"/>
    </row>
    <row r="79" spans="1:6" s="35" customFormat="1">
      <c r="A79" s="200"/>
      <c r="B79" s="199"/>
      <c r="E79" s="199"/>
    </row>
    <row r="80" spans="1:6" s="35" customFormat="1">
      <c r="A80" s="200"/>
      <c r="B80" s="199"/>
      <c r="E80" s="199"/>
    </row>
    <row r="81" spans="1:5" s="35" customFormat="1">
      <c r="A81" s="200"/>
      <c r="B81" s="199"/>
      <c r="D81" s="241"/>
      <c r="E81" s="199"/>
    </row>
    <row r="82" spans="1:5" s="35" customFormat="1">
      <c r="A82" s="200"/>
      <c r="B82" s="199"/>
      <c r="E82" s="199"/>
    </row>
    <row r="83" spans="1:5" s="35" customFormat="1">
      <c r="A83" s="200"/>
      <c r="B83" s="199"/>
      <c r="E83" s="199"/>
    </row>
    <row r="84" spans="1:5" s="35" customFormat="1">
      <c r="A84" s="200"/>
      <c r="B84" s="199"/>
      <c r="E84" s="199"/>
    </row>
    <row r="85" spans="1:5" s="35" customFormat="1">
      <c r="A85" s="200"/>
      <c r="B85" s="199"/>
      <c r="E85" s="199"/>
    </row>
    <row r="86" spans="1:5" s="35" customFormat="1">
      <c r="A86" s="200"/>
      <c r="B86" s="199"/>
      <c r="E86" s="199"/>
    </row>
    <row r="87" spans="1:5" s="35" customFormat="1">
      <c r="A87" s="200"/>
      <c r="B87" s="242"/>
      <c r="E87" s="199"/>
    </row>
    <row r="88" spans="1:5" s="35" customFormat="1">
      <c r="A88" s="200"/>
      <c r="B88" s="242"/>
      <c r="E88" s="199"/>
    </row>
    <row r="89" spans="1:5" s="35" customFormat="1">
      <c r="A89" s="200"/>
      <c r="B89" s="242"/>
      <c r="E89" s="199"/>
    </row>
    <row r="90" spans="1:5" s="35" customFormat="1">
      <c r="A90" s="200"/>
      <c r="B90" s="199"/>
      <c r="E90" s="199"/>
    </row>
    <row r="91" spans="1:5" s="35" customFormat="1">
      <c r="A91" s="200"/>
      <c r="B91" s="199"/>
      <c r="E91" s="199"/>
    </row>
    <row r="92" spans="1:5" s="35" customFormat="1">
      <c r="A92" s="200"/>
      <c r="B92" s="199"/>
      <c r="E92" s="249"/>
    </row>
    <row r="93" spans="1:5" s="35" customFormat="1">
      <c r="A93" s="200"/>
      <c r="B93" s="199"/>
      <c r="E93" s="199"/>
    </row>
  </sheetData>
  <autoFilter ref="A4:F19" xr:uid="{014B38C4-00BF-477B-94F6-3868DFC4C2F3}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PRINTING</vt:lpstr>
      <vt:lpstr>VB-3</vt:lpstr>
      <vt:lpstr>CONVIE - final</vt:lpstr>
      <vt:lpstr>VB-final</vt:lpstr>
      <vt:lpstr>FOR PULLOUT</vt:lpstr>
      <vt:lpstr>RECHECKING</vt:lpstr>
      <vt:lpstr>Sheet1</vt:lpstr>
      <vt:lpstr>JUNE SALES-</vt:lpstr>
      <vt:lpstr>PURCHASES+</vt:lpstr>
      <vt:lpstr>RETAIL+</vt:lpstr>
      <vt:lpstr>PULL OUT-</vt:lpstr>
      <vt:lpstr>'CONVIE - final'!Print_Area</vt:lpstr>
      <vt:lpstr>'FOR PULLOUT'!Print_Area</vt:lpstr>
      <vt:lpstr>PRINTING!Print_Area</vt:lpstr>
      <vt:lpstr>'VB-3'!Print_Area</vt:lpstr>
      <vt:lpstr>'VB-final'!Print_Area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ampcdt2</dc:creator>
  <cp:lastModifiedBy>Angelika Manucot</cp:lastModifiedBy>
  <cp:lastPrinted>2026-08-11T02:47:32Z</cp:lastPrinted>
  <dcterms:created xsi:type="dcterms:W3CDTF">2022-09-19T06:35:00Z</dcterms:created>
  <dcterms:modified xsi:type="dcterms:W3CDTF">2026-08-11T03:12:16Z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7B89EFFD48E1435BB2F96505029CE542_12</vt:lpwstr>
  </property>
  <property fmtid="{D5CDD505-2E9C-101B-9397-08002B2CF9AE}" pid="3" name="KSOProductBuildVer">
    <vt:lpwstr>1033-12.2.0.18607</vt:lpwstr>
  </property>
</Properties>
</file>